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fc940976211ad7/Desktop/codigo/Base de datos/"/>
    </mc:Choice>
  </mc:AlternateContent>
  <xr:revisionPtr revIDLastSave="0" documentId="8_{0BB08F07-7202-46FD-A130-019507CF4B9B}" xr6:coauthVersionLast="47" xr6:coauthVersionMax="47" xr10:uidLastSave="{00000000-0000-0000-0000-000000000000}"/>
  <bookViews>
    <workbookView xWindow="-120" yWindow="-120" windowWidth="20730" windowHeight="11040" firstSheet="7" activeTab="7" xr2:uid="{00000000-000D-0000-FFFF-FFFF00000000}"/>
  </bookViews>
  <sheets>
    <sheet name="NUEVA LISTA ROSH" sheetId="6" state="hidden" r:id="rId1"/>
    <sheet name="NUEVA LISTA ROSH COPIA" sheetId="7" state="hidden" r:id="rId2"/>
    <sheet name="NUEVA LISTA ROSH COPIA (2)" sheetId="12" state="hidden" r:id="rId3"/>
    <sheet name="NUEVA LISTA ROSH COPIA (3)" sheetId="17" state="hidden" r:id="rId4"/>
    <sheet name="Aceites (2)" sheetId="14" state="hidden" r:id="rId5"/>
    <sheet name="Grasas (2)" sheetId="15" state="hidden" r:id="rId6"/>
    <sheet name="Aditivos (2)" sheetId="16" state="hidden" r:id="rId7"/>
    <sheet name="Lista general JUNIO26 COMPARTIR" sheetId="8" r:id="rId8"/>
    <sheet name="Inventario" sheetId="13" state="hidden" r:id="rId9"/>
  </sheets>
  <externalReferences>
    <externalReference r:id="rId10"/>
  </externalReferences>
  <definedNames>
    <definedName name="_xlnm._FilterDatabase" localSheetId="8" hidden="1">Inventario!$A$1:$D$1292</definedName>
    <definedName name="_xlnm._FilterDatabase" localSheetId="0" hidden="1">'NUEVA LISTA ROSH'!$A$1:$H$1012</definedName>
    <definedName name="_xlnm._FilterDatabase" localSheetId="1" hidden="1">'NUEVA LISTA ROSH COPIA'!$A$1:$V$1012</definedName>
    <definedName name="_xlnm._FilterDatabase" localSheetId="2" hidden="1">'NUEVA LISTA ROSH COPIA (2)'!$A$1:$X$13</definedName>
    <definedName name="_xlnm._FilterDatabase" localSheetId="3" hidden="1">'NUEVA LISTA ROSH COPIA (3)'!$A$1:$X$13</definedName>
    <definedName name="_xlnm.Print_Area" localSheetId="7">'Lista general JUNIO26 COMPARTIR'!$A$1:$S$61</definedName>
    <definedName name="Base01" localSheetId="1">'NUEVA LISTA ROSH COPIA'!$B$1:$W$1012</definedName>
    <definedName name="Base01" localSheetId="2">'NUEVA LISTA ROSH COPIA (2)'!$B$1:$W$399</definedName>
    <definedName name="Base01" localSheetId="3">'NUEVA LISTA ROSH COPIA (3)'!$B$1:$W$399</definedName>
    <definedName name="Base01">'NUEVA LISTA ROSH'!$B$1:$I$1012</definedName>
    <definedName name="BASE02" localSheetId="4">'Aceites (2)'!$B$11:$I$68</definedName>
    <definedName name="BASE02">#REF!</definedName>
    <definedName name="BASE03" localSheetId="4">'Aceites (2)'!$B$75:$I$129</definedName>
    <definedName name="BASE03">#REF!</definedName>
    <definedName name="BASE04" localSheetId="5">'Grasas (2)'!$B$6:$I$72</definedName>
    <definedName name="BASE04">#REF!</definedName>
    <definedName name="BASE05" localSheetId="5">'Grasas (2)'!$B$78:$I$144</definedName>
    <definedName name="BASE05">#REF!</definedName>
    <definedName name="BASE06" localSheetId="6">'Aditivos (2)'!$B$5:$I$64</definedName>
    <definedName name="BASE06">#REF!</definedName>
    <definedName name="Base07" localSheetId="6">'Aditivos (2)'!$B$72:$I$118</definedName>
    <definedName name="Base07">#REF!</definedName>
    <definedName name="Base08" localSheetId="3">'[1]Batrak 1'!$B$6:$I$60</definedName>
    <definedName name="Base08">'Lista general JUNIO26 COMPARTIR'!$B$6:$I$60</definedName>
    <definedName name="Base09" localSheetId="3">'[1]Batrak 1'!$L$3:$S$60</definedName>
    <definedName name="Base09">'Lista general JUNIO26 COMPARTIR'!$L$3:$S$60</definedName>
    <definedName name="Base10" localSheetId="3">'[1]Batrak 2'!$B$3:$I$60</definedName>
    <definedName name="Base10">#REF!</definedName>
    <definedName name="Base11" localSheetId="3">'[1]Batrak 2'!$L$3:$S$60</definedName>
    <definedName name="Base11">#REF!</definedName>
    <definedName name="Base12" localSheetId="3">'[1]Batrak 3'!$B$3:$I$61</definedName>
    <definedName name="Base12">#REF!</definedName>
    <definedName name="Base13" localSheetId="3">'[1]Batrak 3'!$L$3:$S$60</definedName>
    <definedName name="Base13">#REF!</definedName>
    <definedName name="Base14" localSheetId="3">'[1]Batrak 4'!$B$3:$I$60</definedName>
    <definedName name="Base14">#REF!</definedName>
    <definedName name="Base15" localSheetId="3">'[1]Batrak 4'!$L$3:$S$60</definedName>
    <definedName name="Base15">#REF!</definedName>
    <definedName name="BaseInv01" localSheetId="3">Inventario!$B$1:$D$1292</definedName>
    <definedName name="BaseInv01">Inventario!$B$1:$D$1292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7" l="1"/>
  <c r="J2" i="17"/>
  <c r="K2" i="17"/>
  <c r="L2" i="17"/>
  <c r="M2" i="17"/>
  <c r="N2" i="17"/>
  <c r="O2" i="17"/>
  <c r="P2" i="17"/>
  <c r="I3" i="17"/>
  <c r="J3" i="17"/>
  <c r="K3" i="17"/>
  <c r="L3" i="17"/>
  <c r="M3" i="17"/>
  <c r="N3" i="17"/>
  <c r="O3" i="17"/>
  <c r="P3" i="17"/>
  <c r="I4" i="17"/>
  <c r="J4" i="17"/>
  <c r="K4" i="17"/>
  <c r="L4" i="17"/>
  <c r="M4" i="17"/>
  <c r="N4" i="17"/>
  <c r="O4" i="17"/>
  <c r="P4" i="17"/>
  <c r="I5" i="17"/>
  <c r="J5" i="17"/>
  <c r="K5" i="17"/>
  <c r="L5" i="17"/>
  <c r="M5" i="17"/>
  <c r="N5" i="17"/>
  <c r="O5" i="17"/>
  <c r="P5" i="17"/>
  <c r="I6" i="17"/>
  <c r="J6" i="17"/>
  <c r="K6" i="17"/>
  <c r="L6" i="17"/>
  <c r="M6" i="17"/>
  <c r="N6" i="17"/>
  <c r="O6" i="17"/>
  <c r="P6" i="17"/>
  <c r="W6" i="17"/>
  <c r="I7" i="17"/>
  <c r="J7" i="17"/>
  <c r="K7" i="17"/>
  <c r="L7" i="17"/>
  <c r="M7" i="17"/>
  <c r="N7" i="17"/>
  <c r="O7" i="17"/>
  <c r="P7" i="17"/>
  <c r="W7" i="17"/>
  <c r="I8" i="17"/>
  <c r="J8" i="17"/>
  <c r="K8" i="17"/>
  <c r="L8" i="17"/>
  <c r="M8" i="17"/>
  <c r="N8" i="17"/>
  <c r="O8" i="17"/>
  <c r="P8" i="17"/>
  <c r="W8" i="17"/>
  <c r="I9" i="17"/>
  <c r="J9" i="17"/>
  <c r="K9" i="17"/>
  <c r="L9" i="17"/>
  <c r="M9" i="17"/>
  <c r="N9" i="17"/>
  <c r="O9" i="17"/>
  <c r="P9" i="17"/>
  <c r="W9" i="17"/>
  <c r="I10" i="17"/>
  <c r="J10" i="17"/>
  <c r="K10" i="17"/>
  <c r="L10" i="17"/>
  <c r="M10" i="17"/>
  <c r="N10" i="17"/>
  <c r="O10" i="17"/>
  <c r="P10" i="17"/>
  <c r="I11" i="17"/>
  <c r="J11" i="17"/>
  <c r="K11" i="17"/>
  <c r="L11" i="17"/>
  <c r="M11" i="17"/>
  <c r="N11" i="17"/>
  <c r="O11" i="17"/>
  <c r="P11" i="17"/>
  <c r="I12" i="17"/>
  <c r="J12" i="17"/>
  <c r="K12" i="17"/>
  <c r="L12" i="17"/>
  <c r="M12" i="17"/>
  <c r="N12" i="17"/>
  <c r="O12" i="17"/>
  <c r="P12" i="17"/>
  <c r="I13" i="17"/>
  <c r="J13" i="17"/>
  <c r="K13" i="17"/>
  <c r="L13" i="17"/>
  <c r="M13" i="17"/>
  <c r="N13" i="17"/>
  <c r="O13" i="17"/>
  <c r="P13" i="17"/>
  <c r="I20" i="17"/>
  <c r="J20" i="17"/>
  <c r="K20" i="17"/>
  <c r="L20" i="17"/>
  <c r="M20" i="17"/>
  <c r="N20" i="17"/>
  <c r="O20" i="17"/>
  <c r="P20" i="17"/>
  <c r="I21" i="17"/>
  <c r="J21" i="17"/>
  <c r="K21" i="17"/>
  <c r="L21" i="17"/>
  <c r="M21" i="17"/>
  <c r="N21" i="17"/>
  <c r="O21" i="17"/>
  <c r="P21" i="17"/>
  <c r="W21" i="17"/>
  <c r="I22" i="17"/>
  <c r="J22" i="17"/>
  <c r="K22" i="17"/>
  <c r="L22" i="17"/>
  <c r="M22" i="17"/>
  <c r="N22" i="17"/>
  <c r="O22" i="17"/>
  <c r="P22" i="17"/>
  <c r="W22" i="17"/>
  <c r="I23" i="17"/>
  <c r="J23" i="17"/>
  <c r="K23" i="17"/>
  <c r="L23" i="17"/>
  <c r="M23" i="17"/>
  <c r="N23" i="17"/>
  <c r="O23" i="17"/>
  <c r="P23" i="17"/>
  <c r="W23" i="17"/>
  <c r="I24" i="17"/>
  <c r="J24" i="17"/>
  <c r="K24" i="17"/>
  <c r="L24" i="17"/>
  <c r="M24" i="17"/>
  <c r="N24" i="17"/>
  <c r="O24" i="17"/>
  <c r="P24" i="17"/>
  <c r="W24" i="17"/>
  <c r="I25" i="17"/>
  <c r="J25" i="17"/>
  <c r="K25" i="17"/>
  <c r="L25" i="17"/>
  <c r="M25" i="17"/>
  <c r="N25" i="17"/>
  <c r="O25" i="17"/>
  <c r="P25" i="17"/>
  <c r="I26" i="17"/>
  <c r="J26" i="17"/>
  <c r="K26" i="17"/>
  <c r="L26" i="17"/>
  <c r="M26" i="17"/>
  <c r="N26" i="17"/>
  <c r="O26" i="17"/>
  <c r="P26" i="17"/>
  <c r="I27" i="17"/>
  <c r="J27" i="17"/>
  <c r="K27" i="17"/>
  <c r="L27" i="17"/>
  <c r="M27" i="17"/>
  <c r="N27" i="17"/>
  <c r="O27" i="17"/>
  <c r="P27" i="17"/>
  <c r="I28" i="17"/>
  <c r="J28" i="17"/>
  <c r="K28" i="17"/>
  <c r="L28" i="17"/>
  <c r="M28" i="17"/>
  <c r="N28" i="17"/>
  <c r="O28" i="17"/>
  <c r="P28" i="17"/>
  <c r="I29" i="17"/>
  <c r="J29" i="17"/>
  <c r="K29" i="17"/>
  <c r="L29" i="17"/>
  <c r="M29" i="17"/>
  <c r="N29" i="17"/>
  <c r="O29" i="17"/>
  <c r="P29" i="17"/>
  <c r="I35" i="17"/>
  <c r="J35" i="17"/>
  <c r="K35" i="17"/>
  <c r="L35" i="17"/>
  <c r="M35" i="17"/>
  <c r="N35" i="17"/>
  <c r="O35" i="17"/>
  <c r="P35" i="17"/>
  <c r="W35" i="17"/>
  <c r="I36" i="17"/>
  <c r="J36" i="17"/>
  <c r="K36" i="17"/>
  <c r="L36" i="17"/>
  <c r="M36" i="17"/>
  <c r="N36" i="17"/>
  <c r="O36" i="17"/>
  <c r="P36" i="17"/>
  <c r="W36" i="17"/>
  <c r="I37" i="17"/>
  <c r="J37" i="17"/>
  <c r="K37" i="17"/>
  <c r="L37" i="17"/>
  <c r="M37" i="17"/>
  <c r="N37" i="17"/>
  <c r="O37" i="17"/>
  <c r="P37" i="17"/>
  <c r="W37" i="17"/>
  <c r="I38" i="17"/>
  <c r="J38" i="17"/>
  <c r="K38" i="17"/>
  <c r="L38" i="17"/>
  <c r="M38" i="17"/>
  <c r="N38" i="17"/>
  <c r="O38" i="17"/>
  <c r="P38" i="17"/>
  <c r="W38" i="17"/>
  <c r="I39" i="17"/>
  <c r="J39" i="17"/>
  <c r="K39" i="17"/>
  <c r="L39" i="17"/>
  <c r="M39" i="17"/>
  <c r="N39" i="17"/>
  <c r="O39" i="17"/>
  <c r="P39" i="17"/>
  <c r="W39" i="17"/>
  <c r="I40" i="17"/>
  <c r="J40" i="17"/>
  <c r="K40" i="17"/>
  <c r="L40" i="17"/>
  <c r="M40" i="17"/>
  <c r="N40" i="17"/>
  <c r="O40" i="17"/>
  <c r="P40" i="17"/>
  <c r="I41" i="17"/>
  <c r="J41" i="17"/>
  <c r="K41" i="17"/>
  <c r="L41" i="17"/>
  <c r="M41" i="17"/>
  <c r="N41" i="17"/>
  <c r="O41" i="17"/>
  <c r="P41" i="17"/>
  <c r="I42" i="17"/>
  <c r="J42" i="17"/>
  <c r="K42" i="17"/>
  <c r="L42" i="17"/>
  <c r="M42" i="17"/>
  <c r="N42" i="17"/>
  <c r="O42" i="17"/>
  <c r="P42" i="17"/>
  <c r="W42" i="17"/>
  <c r="I43" i="17"/>
  <c r="J43" i="17"/>
  <c r="K43" i="17"/>
  <c r="L43" i="17"/>
  <c r="M43" i="17"/>
  <c r="N43" i="17"/>
  <c r="O43" i="17"/>
  <c r="P43" i="17"/>
  <c r="W43" i="17"/>
  <c r="I44" i="17"/>
  <c r="J44" i="17"/>
  <c r="K44" i="17"/>
  <c r="L44" i="17"/>
  <c r="M44" i="17"/>
  <c r="N44" i="17"/>
  <c r="O44" i="17"/>
  <c r="P44" i="17"/>
  <c r="W44" i="17"/>
  <c r="I45" i="17"/>
  <c r="J45" i="17"/>
  <c r="K45" i="17"/>
  <c r="L45" i="17"/>
  <c r="M45" i="17"/>
  <c r="N45" i="17"/>
  <c r="O45" i="17"/>
  <c r="P45" i="17"/>
  <c r="W45" i="17"/>
  <c r="I46" i="17"/>
  <c r="J46" i="17"/>
  <c r="K46" i="17"/>
  <c r="L46" i="17"/>
  <c r="M46" i="17"/>
  <c r="N46" i="17"/>
  <c r="O46" i="17"/>
  <c r="P46" i="17"/>
  <c r="W46" i="17"/>
  <c r="I47" i="17"/>
  <c r="J47" i="17"/>
  <c r="K47" i="17"/>
  <c r="L47" i="17"/>
  <c r="M47" i="17"/>
  <c r="N47" i="17"/>
  <c r="O47" i="17"/>
  <c r="P47" i="17"/>
  <c r="I48" i="17"/>
  <c r="J48" i="17"/>
  <c r="K48" i="17"/>
  <c r="L48" i="17"/>
  <c r="M48" i="17"/>
  <c r="N48" i="17"/>
  <c r="O48" i="17"/>
  <c r="P48" i="17"/>
  <c r="I49" i="17"/>
  <c r="J49" i="17"/>
  <c r="K49" i="17"/>
  <c r="L49" i="17"/>
  <c r="M49" i="17"/>
  <c r="N49" i="17"/>
  <c r="O49" i="17"/>
  <c r="P49" i="17"/>
  <c r="I50" i="17"/>
  <c r="J50" i="17"/>
  <c r="K50" i="17"/>
  <c r="L50" i="17"/>
  <c r="M50" i="17"/>
  <c r="N50" i="17"/>
  <c r="O50" i="17"/>
  <c r="P50" i="17"/>
  <c r="W50" i="17"/>
  <c r="I51" i="17"/>
  <c r="J51" i="17"/>
  <c r="K51" i="17"/>
  <c r="L51" i="17"/>
  <c r="M51" i="17"/>
  <c r="N51" i="17"/>
  <c r="O51" i="17"/>
  <c r="P51" i="17"/>
  <c r="I52" i="17"/>
  <c r="J52" i="17"/>
  <c r="K52" i="17"/>
  <c r="L52" i="17"/>
  <c r="M52" i="17"/>
  <c r="N52" i="17"/>
  <c r="O52" i="17"/>
  <c r="P52" i="17"/>
  <c r="I53" i="17"/>
  <c r="J53" i="17"/>
  <c r="K53" i="17"/>
  <c r="L53" i="17"/>
  <c r="M53" i="17"/>
  <c r="N53" i="17"/>
  <c r="O53" i="17"/>
  <c r="P53" i="17"/>
  <c r="I54" i="17"/>
  <c r="J54" i="17"/>
  <c r="K54" i="17"/>
  <c r="L54" i="17"/>
  <c r="M54" i="17"/>
  <c r="N54" i="17"/>
  <c r="O54" i="17"/>
  <c r="P54" i="17"/>
  <c r="W54" i="17"/>
  <c r="I55" i="17"/>
  <c r="J55" i="17"/>
  <c r="K55" i="17"/>
  <c r="L55" i="17"/>
  <c r="M55" i="17"/>
  <c r="N55" i="17"/>
  <c r="O55" i="17"/>
  <c r="P55" i="17"/>
  <c r="I56" i="17"/>
  <c r="J56" i="17"/>
  <c r="K56" i="17"/>
  <c r="L56" i="17"/>
  <c r="M56" i="17"/>
  <c r="N56" i="17"/>
  <c r="O56" i="17"/>
  <c r="P56" i="17"/>
  <c r="I57" i="17"/>
  <c r="J57" i="17"/>
  <c r="K57" i="17"/>
  <c r="L57" i="17"/>
  <c r="M57" i="17"/>
  <c r="N57" i="17"/>
  <c r="O57" i="17"/>
  <c r="P57" i="17"/>
  <c r="I58" i="17"/>
  <c r="J58" i="17"/>
  <c r="K58" i="17"/>
  <c r="L58" i="17"/>
  <c r="M58" i="17"/>
  <c r="N58" i="17"/>
  <c r="O58" i="17"/>
  <c r="P58" i="17"/>
  <c r="W58" i="17"/>
  <c r="I59" i="17"/>
  <c r="J59" i="17"/>
  <c r="K59" i="17"/>
  <c r="L59" i="17"/>
  <c r="M59" i="17"/>
  <c r="N59" i="17"/>
  <c r="O59" i="17"/>
  <c r="P59" i="17"/>
  <c r="W59" i="17"/>
  <c r="I60" i="17"/>
  <c r="J60" i="17"/>
  <c r="K60" i="17"/>
  <c r="L60" i="17"/>
  <c r="M60" i="17"/>
  <c r="N60" i="17"/>
  <c r="O60" i="17"/>
  <c r="P60" i="17"/>
  <c r="W60" i="17"/>
  <c r="I61" i="17"/>
  <c r="J61" i="17"/>
  <c r="K61" i="17"/>
  <c r="L61" i="17"/>
  <c r="M61" i="17"/>
  <c r="N61" i="17"/>
  <c r="O61" i="17"/>
  <c r="P61" i="17"/>
  <c r="I62" i="17"/>
  <c r="J62" i="17"/>
  <c r="K62" i="17"/>
  <c r="L62" i="17"/>
  <c r="M62" i="17"/>
  <c r="N62" i="17"/>
  <c r="O62" i="17"/>
  <c r="P62" i="17"/>
  <c r="I63" i="17"/>
  <c r="J63" i="17"/>
  <c r="K63" i="17"/>
  <c r="L63" i="17"/>
  <c r="M63" i="17"/>
  <c r="N63" i="17"/>
  <c r="O63" i="17"/>
  <c r="P63" i="17"/>
  <c r="I64" i="17"/>
  <c r="J64" i="17"/>
  <c r="K64" i="17"/>
  <c r="L64" i="17"/>
  <c r="M64" i="17"/>
  <c r="N64" i="17"/>
  <c r="O64" i="17"/>
  <c r="P64" i="17"/>
  <c r="I65" i="17"/>
  <c r="J65" i="17"/>
  <c r="K65" i="17"/>
  <c r="L65" i="17"/>
  <c r="M65" i="17"/>
  <c r="N65" i="17"/>
  <c r="O65" i="17"/>
  <c r="P65" i="17"/>
  <c r="I66" i="17"/>
  <c r="J66" i="17"/>
  <c r="K66" i="17"/>
  <c r="L66" i="17"/>
  <c r="M66" i="17"/>
  <c r="N66" i="17"/>
  <c r="O66" i="17"/>
  <c r="P66" i="17"/>
  <c r="W66" i="17"/>
  <c r="I67" i="17"/>
  <c r="J67" i="17"/>
  <c r="K67" i="17"/>
  <c r="L67" i="17"/>
  <c r="M67" i="17"/>
  <c r="N67" i="17"/>
  <c r="O67" i="17"/>
  <c r="P67" i="17"/>
  <c r="W67" i="17"/>
  <c r="I68" i="17"/>
  <c r="J68" i="17"/>
  <c r="K68" i="17"/>
  <c r="L68" i="17"/>
  <c r="M68" i="17"/>
  <c r="N68" i="17"/>
  <c r="O68" i="17"/>
  <c r="P68" i="17"/>
  <c r="I69" i="17"/>
  <c r="J69" i="17"/>
  <c r="K69" i="17"/>
  <c r="L69" i="17"/>
  <c r="M69" i="17"/>
  <c r="N69" i="17"/>
  <c r="O69" i="17"/>
  <c r="P69" i="17"/>
  <c r="I70" i="17"/>
  <c r="J70" i="17"/>
  <c r="K70" i="17"/>
  <c r="L70" i="17"/>
  <c r="M70" i="17"/>
  <c r="N70" i="17"/>
  <c r="O70" i="17"/>
  <c r="P70" i="17"/>
  <c r="W70" i="17"/>
  <c r="I71" i="17"/>
  <c r="J71" i="17"/>
  <c r="K71" i="17"/>
  <c r="L71" i="17"/>
  <c r="M71" i="17"/>
  <c r="N71" i="17"/>
  <c r="O71" i="17"/>
  <c r="P71" i="17"/>
  <c r="W71" i="17"/>
  <c r="I72" i="17"/>
  <c r="J72" i="17"/>
  <c r="K72" i="17"/>
  <c r="L72" i="17"/>
  <c r="M72" i="17"/>
  <c r="N72" i="17"/>
  <c r="O72" i="17"/>
  <c r="P72" i="17"/>
  <c r="W72" i="17"/>
  <c r="I73" i="17"/>
  <c r="J73" i="17"/>
  <c r="K73" i="17"/>
  <c r="L73" i="17"/>
  <c r="M73" i="17"/>
  <c r="N73" i="17"/>
  <c r="O73" i="17"/>
  <c r="P73" i="17"/>
  <c r="W73" i="17"/>
  <c r="I74" i="17"/>
  <c r="J74" i="17"/>
  <c r="K74" i="17"/>
  <c r="L74" i="17"/>
  <c r="M74" i="17"/>
  <c r="N74" i="17"/>
  <c r="O74" i="17"/>
  <c r="P74" i="17"/>
  <c r="I75" i="17"/>
  <c r="J75" i="17"/>
  <c r="K75" i="17"/>
  <c r="L75" i="17"/>
  <c r="M75" i="17"/>
  <c r="N75" i="17"/>
  <c r="O75" i="17"/>
  <c r="P75" i="17"/>
  <c r="I76" i="17"/>
  <c r="J76" i="17"/>
  <c r="K76" i="17"/>
  <c r="L76" i="17"/>
  <c r="M76" i="17"/>
  <c r="N76" i="17"/>
  <c r="O76" i="17"/>
  <c r="P76" i="17"/>
  <c r="W76" i="17"/>
  <c r="I77" i="17"/>
  <c r="J77" i="17"/>
  <c r="K77" i="17"/>
  <c r="L77" i="17"/>
  <c r="M77" i="17"/>
  <c r="N77" i="17"/>
  <c r="O77" i="17"/>
  <c r="P77" i="17"/>
  <c r="W77" i="17"/>
  <c r="I78" i="17"/>
  <c r="J78" i="17"/>
  <c r="K78" i="17"/>
  <c r="L78" i="17"/>
  <c r="M78" i="17"/>
  <c r="N78" i="17"/>
  <c r="O78" i="17"/>
  <c r="P78" i="17"/>
  <c r="I79" i="17"/>
  <c r="J79" i="17"/>
  <c r="K79" i="17"/>
  <c r="L79" i="17"/>
  <c r="M79" i="17"/>
  <c r="N79" i="17"/>
  <c r="O79" i="17"/>
  <c r="P79" i="17"/>
  <c r="I80" i="17"/>
  <c r="J80" i="17"/>
  <c r="K80" i="17"/>
  <c r="L80" i="17"/>
  <c r="M80" i="17"/>
  <c r="N80" i="17"/>
  <c r="O80" i="17"/>
  <c r="P80" i="17"/>
  <c r="W80" i="17"/>
  <c r="I81" i="17"/>
  <c r="J81" i="17"/>
  <c r="K81" i="17"/>
  <c r="L81" i="17"/>
  <c r="M81" i="17"/>
  <c r="N81" i="17"/>
  <c r="O81" i="17"/>
  <c r="P81" i="17"/>
  <c r="W81" i="17"/>
  <c r="I82" i="17"/>
  <c r="J82" i="17"/>
  <c r="K82" i="17"/>
  <c r="L82" i="17"/>
  <c r="M82" i="17"/>
  <c r="N82" i="17"/>
  <c r="O82" i="17"/>
  <c r="P82" i="17"/>
  <c r="W82" i="17"/>
  <c r="I83" i="17"/>
  <c r="J83" i="17"/>
  <c r="K83" i="17"/>
  <c r="L83" i="17"/>
  <c r="M83" i="17"/>
  <c r="N83" i="17"/>
  <c r="O83" i="17"/>
  <c r="P83" i="17"/>
  <c r="W83" i="17"/>
  <c r="I84" i="17"/>
  <c r="J84" i="17"/>
  <c r="K84" i="17"/>
  <c r="L84" i="17"/>
  <c r="M84" i="17"/>
  <c r="N84" i="17"/>
  <c r="O84" i="17"/>
  <c r="P84" i="17"/>
  <c r="I85" i="17"/>
  <c r="J85" i="17"/>
  <c r="K85" i="17"/>
  <c r="L85" i="17"/>
  <c r="M85" i="17"/>
  <c r="N85" i="17"/>
  <c r="O85" i="17"/>
  <c r="P85" i="17"/>
  <c r="I86" i="17"/>
  <c r="J86" i="17"/>
  <c r="K86" i="17"/>
  <c r="L86" i="17"/>
  <c r="M86" i="17"/>
  <c r="N86" i="17"/>
  <c r="O86" i="17"/>
  <c r="P86" i="17"/>
  <c r="W86" i="17"/>
  <c r="I87" i="17"/>
  <c r="J87" i="17"/>
  <c r="K87" i="17"/>
  <c r="L87" i="17"/>
  <c r="M87" i="17"/>
  <c r="N87" i="17"/>
  <c r="O87" i="17"/>
  <c r="P87" i="17"/>
  <c r="I88" i="17"/>
  <c r="J88" i="17"/>
  <c r="K88" i="17"/>
  <c r="L88" i="17"/>
  <c r="M88" i="17"/>
  <c r="N88" i="17"/>
  <c r="O88" i="17"/>
  <c r="P88" i="17"/>
  <c r="I89" i="17"/>
  <c r="J89" i="17"/>
  <c r="K89" i="17"/>
  <c r="L89" i="17"/>
  <c r="M89" i="17"/>
  <c r="N89" i="17"/>
  <c r="O89" i="17"/>
  <c r="P89" i="17"/>
  <c r="W89" i="17"/>
  <c r="I90" i="17"/>
  <c r="J90" i="17"/>
  <c r="K90" i="17"/>
  <c r="L90" i="17"/>
  <c r="M90" i="17"/>
  <c r="N90" i="17"/>
  <c r="O90" i="17"/>
  <c r="P90" i="17"/>
  <c r="W90" i="17"/>
  <c r="I91" i="17"/>
  <c r="J91" i="17"/>
  <c r="K91" i="17"/>
  <c r="L91" i="17"/>
  <c r="M91" i="17"/>
  <c r="N91" i="17"/>
  <c r="O91" i="17"/>
  <c r="P91" i="17"/>
  <c r="W91" i="17"/>
  <c r="I92" i="17"/>
  <c r="J92" i="17"/>
  <c r="K92" i="17"/>
  <c r="L92" i="17"/>
  <c r="M92" i="17"/>
  <c r="N92" i="17"/>
  <c r="O92" i="17"/>
  <c r="P92" i="17"/>
  <c r="I93" i="17"/>
  <c r="J93" i="17"/>
  <c r="K93" i="17"/>
  <c r="L93" i="17"/>
  <c r="M93" i="17"/>
  <c r="N93" i="17"/>
  <c r="O93" i="17"/>
  <c r="P93" i="17"/>
  <c r="I94" i="17"/>
  <c r="J94" i="17"/>
  <c r="K94" i="17"/>
  <c r="L94" i="17"/>
  <c r="M94" i="17"/>
  <c r="N94" i="17"/>
  <c r="O94" i="17"/>
  <c r="P94" i="17"/>
  <c r="I95" i="17"/>
  <c r="J95" i="17"/>
  <c r="K95" i="17"/>
  <c r="L95" i="17"/>
  <c r="M95" i="17"/>
  <c r="N95" i="17"/>
  <c r="O95" i="17"/>
  <c r="P95" i="17"/>
  <c r="I96" i="17"/>
  <c r="J96" i="17"/>
  <c r="K96" i="17"/>
  <c r="L96" i="17"/>
  <c r="M96" i="17"/>
  <c r="N96" i="17"/>
  <c r="O96" i="17"/>
  <c r="P96" i="17"/>
  <c r="I97" i="17"/>
  <c r="J97" i="17"/>
  <c r="K97" i="17"/>
  <c r="L97" i="17"/>
  <c r="M97" i="17"/>
  <c r="N97" i="17"/>
  <c r="O97" i="17"/>
  <c r="P97" i="17"/>
  <c r="I98" i="17"/>
  <c r="J98" i="17"/>
  <c r="K98" i="17"/>
  <c r="L98" i="17"/>
  <c r="M98" i="17"/>
  <c r="N98" i="17"/>
  <c r="O98" i="17"/>
  <c r="P98" i="17"/>
  <c r="I99" i="17"/>
  <c r="J99" i="17"/>
  <c r="K99" i="17"/>
  <c r="L99" i="17"/>
  <c r="M99" i="17"/>
  <c r="N99" i="17"/>
  <c r="O99" i="17"/>
  <c r="P99" i="17"/>
  <c r="I100" i="17"/>
  <c r="J100" i="17"/>
  <c r="K100" i="17"/>
  <c r="L100" i="17"/>
  <c r="M100" i="17"/>
  <c r="N100" i="17"/>
  <c r="O100" i="17"/>
  <c r="P100" i="17"/>
  <c r="W100" i="17"/>
  <c r="I101" i="17"/>
  <c r="J101" i="17"/>
  <c r="K101" i="17"/>
  <c r="L101" i="17"/>
  <c r="M101" i="17"/>
  <c r="N101" i="17"/>
  <c r="O101" i="17"/>
  <c r="P101" i="17"/>
  <c r="W101" i="17"/>
  <c r="I102" i="17"/>
  <c r="J102" i="17"/>
  <c r="K102" i="17"/>
  <c r="L102" i="17"/>
  <c r="M102" i="17"/>
  <c r="N102" i="17"/>
  <c r="O102" i="17"/>
  <c r="P102" i="17"/>
  <c r="W102" i="17"/>
  <c r="I103" i="17"/>
  <c r="J103" i="17"/>
  <c r="K103" i="17"/>
  <c r="L103" i="17"/>
  <c r="M103" i="17"/>
  <c r="N103" i="17"/>
  <c r="O103" i="17"/>
  <c r="P103" i="17"/>
  <c r="I104" i="17"/>
  <c r="J104" i="17"/>
  <c r="K104" i="17"/>
  <c r="L104" i="17"/>
  <c r="M104" i="17"/>
  <c r="N104" i="17"/>
  <c r="O104" i="17"/>
  <c r="P104" i="17"/>
  <c r="I105" i="17"/>
  <c r="J105" i="17"/>
  <c r="K105" i="17"/>
  <c r="L105" i="17"/>
  <c r="M105" i="17"/>
  <c r="N105" i="17"/>
  <c r="O105" i="17"/>
  <c r="P105" i="17"/>
  <c r="I106" i="17"/>
  <c r="J106" i="17"/>
  <c r="K106" i="17"/>
  <c r="L106" i="17"/>
  <c r="M106" i="17"/>
  <c r="N106" i="17"/>
  <c r="O106" i="17"/>
  <c r="P106" i="17"/>
  <c r="I107" i="17"/>
  <c r="J107" i="17"/>
  <c r="K107" i="17"/>
  <c r="L107" i="17"/>
  <c r="M107" i="17"/>
  <c r="N107" i="17"/>
  <c r="O107" i="17"/>
  <c r="P107" i="17"/>
  <c r="I108" i="17"/>
  <c r="J108" i="17"/>
  <c r="K108" i="17"/>
  <c r="L108" i="17"/>
  <c r="M108" i="17"/>
  <c r="N108" i="17"/>
  <c r="O108" i="17"/>
  <c r="P108" i="17"/>
  <c r="I109" i="17"/>
  <c r="J109" i="17"/>
  <c r="K109" i="17"/>
  <c r="L109" i="17"/>
  <c r="M109" i="17"/>
  <c r="N109" i="17"/>
  <c r="O109" i="17"/>
  <c r="P109" i="17"/>
  <c r="I110" i="17"/>
  <c r="J110" i="17"/>
  <c r="K110" i="17"/>
  <c r="L110" i="17"/>
  <c r="M110" i="17"/>
  <c r="N110" i="17"/>
  <c r="O110" i="17"/>
  <c r="P110" i="17"/>
  <c r="I111" i="17"/>
  <c r="J111" i="17"/>
  <c r="K111" i="17"/>
  <c r="L111" i="17"/>
  <c r="M111" i="17"/>
  <c r="N111" i="17"/>
  <c r="O111" i="17"/>
  <c r="P111" i="17"/>
  <c r="I112" i="17"/>
  <c r="J112" i="17"/>
  <c r="K112" i="17"/>
  <c r="L112" i="17"/>
  <c r="M112" i="17"/>
  <c r="N112" i="17"/>
  <c r="O112" i="17"/>
  <c r="P112" i="17"/>
  <c r="I113" i="17"/>
  <c r="J113" i="17"/>
  <c r="K113" i="17"/>
  <c r="L113" i="17"/>
  <c r="M113" i="17"/>
  <c r="N113" i="17"/>
  <c r="O113" i="17"/>
  <c r="P113" i="17"/>
  <c r="W113" i="17"/>
  <c r="I114" i="17"/>
  <c r="J114" i="17"/>
  <c r="K114" i="17"/>
  <c r="L114" i="17"/>
  <c r="M114" i="17"/>
  <c r="N114" i="17"/>
  <c r="O114" i="17"/>
  <c r="P114" i="17"/>
  <c r="W114" i="17"/>
  <c r="I115" i="17"/>
  <c r="J115" i="17"/>
  <c r="K115" i="17"/>
  <c r="L115" i="17"/>
  <c r="M115" i="17"/>
  <c r="N115" i="17"/>
  <c r="O115" i="17"/>
  <c r="P115" i="17"/>
  <c r="I116" i="17"/>
  <c r="J116" i="17"/>
  <c r="K116" i="17"/>
  <c r="L116" i="17"/>
  <c r="M116" i="17"/>
  <c r="N116" i="17"/>
  <c r="O116" i="17"/>
  <c r="P116" i="17"/>
  <c r="W116" i="17"/>
  <c r="I117" i="17"/>
  <c r="J117" i="17"/>
  <c r="K117" i="17"/>
  <c r="L117" i="17"/>
  <c r="M117" i="17"/>
  <c r="N117" i="17"/>
  <c r="O117" i="17"/>
  <c r="P117" i="17"/>
  <c r="I118" i="17"/>
  <c r="J118" i="17"/>
  <c r="K118" i="17"/>
  <c r="L118" i="17"/>
  <c r="M118" i="17"/>
  <c r="N118" i="17"/>
  <c r="O118" i="17"/>
  <c r="P118" i="17"/>
  <c r="I119" i="17"/>
  <c r="J119" i="17"/>
  <c r="K119" i="17"/>
  <c r="L119" i="17"/>
  <c r="M119" i="17"/>
  <c r="N119" i="17"/>
  <c r="O119" i="17"/>
  <c r="P119" i="17"/>
  <c r="I120" i="17"/>
  <c r="J120" i="17"/>
  <c r="K120" i="17"/>
  <c r="L120" i="17"/>
  <c r="M120" i="17"/>
  <c r="N120" i="17"/>
  <c r="O120" i="17"/>
  <c r="P120" i="17"/>
  <c r="W120" i="17"/>
  <c r="I121" i="17"/>
  <c r="J121" i="17"/>
  <c r="K121" i="17"/>
  <c r="L121" i="17"/>
  <c r="M121" i="17"/>
  <c r="N121" i="17"/>
  <c r="O121" i="17"/>
  <c r="P121" i="17"/>
  <c r="I122" i="17"/>
  <c r="J122" i="17"/>
  <c r="K122" i="17"/>
  <c r="L122" i="17"/>
  <c r="M122" i="17"/>
  <c r="N122" i="17"/>
  <c r="O122" i="17"/>
  <c r="P122" i="17"/>
  <c r="I123" i="17"/>
  <c r="J123" i="17"/>
  <c r="K123" i="17"/>
  <c r="L123" i="17"/>
  <c r="M123" i="17"/>
  <c r="N123" i="17"/>
  <c r="O123" i="17"/>
  <c r="P123" i="17"/>
  <c r="I124" i="17"/>
  <c r="J124" i="17"/>
  <c r="K124" i="17"/>
  <c r="L124" i="17"/>
  <c r="M124" i="17"/>
  <c r="N124" i="17"/>
  <c r="O124" i="17"/>
  <c r="P124" i="17"/>
  <c r="W124" i="17"/>
  <c r="I125" i="17"/>
  <c r="J125" i="17"/>
  <c r="K125" i="17"/>
  <c r="L125" i="17"/>
  <c r="M125" i="17"/>
  <c r="N125" i="17"/>
  <c r="O125" i="17"/>
  <c r="P125" i="17"/>
  <c r="W125" i="17"/>
  <c r="I126" i="17"/>
  <c r="J126" i="17"/>
  <c r="K126" i="17"/>
  <c r="L126" i="17"/>
  <c r="M126" i="17"/>
  <c r="N126" i="17"/>
  <c r="O126" i="17"/>
  <c r="P126" i="17"/>
  <c r="W126" i="17"/>
  <c r="I127" i="17"/>
  <c r="J127" i="17"/>
  <c r="K127" i="17"/>
  <c r="L127" i="17"/>
  <c r="M127" i="17"/>
  <c r="N127" i="17"/>
  <c r="O127" i="17"/>
  <c r="P127" i="17"/>
  <c r="W127" i="17"/>
  <c r="I128" i="17"/>
  <c r="J128" i="17"/>
  <c r="K128" i="17"/>
  <c r="L128" i="17"/>
  <c r="M128" i="17"/>
  <c r="N128" i="17"/>
  <c r="O128" i="17"/>
  <c r="P128" i="17"/>
  <c r="I129" i="17"/>
  <c r="J129" i="17"/>
  <c r="K129" i="17"/>
  <c r="L129" i="17"/>
  <c r="M129" i="17"/>
  <c r="N129" i="17"/>
  <c r="O129" i="17"/>
  <c r="P129" i="17"/>
  <c r="I130" i="17"/>
  <c r="J130" i="17"/>
  <c r="K130" i="17"/>
  <c r="L130" i="17"/>
  <c r="M130" i="17"/>
  <c r="N130" i="17"/>
  <c r="O130" i="17"/>
  <c r="P130" i="17"/>
  <c r="W130" i="17"/>
  <c r="I131" i="17"/>
  <c r="J131" i="17"/>
  <c r="K131" i="17"/>
  <c r="L131" i="17"/>
  <c r="M131" i="17"/>
  <c r="N131" i="17"/>
  <c r="O131" i="17"/>
  <c r="P131" i="17"/>
  <c r="I132" i="17"/>
  <c r="J132" i="17"/>
  <c r="K132" i="17"/>
  <c r="L132" i="17"/>
  <c r="M132" i="17"/>
  <c r="N132" i="17"/>
  <c r="O132" i="17"/>
  <c r="P132" i="17"/>
  <c r="W132" i="17"/>
  <c r="I133" i="17"/>
  <c r="J133" i="17"/>
  <c r="K133" i="17"/>
  <c r="L133" i="17"/>
  <c r="M133" i="17"/>
  <c r="N133" i="17"/>
  <c r="O133" i="17"/>
  <c r="P133" i="17"/>
  <c r="W133" i="17"/>
  <c r="I134" i="17"/>
  <c r="J134" i="17"/>
  <c r="K134" i="17"/>
  <c r="L134" i="17"/>
  <c r="M134" i="17"/>
  <c r="N134" i="17"/>
  <c r="O134" i="17"/>
  <c r="P134" i="17"/>
  <c r="I135" i="17"/>
  <c r="J135" i="17"/>
  <c r="K135" i="17"/>
  <c r="L135" i="17"/>
  <c r="M135" i="17"/>
  <c r="N135" i="17"/>
  <c r="O135" i="17"/>
  <c r="P135" i="17"/>
  <c r="I136" i="17"/>
  <c r="J136" i="17"/>
  <c r="K136" i="17"/>
  <c r="L136" i="17"/>
  <c r="M136" i="17"/>
  <c r="N136" i="17"/>
  <c r="O136" i="17"/>
  <c r="P136" i="17"/>
  <c r="W136" i="17"/>
  <c r="I137" i="17"/>
  <c r="J137" i="17"/>
  <c r="K137" i="17"/>
  <c r="L137" i="17"/>
  <c r="M137" i="17"/>
  <c r="N137" i="17"/>
  <c r="O137" i="17"/>
  <c r="P137" i="17"/>
  <c r="W137" i="17"/>
  <c r="I138" i="17"/>
  <c r="J138" i="17"/>
  <c r="K138" i="17"/>
  <c r="L138" i="17"/>
  <c r="M138" i="17"/>
  <c r="N138" i="17"/>
  <c r="O138" i="17"/>
  <c r="P138" i="17"/>
  <c r="W138" i="17"/>
  <c r="I139" i="17"/>
  <c r="J139" i="17"/>
  <c r="K139" i="17"/>
  <c r="L139" i="17"/>
  <c r="M139" i="17"/>
  <c r="N139" i="17"/>
  <c r="O139" i="17"/>
  <c r="P139" i="17"/>
  <c r="I140" i="17"/>
  <c r="J140" i="17"/>
  <c r="K140" i="17"/>
  <c r="L140" i="17"/>
  <c r="M140" i="17"/>
  <c r="N140" i="17"/>
  <c r="O140" i="17"/>
  <c r="P140" i="17"/>
  <c r="I141" i="17"/>
  <c r="J141" i="17"/>
  <c r="K141" i="17"/>
  <c r="L141" i="17"/>
  <c r="M141" i="17"/>
  <c r="N141" i="17"/>
  <c r="O141" i="17"/>
  <c r="P141" i="17"/>
  <c r="W141" i="17"/>
  <c r="I142" i="17"/>
  <c r="J142" i="17"/>
  <c r="K142" i="17"/>
  <c r="L142" i="17"/>
  <c r="M142" i="17"/>
  <c r="N142" i="17"/>
  <c r="O142" i="17"/>
  <c r="P142" i="17"/>
  <c r="W142" i="17"/>
  <c r="I143" i="17"/>
  <c r="J143" i="17"/>
  <c r="K143" i="17"/>
  <c r="L143" i="17"/>
  <c r="M143" i="17"/>
  <c r="N143" i="17"/>
  <c r="O143" i="17"/>
  <c r="P143" i="17"/>
  <c r="I144" i="17"/>
  <c r="J144" i="17"/>
  <c r="K144" i="17"/>
  <c r="L144" i="17"/>
  <c r="M144" i="17"/>
  <c r="N144" i="17"/>
  <c r="O144" i="17"/>
  <c r="P144" i="17"/>
  <c r="W144" i="17"/>
  <c r="I145" i="17"/>
  <c r="J145" i="17"/>
  <c r="K145" i="17"/>
  <c r="L145" i="17"/>
  <c r="M145" i="17"/>
  <c r="N145" i="17"/>
  <c r="O145" i="17"/>
  <c r="P145" i="17"/>
  <c r="W145" i="17"/>
  <c r="I146" i="17"/>
  <c r="J146" i="17"/>
  <c r="K146" i="17"/>
  <c r="L146" i="17"/>
  <c r="M146" i="17"/>
  <c r="N146" i="17"/>
  <c r="O146" i="17"/>
  <c r="P146" i="17"/>
  <c r="W146" i="17"/>
  <c r="I147" i="17"/>
  <c r="J147" i="17"/>
  <c r="K147" i="17"/>
  <c r="L147" i="17"/>
  <c r="M147" i="17"/>
  <c r="N147" i="17"/>
  <c r="O147" i="17"/>
  <c r="P147" i="17"/>
  <c r="I148" i="17"/>
  <c r="J148" i="17"/>
  <c r="K148" i="17"/>
  <c r="L148" i="17"/>
  <c r="M148" i="17"/>
  <c r="N148" i="17"/>
  <c r="O148" i="17"/>
  <c r="P148" i="17"/>
  <c r="W148" i="17"/>
  <c r="I149" i="17"/>
  <c r="J149" i="17"/>
  <c r="K149" i="17"/>
  <c r="L149" i="17"/>
  <c r="M149" i="17"/>
  <c r="N149" i="17"/>
  <c r="O149" i="17"/>
  <c r="P149" i="17"/>
  <c r="I150" i="17"/>
  <c r="J150" i="17"/>
  <c r="K150" i="17"/>
  <c r="L150" i="17"/>
  <c r="M150" i="17"/>
  <c r="N150" i="17"/>
  <c r="O150" i="17"/>
  <c r="P150" i="17"/>
  <c r="I151" i="17"/>
  <c r="J151" i="17"/>
  <c r="K151" i="17"/>
  <c r="L151" i="17"/>
  <c r="M151" i="17"/>
  <c r="N151" i="17"/>
  <c r="O151" i="17"/>
  <c r="P151" i="17"/>
  <c r="W151" i="17"/>
  <c r="I152" i="17"/>
  <c r="J152" i="17"/>
  <c r="K152" i="17"/>
  <c r="L152" i="17"/>
  <c r="M152" i="17"/>
  <c r="N152" i="17"/>
  <c r="O152" i="17"/>
  <c r="P152" i="17"/>
  <c r="I153" i="17"/>
  <c r="J153" i="17"/>
  <c r="K153" i="17"/>
  <c r="L153" i="17"/>
  <c r="M153" i="17"/>
  <c r="N153" i="17"/>
  <c r="O153" i="17"/>
  <c r="P153" i="17"/>
  <c r="I154" i="17"/>
  <c r="J154" i="17"/>
  <c r="K154" i="17"/>
  <c r="L154" i="17"/>
  <c r="M154" i="17"/>
  <c r="N154" i="17"/>
  <c r="O154" i="17"/>
  <c r="P154" i="17"/>
  <c r="I155" i="17"/>
  <c r="J155" i="17"/>
  <c r="K155" i="17"/>
  <c r="L155" i="17"/>
  <c r="M155" i="17"/>
  <c r="N155" i="17"/>
  <c r="O155" i="17"/>
  <c r="P155" i="17"/>
  <c r="I156" i="17"/>
  <c r="J156" i="17"/>
  <c r="K156" i="17"/>
  <c r="L156" i="17"/>
  <c r="M156" i="17"/>
  <c r="N156" i="17"/>
  <c r="O156" i="17"/>
  <c r="P156" i="17"/>
  <c r="I157" i="17"/>
  <c r="J157" i="17"/>
  <c r="K157" i="17"/>
  <c r="L157" i="17"/>
  <c r="M157" i="17"/>
  <c r="N157" i="17"/>
  <c r="O157" i="17"/>
  <c r="P157" i="17"/>
  <c r="W157" i="17"/>
  <c r="I158" i="17"/>
  <c r="J158" i="17"/>
  <c r="K158" i="17"/>
  <c r="L158" i="17"/>
  <c r="M158" i="17"/>
  <c r="N158" i="17"/>
  <c r="O158" i="17"/>
  <c r="P158" i="17"/>
  <c r="I159" i="17"/>
  <c r="J159" i="17"/>
  <c r="K159" i="17"/>
  <c r="L159" i="17"/>
  <c r="M159" i="17"/>
  <c r="N159" i="17"/>
  <c r="O159" i="17"/>
  <c r="P159" i="17"/>
  <c r="W159" i="17"/>
  <c r="I160" i="17"/>
  <c r="J160" i="17"/>
  <c r="K160" i="17"/>
  <c r="L160" i="17"/>
  <c r="M160" i="17"/>
  <c r="N160" i="17"/>
  <c r="O160" i="17"/>
  <c r="P160" i="17"/>
  <c r="I161" i="17"/>
  <c r="J161" i="17"/>
  <c r="K161" i="17"/>
  <c r="L161" i="17"/>
  <c r="M161" i="17"/>
  <c r="N161" i="17"/>
  <c r="O161" i="17"/>
  <c r="P161" i="17"/>
  <c r="I162" i="17"/>
  <c r="J162" i="17"/>
  <c r="K162" i="17"/>
  <c r="L162" i="17"/>
  <c r="M162" i="17"/>
  <c r="N162" i="17"/>
  <c r="O162" i="17"/>
  <c r="P162" i="17"/>
  <c r="I163" i="17"/>
  <c r="J163" i="17"/>
  <c r="K163" i="17"/>
  <c r="L163" i="17"/>
  <c r="M163" i="17"/>
  <c r="N163" i="17"/>
  <c r="O163" i="17"/>
  <c r="P163" i="17"/>
  <c r="I164" i="17"/>
  <c r="J164" i="17"/>
  <c r="K164" i="17"/>
  <c r="L164" i="17"/>
  <c r="M164" i="17"/>
  <c r="N164" i="17"/>
  <c r="O164" i="17"/>
  <c r="P164" i="17"/>
  <c r="W164" i="17"/>
  <c r="I165" i="17"/>
  <c r="J165" i="17"/>
  <c r="K165" i="17"/>
  <c r="L165" i="17"/>
  <c r="M165" i="17"/>
  <c r="N165" i="17"/>
  <c r="O165" i="17"/>
  <c r="P165" i="17"/>
  <c r="W165" i="17"/>
  <c r="I166" i="17"/>
  <c r="J166" i="17"/>
  <c r="K166" i="17"/>
  <c r="L166" i="17"/>
  <c r="M166" i="17"/>
  <c r="N166" i="17"/>
  <c r="O166" i="17"/>
  <c r="P166" i="17"/>
  <c r="W166" i="17"/>
  <c r="I167" i="17"/>
  <c r="J167" i="17"/>
  <c r="K167" i="17"/>
  <c r="L167" i="17"/>
  <c r="M167" i="17"/>
  <c r="N167" i="17"/>
  <c r="O167" i="17"/>
  <c r="P167" i="17"/>
  <c r="W167" i="17"/>
  <c r="I168" i="17"/>
  <c r="J168" i="17"/>
  <c r="K168" i="17"/>
  <c r="L168" i="17"/>
  <c r="M168" i="17"/>
  <c r="N168" i="17"/>
  <c r="O168" i="17"/>
  <c r="P168" i="17"/>
  <c r="I169" i="17"/>
  <c r="J169" i="17"/>
  <c r="K169" i="17"/>
  <c r="L169" i="17"/>
  <c r="M169" i="17"/>
  <c r="N169" i="17"/>
  <c r="O169" i="17"/>
  <c r="P169" i="17"/>
  <c r="I170" i="17"/>
  <c r="J170" i="17"/>
  <c r="K170" i="17"/>
  <c r="L170" i="17"/>
  <c r="M170" i="17"/>
  <c r="N170" i="17"/>
  <c r="O170" i="17"/>
  <c r="P170" i="17"/>
  <c r="W170" i="17"/>
  <c r="I171" i="17"/>
  <c r="J171" i="17"/>
  <c r="K171" i="17"/>
  <c r="L171" i="17"/>
  <c r="M171" i="17"/>
  <c r="N171" i="17"/>
  <c r="O171" i="17"/>
  <c r="P171" i="17"/>
  <c r="W171" i="17"/>
  <c r="I172" i="17"/>
  <c r="J172" i="17"/>
  <c r="K172" i="17"/>
  <c r="L172" i="17"/>
  <c r="M172" i="17"/>
  <c r="N172" i="17"/>
  <c r="O172" i="17"/>
  <c r="P172" i="17"/>
  <c r="W172" i="17"/>
  <c r="I173" i="17"/>
  <c r="J173" i="17"/>
  <c r="K173" i="17"/>
  <c r="L173" i="17"/>
  <c r="M173" i="17"/>
  <c r="N173" i="17"/>
  <c r="O173" i="17"/>
  <c r="P173" i="17"/>
  <c r="W173" i="17"/>
  <c r="I174" i="17"/>
  <c r="J174" i="17"/>
  <c r="K174" i="17"/>
  <c r="L174" i="17"/>
  <c r="M174" i="17"/>
  <c r="N174" i="17"/>
  <c r="O174" i="17"/>
  <c r="P174" i="17"/>
  <c r="W174" i="17"/>
  <c r="I175" i="17"/>
  <c r="J175" i="17"/>
  <c r="K175" i="17"/>
  <c r="L175" i="17"/>
  <c r="M175" i="17"/>
  <c r="N175" i="17"/>
  <c r="O175" i="17"/>
  <c r="P175" i="17"/>
  <c r="W175" i="17"/>
  <c r="I176" i="17"/>
  <c r="J176" i="17"/>
  <c r="K176" i="17"/>
  <c r="L176" i="17"/>
  <c r="M176" i="17"/>
  <c r="N176" i="17"/>
  <c r="O176" i="17"/>
  <c r="P176" i="17"/>
  <c r="W176" i="17"/>
  <c r="I177" i="17"/>
  <c r="J177" i="17"/>
  <c r="K177" i="17"/>
  <c r="L177" i="17"/>
  <c r="M177" i="17"/>
  <c r="N177" i="17"/>
  <c r="O177" i="17"/>
  <c r="P177" i="17"/>
  <c r="W177" i="17"/>
  <c r="I178" i="17"/>
  <c r="J178" i="17"/>
  <c r="K178" i="17"/>
  <c r="L178" i="17"/>
  <c r="M178" i="17"/>
  <c r="N178" i="17"/>
  <c r="O178" i="17"/>
  <c r="P178" i="17"/>
  <c r="W178" i="17"/>
  <c r="I179" i="17"/>
  <c r="J179" i="17"/>
  <c r="K179" i="17"/>
  <c r="L179" i="17"/>
  <c r="M179" i="17"/>
  <c r="N179" i="17"/>
  <c r="O179" i="17"/>
  <c r="P179" i="17"/>
  <c r="W179" i="17"/>
  <c r="I180" i="17"/>
  <c r="J180" i="17"/>
  <c r="K180" i="17"/>
  <c r="L180" i="17"/>
  <c r="M180" i="17"/>
  <c r="N180" i="17"/>
  <c r="O180" i="17"/>
  <c r="P180" i="17"/>
  <c r="W180" i="17"/>
  <c r="I181" i="17"/>
  <c r="J181" i="17"/>
  <c r="K181" i="17"/>
  <c r="L181" i="17"/>
  <c r="M181" i="17"/>
  <c r="N181" i="17"/>
  <c r="O181" i="17"/>
  <c r="P181" i="17"/>
  <c r="W181" i="17"/>
  <c r="I182" i="17"/>
  <c r="J182" i="17"/>
  <c r="K182" i="17"/>
  <c r="L182" i="17"/>
  <c r="M182" i="17"/>
  <c r="N182" i="17"/>
  <c r="O182" i="17"/>
  <c r="P182" i="17"/>
  <c r="W182" i="17"/>
  <c r="I183" i="17"/>
  <c r="J183" i="17"/>
  <c r="K183" i="17"/>
  <c r="L183" i="17"/>
  <c r="M183" i="17"/>
  <c r="N183" i="17"/>
  <c r="O183" i="17"/>
  <c r="P183" i="17"/>
  <c r="W183" i="17"/>
  <c r="I184" i="17"/>
  <c r="J184" i="17"/>
  <c r="K184" i="17"/>
  <c r="L184" i="17"/>
  <c r="M184" i="17"/>
  <c r="N184" i="17"/>
  <c r="O184" i="17"/>
  <c r="P184" i="17"/>
  <c r="I185" i="17"/>
  <c r="J185" i="17"/>
  <c r="K185" i="17"/>
  <c r="L185" i="17"/>
  <c r="M185" i="17"/>
  <c r="N185" i="17"/>
  <c r="O185" i="17"/>
  <c r="P185" i="17"/>
  <c r="W185" i="17"/>
  <c r="I186" i="17"/>
  <c r="J186" i="17"/>
  <c r="K186" i="17"/>
  <c r="L186" i="17"/>
  <c r="M186" i="17"/>
  <c r="N186" i="17"/>
  <c r="O186" i="17"/>
  <c r="P186" i="17"/>
  <c r="I187" i="17"/>
  <c r="J187" i="17"/>
  <c r="K187" i="17"/>
  <c r="L187" i="17"/>
  <c r="M187" i="17"/>
  <c r="N187" i="17"/>
  <c r="O187" i="17"/>
  <c r="P187" i="17"/>
  <c r="I188" i="17"/>
  <c r="J188" i="17"/>
  <c r="K188" i="17"/>
  <c r="L188" i="17"/>
  <c r="M188" i="17"/>
  <c r="N188" i="17"/>
  <c r="O188" i="17"/>
  <c r="P188" i="17"/>
  <c r="I189" i="17"/>
  <c r="J189" i="17"/>
  <c r="K189" i="17"/>
  <c r="L189" i="17"/>
  <c r="M189" i="17"/>
  <c r="N189" i="17"/>
  <c r="O189" i="17"/>
  <c r="P189" i="17"/>
  <c r="I190" i="17"/>
  <c r="J190" i="17"/>
  <c r="K190" i="17"/>
  <c r="L190" i="17"/>
  <c r="M190" i="17"/>
  <c r="N190" i="17"/>
  <c r="O190" i="17"/>
  <c r="P190" i="17"/>
  <c r="I191" i="17"/>
  <c r="J191" i="17"/>
  <c r="K191" i="17"/>
  <c r="L191" i="17"/>
  <c r="M191" i="17"/>
  <c r="N191" i="17"/>
  <c r="O191" i="17"/>
  <c r="P191" i="17"/>
  <c r="W191" i="17"/>
  <c r="I192" i="17"/>
  <c r="J192" i="17"/>
  <c r="K192" i="17"/>
  <c r="L192" i="17"/>
  <c r="M192" i="17"/>
  <c r="N192" i="17"/>
  <c r="O192" i="17"/>
  <c r="P192" i="17"/>
  <c r="I193" i="17"/>
  <c r="J193" i="17"/>
  <c r="K193" i="17"/>
  <c r="L193" i="17"/>
  <c r="M193" i="17"/>
  <c r="N193" i="17"/>
  <c r="O193" i="17"/>
  <c r="P193" i="17"/>
  <c r="W193" i="17"/>
  <c r="I194" i="17"/>
  <c r="J194" i="17"/>
  <c r="K194" i="17"/>
  <c r="L194" i="17"/>
  <c r="M194" i="17"/>
  <c r="N194" i="17"/>
  <c r="O194" i="17"/>
  <c r="P194" i="17"/>
  <c r="I195" i="17"/>
  <c r="J195" i="17"/>
  <c r="K195" i="17"/>
  <c r="L195" i="17"/>
  <c r="M195" i="17"/>
  <c r="N195" i="17"/>
  <c r="O195" i="17"/>
  <c r="P195" i="17"/>
  <c r="I196" i="17"/>
  <c r="J196" i="17"/>
  <c r="K196" i="17"/>
  <c r="L196" i="17"/>
  <c r="M196" i="17"/>
  <c r="N196" i="17"/>
  <c r="O196" i="17"/>
  <c r="P196" i="17"/>
  <c r="I197" i="17"/>
  <c r="J197" i="17"/>
  <c r="K197" i="17"/>
  <c r="L197" i="17"/>
  <c r="M197" i="17"/>
  <c r="N197" i="17"/>
  <c r="O197" i="17"/>
  <c r="P197" i="17"/>
  <c r="I198" i="17"/>
  <c r="J198" i="17"/>
  <c r="K198" i="17"/>
  <c r="L198" i="17"/>
  <c r="M198" i="17"/>
  <c r="N198" i="17"/>
  <c r="O198" i="17"/>
  <c r="P198" i="17"/>
  <c r="I199" i="17"/>
  <c r="J199" i="17"/>
  <c r="K199" i="17"/>
  <c r="L199" i="17"/>
  <c r="M199" i="17"/>
  <c r="N199" i="17"/>
  <c r="O199" i="17"/>
  <c r="P199" i="17"/>
  <c r="W199" i="17"/>
  <c r="I200" i="17"/>
  <c r="J200" i="17"/>
  <c r="K200" i="17"/>
  <c r="L200" i="17"/>
  <c r="M200" i="17"/>
  <c r="N200" i="17"/>
  <c r="O200" i="17"/>
  <c r="P200" i="17"/>
  <c r="W200" i="17"/>
  <c r="I201" i="17"/>
  <c r="J201" i="17"/>
  <c r="K201" i="17"/>
  <c r="L201" i="17"/>
  <c r="M201" i="17"/>
  <c r="N201" i="17"/>
  <c r="O201" i="17"/>
  <c r="P201" i="17"/>
  <c r="W201" i="17"/>
  <c r="I202" i="17"/>
  <c r="J202" i="17"/>
  <c r="K202" i="17"/>
  <c r="L202" i="17"/>
  <c r="M202" i="17"/>
  <c r="N202" i="17"/>
  <c r="O202" i="17"/>
  <c r="P202" i="17"/>
  <c r="I203" i="17"/>
  <c r="J203" i="17"/>
  <c r="K203" i="17"/>
  <c r="L203" i="17"/>
  <c r="M203" i="17"/>
  <c r="N203" i="17"/>
  <c r="O203" i="17"/>
  <c r="P203" i="17"/>
  <c r="I204" i="17"/>
  <c r="J204" i="17"/>
  <c r="K204" i="17"/>
  <c r="L204" i="17"/>
  <c r="M204" i="17"/>
  <c r="N204" i="17"/>
  <c r="O204" i="17"/>
  <c r="P204" i="17"/>
  <c r="I205" i="17"/>
  <c r="J205" i="17"/>
  <c r="K205" i="17"/>
  <c r="L205" i="17"/>
  <c r="M205" i="17"/>
  <c r="N205" i="17"/>
  <c r="O205" i="17"/>
  <c r="P205" i="17"/>
  <c r="I206" i="17"/>
  <c r="J206" i="17"/>
  <c r="K206" i="17"/>
  <c r="L206" i="17"/>
  <c r="M206" i="17"/>
  <c r="N206" i="17"/>
  <c r="O206" i="17"/>
  <c r="P206" i="17"/>
  <c r="I207" i="17"/>
  <c r="J207" i="17"/>
  <c r="K207" i="17"/>
  <c r="L207" i="17"/>
  <c r="M207" i="17"/>
  <c r="N207" i="17"/>
  <c r="O207" i="17"/>
  <c r="P207" i="17"/>
  <c r="W207" i="17"/>
  <c r="I208" i="17"/>
  <c r="J208" i="17"/>
  <c r="K208" i="17"/>
  <c r="L208" i="17"/>
  <c r="M208" i="17"/>
  <c r="N208" i="17"/>
  <c r="O208" i="17"/>
  <c r="P208" i="17"/>
  <c r="W208" i="17"/>
  <c r="I209" i="17"/>
  <c r="J209" i="17"/>
  <c r="K209" i="17"/>
  <c r="L209" i="17"/>
  <c r="M209" i="17"/>
  <c r="N209" i="17"/>
  <c r="O209" i="17"/>
  <c r="P209" i="17"/>
  <c r="W209" i="17"/>
  <c r="I210" i="17"/>
  <c r="J210" i="17"/>
  <c r="K210" i="17"/>
  <c r="L210" i="17"/>
  <c r="M210" i="17"/>
  <c r="N210" i="17"/>
  <c r="O210" i="17"/>
  <c r="P210" i="17"/>
  <c r="W210" i="17"/>
  <c r="I211" i="17"/>
  <c r="J211" i="17"/>
  <c r="K211" i="17"/>
  <c r="L211" i="17"/>
  <c r="M211" i="17"/>
  <c r="N211" i="17"/>
  <c r="O211" i="17"/>
  <c r="P211" i="17"/>
  <c r="I212" i="17"/>
  <c r="J212" i="17"/>
  <c r="K212" i="17"/>
  <c r="L212" i="17"/>
  <c r="M212" i="17"/>
  <c r="N212" i="17"/>
  <c r="O212" i="17"/>
  <c r="P212" i="17"/>
  <c r="W212" i="17"/>
  <c r="I213" i="17"/>
  <c r="J213" i="17"/>
  <c r="K213" i="17"/>
  <c r="L213" i="17"/>
  <c r="M213" i="17"/>
  <c r="N213" i="17"/>
  <c r="O213" i="17"/>
  <c r="P213" i="17"/>
  <c r="W213" i="17"/>
  <c r="I214" i="17"/>
  <c r="J214" i="17"/>
  <c r="K214" i="17"/>
  <c r="L214" i="17"/>
  <c r="M214" i="17"/>
  <c r="N214" i="17"/>
  <c r="O214" i="17"/>
  <c r="P214" i="17"/>
  <c r="I215" i="17"/>
  <c r="J215" i="17"/>
  <c r="K215" i="17"/>
  <c r="L215" i="17"/>
  <c r="M215" i="17"/>
  <c r="N215" i="17"/>
  <c r="O215" i="17"/>
  <c r="P215" i="17"/>
  <c r="W215" i="17"/>
  <c r="I216" i="17"/>
  <c r="J216" i="17"/>
  <c r="K216" i="17"/>
  <c r="L216" i="17"/>
  <c r="M216" i="17"/>
  <c r="N216" i="17"/>
  <c r="O216" i="17"/>
  <c r="P216" i="17"/>
  <c r="I217" i="17"/>
  <c r="J217" i="17"/>
  <c r="K217" i="17"/>
  <c r="L217" i="17"/>
  <c r="M217" i="17"/>
  <c r="N217" i="17"/>
  <c r="O217" i="17"/>
  <c r="P217" i="17"/>
  <c r="I218" i="17"/>
  <c r="J218" i="17"/>
  <c r="K218" i="17"/>
  <c r="L218" i="17"/>
  <c r="M218" i="17"/>
  <c r="N218" i="17"/>
  <c r="O218" i="17"/>
  <c r="P218" i="17"/>
  <c r="I219" i="17"/>
  <c r="J219" i="17"/>
  <c r="K219" i="17"/>
  <c r="L219" i="17"/>
  <c r="M219" i="17"/>
  <c r="N219" i="17"/>
  <c r="O219" i="17"/>
  <c r="P219" i="17"/>
  <c r="I220" i="17"/>
  <c r="J220" i="17"/>
  <c r="K220" i="17"/>
  <c r="L220" i="17"/>
  <c r="M220" i="17"/>
  <c r="N220" i="17"/>
  <c r="O220" i="17"/>
  <c r="P220" i="17"/>
  <c r="I221" i="17"/>
  <c r="J221" i="17"/>
  <c r="K221" i="17"/>
  <c r="L221" i="17"/>
  <c r="M221" i="17"/>
  <c r="N221" i="17"/>
  <c r="O221" i="17"/>
  <c r="P221" i="17"/>
  <c r="I222" i="17"/>
  <c r="J222" i="17"/>
  <c r="K222" i="17"/>
  <c r="L222" i="17"/>
  <c r="M222" i="17"/>
  <c r="N222" i="17"/>
  <c r="O222" i="17"/>
  <c r="P222" i="17"/>
  <c r="I223" i="17"/>
  <c r="J223" i="17"/>
  <c r="K223" i="17"/>
  <c r="L223" i="17"/>
  <c r="M223" i="17"/>
  <c r="N223" i="17"/>
  <c r="O223" i="17"/>
  <c r="P223" i="17"/>
  <c r="I224" i="17"/>
  <c r="J224" i="17"/>
  <c r="K224" i="17"/>
  <c r="L224" i="17"/>
  <c r="M224" i="17"/>
  <c r="N224" i="17"/>
  <c r="O224" i="17"/>
  <c r="P224" i="17"/>
  <c r="I225" i="17"/>
  <c r="J225" i="17"/>
  <c r="K225" i="17"/>
  <c r="L225" i="17"/>
  <c r="M225" i="17"/>
  <c r="N225" i="17"/>
  <c r="O225" i="17"/>
  <c r="P225" i="17"/>
  <c r="W225" i="17"/>
  <c r="I226" i="17"/>
  <c r="J226" i="17"/>
  <c r="K226" i="17"/>
  <c r="L226" i="17"/>
  <c r="M226" i="17"/>
  <c r="N226" i="17"/>
  <c r="O226" i="17"/>
  <c r="P226" i="17"/>
  <c r="I227" i="17"/>
  <c r="J227" i="17"/>
  <c r="K227" i="17"/>
  <c r="L227" i="17"/>
  <c r="M227" i="17"/>
  <c r="N227" i="17"/>
  <c r="O227" i="17"/>
  <c r="P227" i="17"/>
  <c r="I228" i="17"/>
  <c r="J228" i="17"/>
  <c r="K228" i="17"/>
  <c r="L228" i="17"/>
  <c r="M228" i="17"/>
  <c r="N228" i="17"/>
  <c r="O228" i="17"/>
  <c r="P228" i="17"/>
  <c r="I229" i="17"/>
  <c r="J229" i="17"/>
  <c r="K229" i="17"/>
  <c r="L229" i="17"/>
  <c r="M229" i="17"/>
  <c r="N229" i="17"/>
  <c r="O229" i="17"/>
  <c r="P229" i="17"/>
  <c r="I230" i="17"/>
  <c r="J230" i="17"/>
  <c r="K230" i="17"/>
  <c r="L230" i="17"/>
  <c r="M230" i="17"/>
  <c r="N230" i="17"/>
  <c r="O230" i="17"/>
  <c r="P230" i="17"/>
  <c r="I231" i="17"/>
  <c r="J231" i="17"/>
  <c r="K231" i="17"/>
  <c r="L231" i="17"/>
  <c r="M231" i="17"/>
  <c r="N231" i="17"/>
  <c r="O231" i="17"/>
  <c r="P231" i="17"/>
  <c r="I232" i="17"/>
  <c r="J232" i="17"/>
  <c r="K232" i="17"/>
  <c r="L232" i="17"/>
  <c r="M232" i="17"/>
  <c r="N232" i="17"/>
  <c r="O232" i="17"/>
  <c r="P232" i="17"/>
  <c r="I233" i="17"/>
  <c r="J233" i="17"/>
  <c r="K233" i="17"/>
  <c r="L233" i="17"/>
  <c r="M233" i="17"/>
  <c r="N233" i="17"/>
  <c r="O233" i="17"/>
  <c r="P233" i="17"/>
  <c r="I234" i="17"/>
  <c r="J234" i="17"/>
  <c r="K234" i="17"/>
  <c r="L234" i="17"/>
  <c r="M234" i="17"/>
  <c r="N234" i="17"/>
  <c r="O234" i="17"/>
  <c r="P234" i="17"/>
  <c r="I235" i="17"/>
  <c r="J235" i="17"/>
  <c r="K235" i="17"/>
  <c r="L235" i="17"/>
  <c r="M235" i="17"/>
  <c r="N235" i="17"/>
  <c r="O235" i="17"/>
  <c r="P235" i="17"/>
  <c r="W235" i="17"/>
  <c r="I236" i="17"/>
  <c r="J236" i="17"/>
  <c r="K236" i="17"/>
  <c r="L236" i="17"/>
  <c r="M236" i="17"/>
  <c r="N236" i="17"/>
  <c r="O236" i="17"/>
  <c r="P236" i="17"/>
  <c r="W236" i="17"/>
  <c r="I237" i="17"/>
  <c r="J237" i="17"/>
  <c r="K237" i="17"/>
  <c r="L237" i="17"/>
  <c r="M237" i="17"/>
  <c r="N237" i="17"/>
  <c r="O237" i="17"/>
  <c r="P237" i="17"/>
  <c r="W237" i="17"/>
  <c r="I238" i="17"/>
  <c r="J238" i="17"/>
  <c r="K238" i="17"/>
  <c r="L238" i="17"/>
  <c r="M238" i="17"/>
  <c r="N238" i="17"/>
  <c r="O238" i="17"/>
  <c r="P238" i="17"/>
  <c r="W238" i="17"/>
  <c r="I239" i="17"/>
  <c r="J239" i="17"/>
  <c r="K239" i="17"/>
  <c r="L239" i="17"/>
  <c r="M239" i="17"/>
  <c r="N239" i="17"/>
  <c r="O239" i="17"/>
  <c r="P239" i="17"/>
  <c r="I240" i="17"/>
  <c r="J240" i="17"/>
  <c r="K240" i="17"/>
  <c r="L240" i="17"/>
  <c r="M240" i="17"/>
  <c r="N240" i="17"/>
  <c r="O240" i="17"/>
  <c r="P240" i="17"/>
  <c r="I241" i="17"/>
  <c r="J241" i="17"/>
  <c r="K241" i="17"/>
  <c r="L241" i="17"/>
  <c r="M241" i="17"/>
  <c r="N241" i="17"/>
  <c r="O241" i="17"/>
  <c r="P241" i="17"/>
  <c r="I242" i="17"/>
  <c r="J242" i="17"/>
  <c r="K242" i="17"/>
  <c r="L242" i="17"/>
  <c r="M242" i="17"/>
  <c r="N242" i="17"/>
  <c r="O242" i="17"/>
  <c r="P242" i="17"/>
  <c r="I243" i="17"/>
  <c r="J243" i="17"/>
  <c r="K243" i="17"/>
  <c r="L243" i="17"/>
  <c r="M243" i="17"/>
  <c r="N243" i="17"/>
  <c r="O243" i="17"/>
  <c r="P243" i="17"/>
  <c r="I244" i="17"/>
  <c r="J244" i="17"/>
  <c r="K244" i="17"/>
  <c r="L244" i="17"/>
  <c r="M244" i="17"/>
  <c r="N244" i="17"/>
  <c r="O244" i="17"/>
  <c r="P244" i="17"/>
  <c r="W244" i="17"/>
  <c r="I245" i="17"/>
  <c r="J245" i="17"/>
  <c r="K245" i="17"/>
  <c r="L245" i="17"/>
  <c r="M245" i="17"/>
  <c r="N245" i="17"/>
  <c r="O245" i="17"/>
  <c r="P245" i="17"/>
  <c r="W245" i="17"/>
  <c r="I246" i="17"/>
  <c r="J246" i="17"/>
  <c r="K246" i="17"/>
  <c r="L246" i="17"/>
  <c r="M246" i="17"/>
  <c r="N246" i="17"/>
  <c r="O246" i="17"/>
  <c r="P246" i="17"/>
  <c r="W246" i="17"/>
  <c r="I247" i="17"/>
  <c r="J247" i="17"/>
  <c r="K247" i="17"/>
  <c r="L247" i="17"/>
  <c r="M247" i="17"/>
  <c r="N247" i="17"/>
  <c r="O247" i="17"/>
  <c r="P247" i="17"/>
  <c r="W247" i="17"/>
  <c r="I248" i="17"/>
  <c r="J248" i="17"/>
  <c r="K248" i="17"/>
  <c r="L248" i="17"/>
  <c r="M248" i="17"/>
  <c r="N248" i="17"/>
  <c r="O248" i="17"/>
  <c r="P248" i="17"/>
  <c r="I249" i="17"/>
  <c r="J249" i="17"/>
  <c r="K249" i="17"/>
  <c r="L249" i="17"/>
  <c r="M249" i="17"/>
  <c r="N249" i="17"/>
  <c r="O249" i="17"/>
  <c r="P249" i="17"/>
  <c r="I250" i="17"/>
  <c r="J250" i="17"/>
  <c r="K250" i="17"/>
  <c r="L250" i="17"/>
  <c r="M250" i="17"/>
  <c r="N250" i="17"/>
  <c r="O250" i="17"/>
  <c r="P250" i="17"/>
  <c r="I251" i="17"/>
  <c r="J251" i="17"/>
  <c r="K251" i="17"/>
  <c r="L251" i="17"/>
  <c r="M251" i="17"/>
  <c r="N251" i="17"/>
  <c r="O251" i="17"/>
  <c r="P251" i="17"/>
  <c r="I252" i="17"/>
  <c r="J252" i="17"/>
  <c r="K252" i="17"/>
  <c r="L252" i="17"/>
  <c r="M252" i="17"/>
  <c r="N252" i="17"/>
  <c r="O252" i="17"/>
  <c r="P252" i="17"/>
  <c r="W252" i="17"/>
  <c r="I253" i="17"/>
  <c r="J253" i="17"/>
  <c r="K253" i="17"/>
  <c r="L253" i="17"/>
  <c r="M253" i="17"/>
  <c r="N253" i="17"/>
  <c r="O253" i="17"/>
  <c r="P253" i="17"/>
  <c r="W253" i="17"/>
  <c r="I254" i="17"/>
  <c r="J254" i="17"/>
  <c r="K254" i="17"/>
  <c r="L254" i="17"/>
  <c r="M254" i="17"/>
  <c r="N254" i="17"/>
  <c r="O254" i="17"/>
  <c r="P254" i="17"/>
  <c r="W254" i="17"/>
  <c r="I255" i="17"/>
  <c r="J255" i="17"/>
  <c r="K255" i="17"/>
  <c r="L255" i="17"/>
  <c r="M255" i="17"/>
  <c r="N255" i="17"/>
  <c r="O255" i="17"/>
  <c r="P255" i="17"/>
  <c r="I256" i="17"/>
  <c r="J256" i="17"/>
  <c r="K256" i="17"/>
  <c r="L256" i="17"/>
  <c r="M256" i="17"/>
  <c r="N256" i="17"/>
  <c r="O256" i="17"/>
  <c r="P256" i="17"/>
  <c r="I257" i="17"/>
  <c r="J257" i="17"/>
  <c r="K257" i="17"/>
  <c r="L257" i="17"/>
  <c r="M257" i="17"/>
  <c r="N257" i="17"/>
  <c r="O257" i="17"/>
  <c r="P257" i="17"/>
  <c r="I258" i="17"/>
  <c r="J258" i="17"/>
  <c r="K258" i="17"/>
  <c r="L258" i="17"/>
  <c r="M258" i="17"/>
  <c r="N258" i="17"/>
  <c r="O258" i="17"/>
  <c r="P258" i="17"/>
  <c r="I259" i="17"/>
  <c r="J259" i="17"/>
  <c r="K259" i="17"/>
  <c r="L259" i="17"/>
  <c r="M259" i="17"/>
  <c r="N259" i="17"/>
  <c r="O259" i="17"/>
  <c r="P259" i="17"/>
  <c r="W259" i="17"/>
  <c r="I260" i="17"/>
  <c r="J260" i="17"/>
  <c r="K260" i="17"/>
  <c r="L260" i="17"/>
  <c r="M260" i="17"/>
  <c r="N260" i="17"/>
  <c r="O260" i="17"/>
  <c r="P260" i="17"/>
  <c r="I261" i="17"/>
  <c r="J261" i="17"/>
  <c r="K261" i="17"/>
  <c r="L261" i="17"/>
  <c r="M261" i="17"/>
  <c r="N261" i="17"/>
  <c r="O261" i="17"/>
  <c r="P261" i="17"/>
  <c r="I262" i="17"/>
  <c r="J262" i="17"/>
  <c r="K262" i="17"/>
  <c r="L262" i="17"/>
  <c r="M262" i="17"/>
  <c r="N262" i="17"/>
  <c r="O262" i="17"/>
  <c r="P262" i="17"/>
  <c r="I263" i="17"/>
  <c r="J263" i="17"/>
  <c r="K263" i="17"/>
  <c r="L263" i="17"/>
  <c r="M263" i="17"/>
  <c r="N263" i="17"/>
  <c r="O263" i="17"/>
  <c r="P263" i="17"/>
  <c r="I264" i="17"/>
  <c r="J264" i="17"/>
  <c r="K264" i="17"/>
  <c r="L264" i="17"/>
  <c r="M264" i="17"/>
  <c r="N264" i="17"/>
  <c r="O264" i="17"/>
  <c r="P264" i="17"/>
  <c r="I265" i="17"/>
  <c r="J265" i="17"/>
  <c r="K265" i="17"/>
  <c r="L265" i="17"/>
  <c r="M265" i="17"/>
  <c r="N265" i="17"/>
  <c r="O265" i="17"/>
  <c r="P265" i="17"/>
  <c r="W265" i="17"/>
  <c r="I266" i="17"/>
  <c r="J266" i="17"/>
  <c r="K266" i="17"/>
  <c r="L266" i="17"/>
  <c r="M266" i="17"/>
  <c r="N266" i="17"/>
  <c r="O266" i="17"/>
  <c r="P266" i="17"/>
  <c r="I267" i="17"/>
  <c r="J267" i="17"/>
  <c r="K267" i="17"/>
  <c r="L267" i="17"/>
  <c r="M267" i="17"/>
  <c r="N267" i="17"/>
  <c r="O267" i="17"/>
  <c r="P267" i="17"/>
  <c r="I268" i="17"/>
  <c r="J268" i="17"/>
  <c r="K268" i="17"/>
  <c r="L268" i="17"/>
  <c r="M268" i="17"/>
  <c r="N268" i="17"/>
  <c r="O268" i="17"/>
  <c r="P268" i="17"/>
  <c r="W268" i="17"/>
  <c r="I269" i="17"/>
  <c r="J269" i="17"/>
  <c r="K269" i="17"/>
  <c r="L269" i="17"/>
  <c r="M269" i="17"/>
  <c r="N269" i="17"/>
  <c r="O269" i="17"/>
  <c r="P269" i="17"/>
  <c r="W269" i="17"/>
  <c r="I270" i="17"/>
  <c r="J270" i="17"/>
  <c r="K270" i="17"/>
  <c r="L270" i="17"/>
  <c r="M270" i="17"/>
  <c r="N270" i="17"/>
  <c r="O270" i="17"/>
  <c r="P270" i="17"/>
  <c r="W270" i="17"/>
  <c r="I271" i="17"/>
  <c r="J271" i="17"/>
  <c r="K271" i="17"/>
  <c r="L271" i="17"/>
  <c r="M271" i="17"/>
  <c r="N271" i="17"/>
  <c r="O271" i="17"/>
  <c r="P271" i="17"/>
  <c r="W271" i="17"/>
  <c r="I272" i="17"/>
  <c r="J272" i="17"/>
  <c r="K272" i="17"/>
  <c r="L272" i="17"/>
  <c r="M272" i="17"/>
  <c r="N272" i="17"/>
  <c r="O272" i="17"/>
  <c r="P272" i="17"/>
  <c r="W272" i="17"/>
  <c r="I273" i="17"/>
  <c r="J273" i="17"/>
  <c r="K273" i="17"/>
  <c r="L273" i="17"/>
  <c r="M273" i="17"/>
  <c r="N273" i="17"/>
  <c r="O273" i="17"/>
  <c r="P273" i="17"/>
  <c r="W273" i="17"/>
  <c r="I274" i="17"/>
  <c r="J274" i="17"/>
  <c r="K274" i="17"/>
  <c r="L274" i="17"/>
  <c r="M274" i="17"/>
  <c r="N274" i="17"/>
  <c r="O274" i="17"/>
  <c r="P274" i="17"/>
  <c r="W274" i="17"/>
  <c r="I275" i="17"/>
  <c r="J275" i="17"/>
  <c r="K275" i="17"/>
  <c r="L275" i="17"/>
  <c r="M275" i="17"/>
  <c r="N275" i="17"/>
  <c r="O275" i="17"/>
  <c r="P275" i="17"/>
  <c r="I276" i="17"/>
  <c r="J276" i="17"/>
  <c r="K276" i="17"/>
  <c r="L276" i="17"/>
  <c r="M276" i="17"/>
  <c r="N276" i="17"/>
  <c r="O276" i="17"/>
  <c r="P276" i="17"/>
  <c r="I277" i="17"/>
  <c r="J277" i="17"/>
  <c r="K277" i="17"/>
  <c r="L277" i="17"/>
  <c r="M277" i="17"/>
  <c r="N277" i="17"/>
  <c r="O277" i="17"/>
  <c r="P277" i="17"/>
  <c r="I278" i="17"/>
  <c r="J278" i="17"/>
  <c r="K278" i="17"/>
  <c r="L278" i="17"/>
  <c r="M278" i="17"/>
  <c r="N278" i="17"/>
  <c r="O278" i="17"/>
  <c r="P278" i="17"/>
  <c r="W278" i="17"/>
  <c r="I279" i="17"/>
  <c r="J279" i="17"/>
  <c r="K279" i="17"/>
  <c r="L279" i="17"/>
  <c r="M279" i="17"/>
  <c r="N279" i="17"/>
  <c r="O279" i="17"/>
  <c r="P279" i="17"/>
  <c r="W279" i="17"/>
  <c r="I280" i="17"/>
  <c r="J280" i="17"/>
  <c r="K280" i="17"/>
  <c r="L280" i="17"/>
  <c r="M280" i="17"/>
  <c r="N280" i="17"/>
  <c r="O280" i="17"/>
  <c r="P280" i="17"/>
  <c r="W280" i="17"/>
  <c r="I281" i="17"/>
  <c r="J281" i="17"/>
  <c r="K281" i="17"/>
  <c r="L281" i="17"/>
  <c r="M281" i="17"/>
  <c r="N281" i="17"/>
  <c r="O281" i="17"/>
  <c r="P281" i="17"/>
  <c r="I282" i="17"/>
  <c r="J282" i="17"/>
  <c r="K282" i="17"/>
  <c r="L282" i="17"/>
  <c r="M282" i="17"/>
  <c r="N282" i="17"/>
  <c r="O282" i="17"/>
  <c r="P282" i="17"/>
  <c r="I283" i="17"/>
  <c r="J283" i="17"/>
  <c r="K283" i="17"/>
  <c r="L283" i="17"/>
  <c r="M283" i="17"/>
  <c r="N283" i="17"/>
  <c r="O283" i="17"/>
  <c r="P283" i="17"/>
  <c r="I284" i="17"/>
  <c r="J284" i="17"/>
  <c r="K284" i="17"/>
  <c r="L284" i="17"/>
  <c r="M284" i="17"/>
  <c r="N284" i="17"/>
  <c r="O284" i="17"/>
  <c r="P284" i="17"/>
  <c r="I285" i="17"/>
  <c r="J285" i="17"/>
  <c r="K285" i="17"/>
  <c r="L285" i="17"/>
  <c r="M285" i="17"/>
  <c r="N285" i="17"/>
  <c r="O285" i="17"/>
  <c r="P285" i="17"/>
  <c r="W285" i="17"/>
  <c r="I286" i="17"/>
  <c r="J286" i="17"/>
  <c r="K286" i="17"/>
  <c r="L286" i="17"/>
  <c r="M286" i="17"/>
  <c r="N286" i="17"/>
  <c r="O286" i="17"/>
  <c r="P286" i="17"/>
  <c r="W286" i="17"/>
  <c r="I287" i="17"/>
  <c r="J287" i="17"/>
  <c r="K287" i="17"/>
  <c r="L287" i="17"/>
  <c r="M287" i="17"/>
  <c r="N287" i="17"/>
  <c r="O287" i="17"/>
  <c r="P287" i="17"/>
  <c r="W287" i="17"/>
  <c r="I288" i="17"/>
  <c r="J288" i="17"/>
  <c r="K288" i="17"/>
  <c r="L288" i="17"/>
  <c r="M288" i="17"/>
  <c r="N288" i="17"/>
  <c r="O288" i="17"/>
  <c r="P288" i="17"/>
  <c r="I289" i="17"/>
  <c r="J289" i="17"/>
  <c r="K289" i="17"/>
  <c r="L289" i="17"/>
  <c r="M289" i="17"/>
  <c r="N289" i="17"/>
  <c r="O289" i="17"/>
  <c r="P289" i="17"/>
  <c r="W289" i="17"/>
  <c r="I290" i="17"/>
  <c r="J290" i="17"/>
  <c r="K290" i="17"/>
  <c r="L290" i="17"/>
  <c r="M290" i="17"/>
  <c r="N290" i="17"/>
  <c r="O290" i="17"/>
  <c r="P290" i="17"/>
  <c r="W290" i="17"/>
  <c r="I291" i="17"/>
  <c r="J291" i="17"/>
  <c r="K291" i="17"/>
  <c r="L291" i="17"/>
  <c r="M291" i="17"/>
  <c r="N291" i="17"/>
  <c r="O291" i="17"/>
  <c r="P291" i="17"/>
  <c r="I292" i="17"/>
  <c r="J292" i="17"/>
  <c r="K292" i="17"/>
  <c r="L292" i="17"/>
  <c r="M292" i="17"/>
  <c r="N292" i="17"/>
  <c r="O292" i="17"/>
  <c r="P292" i="17"/>
  <c r="W292" i="17"/>
  <c r="I293" i="17"/>
  <c r="J293" i="17"/>
  <c r="K293" i="17"/>
  <c r="L293" i="17"/>
  <c r="M293" i="17"/>
  <c r="N293" i="17"/>
  <c r="O293" i="17"/>
  <c r="P293" i="17"/>
  <c r="W293" i="17"/>
  <c r="I294" i="17"/>
  <c r="J294" i="17"/>
  <c r="K294" i="17"/>
  <c r="L294" i="17"/>
  <c r="M294" i="17"/>
  <c r="N294" i="17"/>
  <c r="O294" i="17"/>
  <c r="P294" i="17"/>
  <c r="I295" i="17"/>
  <c r="J295" i="17"/>
  <c r="K295" i="17"/>
  <c r="L295" i="17"/>
  <c r="M295" i="17"/>
  <c r="N295" i="17"/>
  <c r="O295" i="17"/>
  <c r="P295" i="17"/>
  <c r="I296" i="17"/>
  <c r="J296" i="17"/>
  <c r="K296" i="17"/>
  <c r="L296" i="17"/>
  <c r="M296" i="17"/>
  <c r="N296" i="17"/>
  <c r="O296" i="17"/>
  <c r="P296" i="17"/>
  <c r="I297" i="17"/>
  <c r="J297" i="17"/>
  <c r="K297" i="17"/>
  <c r="L297" i="17"/>
  <c r="M297" i="17"/>
  <c r="N297" i="17"/>
  <c r="O297" i="17"/>
  <c r="P297" i="17"/>
  <c r="W297" i="17"/>
  <c r="I298" i="17"/>
  <c r="J298" i="17"/>
  <c r="K298" i="17"/>
  <c r="L298" i="17"/>
  <c r="M298" i="17"/>
  <c r="N298" i="17"/>
  <c r="O298" i="17"/>
  <c r="P298" i="17"/>
  <c r="I299" i="17"/>
  <c r="J299" i="17"/>
  <c r="K299" i="17"/>
  <c r="L299" i="17"/>
  <c r="M299" i="17"/>
  <c r="N299" i="17"/>
  <c r="O299" i="17"/>
  <c r="P299" i="17"/>
  <c r="W299" i="17"/>
  <c r="I300" i="17"/>
  <c r="J300" i="17"/>
  <c r="K300" i="17"/>
  <c r="L300" i="17"/>
  <c r="M300" i="17"/>
  <c r="N300" i="17"/>
  <c r="O300" i="17"/>
  <c r="P300" i="17"/>
  <c r="W300" i="17"/>
  <c r="I301" i="17"/>
  <c r="J301" i="17"/>
  <c r="K301" i="17"/>
  <c r="L301" i="17"/>
  <c r="M301" i="17"/>
  <c r="N301" i="17"/>
  <c r="O301" i="17"/>
  <c r="P301" i="17"/>
  <c r="I302" i="17"/>
  <c r="J302" i="17"/>
  <c r="K302" i="17"/>
  <c r="L302" i="17"/>
  <c r="M302" i="17"/>
  <c r="N302" i="17"/>
  <c r="O302" i="17"/>
  <c r="P302" i="17"/>
  <c r="I303" i="17"/>
  <c r="J303" i="17"/>
  <c r="K303" i="17"/>
  <c r="L303" i="17"/>
  <c r="M303" i="17"/>
  <c r="N303" i="17"/>
  <c r="O303" i="17"/>
  <c r="P303" i="17"/>
  <c r="I304" i="17"/>
  <c r="J304" i="17"/>
  <c r="K304" i="17"/>
  <c r="L304" i="17"/>
  <c r="M304" i="17"/>
  <c r="N304" i="17"/>
  <c r="O304" i="17"/>
  <c r="P304" i="17"/>
  <c r="W304" i="17"/>
  <c r="I305" i="17"/>
  <c r="J305" i="17"/>
  <c r="K305" i="17"/>
  <c r="L305" i="17"/>
  <c r="M305" i="17"/>
  <c r="N305" i="17"/>
  <c r="O305" i="17"/>
  <c r="P305" i="17"/>
  <c r="W305" i="17"/>
  <c r="I306" i="17"/>
  <c r="J306" i="17"/>
  <c r="K306" i="17"/>
  <c r="L306" i="17"/>
  <c r="M306" i="17"/>
  <c r="N306" i="17"/>
  <c r="O306" i="17"/>
  <c r="P306" i="17"/>
  <c r="W306" i="17"/>
  <c r="I307" i="17"/>
  <c r="J307" i="17"/>
  <c r="K307" i="17"/>
  <c r="L307" i="17"/>
  <c r="M307" i="17"/>
  <c r="N307" i="17"/>
  <c r="O307" i="17"/>
  <c r="P307" i="17"/>
  <c r="W307" i="17"/>
  <c r="I308" i="17"/>
  <c r="J308" i="17"/>
  <c r="K308" i="17"/>
  <c r="L308" i="17"/>
  <c r="M308" i="17"/>
  <c r="N308" i="17"/>
  <c r="O308" i="17"/>
  <c r="P308" i="17"/>
  <c r="W308" i="17"/>
  <c r="I309" i="17"/>
  <c r="J309" i="17"/>
  <c r="K309" i="17"/>
  <c r="L309" i="17"/>
  <c r="M309" i="17"/>
  <c r="N309" i="17"/>
  <c r="O309" i="17"/>
  <c r="P309" i="17"/>
  <c r="W309" i="17"/>
  <c r="I310" i="17"/>
  <c r="J310" i="17"/>
  <c r="K310" i="17"/>
  <c r="L310" i="17"/>
  <c r="M310" i="17"/>
  <c r="N310" i="17"/>
  <c r="O310" i="17"/>
  <c r="P310" i="17"/>
  <c r="W310" i="17"/>
  <c r="I311" i="17"/>
  <c r="J311" i="17"/>
  <c r="K311" i="17"/>
  <c r="L311" i="17"/>
  <c r="M311" i="17"/>
  <c r="N311" i="17"/>
  <c r="O311" i="17"/>
  <c r="P311" i="17"/>
  <c r="W311" i="17"/>
  <c r="I312" i="17"/>
  <c r="J312" i="17"/>
  <c r="K312" i="17"/>
  <c r="L312" i="17"/>
  <c r="M312" i="17"/>
  <c r="N312" i="17"/>
  <c r="O312" i="17"/>
  <c r="P312" i="17"/>
  <c r="W312" i="17"/>
  <c r="I313" i="17"/>
  <c r="J313" i="17"/>
  <c r="K313" i="17"/>
  <c r="L313" i="17"/>
  <c r="M313" i="17"/>
  <c r="N313" i="17"/>
  <c r="O313" i="17"/>
  <c r="P313" i="17"/>
  <c r="W313" i="17"/>
  <c r="I314" i="17"/>
  <c r="J314" i="17"/>
  <c r="K314" i="17"/>
  <c r="L314" i="17"/>
  <c r="M314" i="17"/>
  <c r="N314" i="17"/>
  <c r="O314" i="17"/>
  <c r="P314" i="17"/>
  <c r="I315" i="17"/>
  <c r="J315" i="17"/>
  <c r="K315" i="17"/>
  <c r="L315" i="17"/>
  <c r="M315" i="17"/>
  <c r="N315" i="17"/>
  <c r="O315" i="17"/>
  <c r="P315" i="17"/>
  <c r="I316" i="17"/>
  <c r="J316" i="17"/>
  <c r="K316" i="17"/>
  <c r="L316" i="17"/>
  <c r="M316" i="17"/>
  <c r="N316" i="17"/>
  <c r="O316" i="17"/>
  <c r="P316" i="17"/>
  <c r="I317" i="17"/>
  <c r="J317" i="17"/>
  <c r="K317" i="17"/>
  <c r="L317" i="17"/>
  <c r="M317" i="17"/>
  <c r="N317" i="17"/>
  <c r="O317" i="17"/>
  <c r="P317" i="17"/>
  <c r="I318" i="17"/>
  <c r="J318" i="17"/>
  <c r="K318" i="17"/>
  <c r="L318" i="17"/>
  <c r="M318" i="17"/>
  <c r="N318" i="17"/>
  <c r="O318" i="17"/>
  <c r="P318" i="17"/>
  <c r="I319" i="17"/>
  <c r="J319" i="17"/>
  <c r="K319" i="17"/>
  <c r="L319" i="17"/>
  <c r="M319" i="17"/>
  <c r="N319" i="17"/>
  <c r="O319" i="17"/>
  <c r="P319" i="17"/>
  <c r="W319" i="17"/>
  <c r="I320" i="17"/>
  <c r="J320" i="17"/>
  <c r="K320" i="17"/>
  <c r="L320" i="17"/>
  <c r="M320" i="17"/>
  <c r="N320" i="17"/>
  <c r="O320" i="17"/>
  <c r="P320" i="17"/>
  <c r="W320" i="17"/>
  <c r="I321" i="17"/>
  <c r="J321" i="17"/>
  <c r="K321" i="17"/>
  <c r="L321" i="17"/>
  <c r="M321" i="17"/>
  <c r="N321" i="17"/>
  <c r="O321" i="17"/>
  <c r="P321" i="17"/>
  <c r="W321" i="17"/>
  <c r="I322" i="17"/>
  <c r="J322" i="17"/>
  <c r="K322" i="17"/>
  <c r="L322" i="17"/>
  <c r="M322" i="17"/>
  <c r="N322" i="17"/>
  <c r="O322" i="17"/>
  <c r="P322" i="17"/>
  <c r="W322" i="17"/>
  <c r="I323" i="17"/>
  <c r="J323" i="17"/>
  <c r="K323" i="17"/>
  <c r="L323" i="17"/>
  <c r="M323" i="17"/>
  <c r="N323" i="17"/>
  <c r="O323" i="17"/>
  <c r="P323" i="17"/>
  <c r="W323" i="17"/>
  <c r="I324" i="17"/>
  <c r="J324" i="17"/>
  <c r="K324" i="17"/>
  <c r="L324" i="17"/>
  <c r="M324" i="17"/>
  <c r="N324" i="17"/>
  <c r="O324" i="17"/>
  <c r="P324" i="17"/>
  <c r="W324" i="17"/>
  <c r="I325" i="17"/>
  <c r="J325" i="17"/>
  <c r="K325" i="17"/>
  <c r="L325" i="17"/>
  <c r="M325" i="17"/>
  <c r="N325" i="17"/>
  <c r="O325" i="17"/>
  <c r="P325" i="17"/>
  <c r="W325" i="17"/>
  <c r="I326" i="17"/>
  <c r="J326" i="17"/>
  <c r="K326" i="17"/>
  <c r="L326" i="17"/>
  <c r="M326" i="17"/>
  <c r="N326" i="17"/>
  <c r="O326" i="17"/>
  <c r="P326" i="17"/>
  <c r="W326" i="17"/>
  <c r="I327" i="17"/>
  <c r="J327" i="17"/>
  <c r="K327" i="17"/>
  <c r="L327" i="17"/>
  <c r="M327" i="17"/>
  <c r="N327" i="17"/>
  <c r="O327" i="17"/>
  <c r="P327" i="17"/>
  <c r="W327" i="17"/>
  <c r="I328" i="17"/>
  <c r="J328" i="17"/>
  <c r="K328" i="17"/>
  <c r="L328" i="17"/>
  <c r="M328" i="17"/>
  <c r="N328" i="17"/>
  <c r="O328" i="17"/>
  <c r="P328" i="17"/>
  <c r="W328" i="17"/>
  <c r="I329" i="17"/>
  <c r="J329" i="17"/>
  <c r="K329" i="17"/>
  <c r="L329" i="17"/>
  <c r="M329" i="17"/>
  <c r="N329" i="17"/>
  <c r="O329" i="17"/>
  <c r="P329" i="17"/>
  <c r="W329" i="17"/>
  <c r="I330" i="17"/>
  <c r="J330" i="17"/>
  <c r="K330" i="17"/>
  <c r="L330" i="17"/>
  <c r="M330" i="17"/>
  <c r="N330" i="17"/>
  <c r="O330" i="17"/>
  <c r="P330" i="17"/>
  <c r="W330" i="17"/>
  <c r="I331" i="17"/>
  <c r="J331" i="17"/>
  <c r="K331" i="17"/>
  <c r="L331" i="17"/>
  <c r="M331" i="17"/>
  <c r="N331" i="17"/>
  <c r="O331" i="17"/>
  <c r="P331" i="17"/>
  <c r="W331" i="17"/>
  <c r="I332" i="17"/>
  <c r="J332" i="17"/>
  <c r="K332" i="17"/>
  <c r="L332" i="17"/>
  <c r="M332" i="17"/>
  <c r="N332" i="17"/>
  <c r="O332" i="17"/>
  <c r="P332" i="17"/>
  <c r="W332" i="17"/>
  <c r="I333" i="17"/>
  <c r="J333" i="17"/>
  <c r="K333" i="17"/>
  <c r="L333" i="17"/>
  <c r="M333" i="17"/>
  <c r="N333" i="17"/>
  <c r="O333" i="17"/>
  <c r="P333" i="17"/>
  <c r="W333" i="17"/>
  <c r="I334" i="17"/>
  <c r="J334" i="17"/>
  <c r="K334" i="17"/>
  <c r="L334" i="17"/>
  <c r="M334" i="17"/>
  <c r="N334" i="17"/>
  <c r="O334" i="17"/>
  <c r="P334" i="17"/>
  <c r="W334" i="17"/>
  <c r="I335" i="17"/>
  <c r="J335" i="17"/>
  <c r="K335" i="17"/>
  <c r="L335" i="17"/>
  <c r="M335" i="17"/>
  <c r="N335" i="17"/>
  <c r="O335" i="17"/>
  <c r="P335" i="17"/>
  <c r="W335" i="17"/>
  <c r="I336" i="17"/>
  <c r="J336" i="17"/>
  <c r="K336" i="17"/>
  <c r="L336" i="17"/>
  <c r="M336" i="17"/>
  <c r="N336" i="17"/>
  <c r="O336" i="17"/>
  <c r="P336" i="17"/>
  <c r="W336" i="17"/>
  <c r="I337" i="17"/>
  <c r="J337" i="17"/>
  <c r="K337" i="17"/>
  <c r="L337" i="17"/>
  <c r="M337" i="17"/>
  <c r="N337" i="17"/>
  <c r="O337" i="17"/>
  <c r="P337" i="17"/>
  <c r="W337" i="17"/>
  <c r="I338" i="17"/>
  <c r="J338" i="17"/>
  <c r="K338" i="17"/>
  <c r="L338" i="17"/>
  <c r="M338" i="17"/>
  <c r="N338" i="17"/>
  <c r="O338" i="17"/>
  <c r="P338" i="17"/>
  <c r="W338" i="17"/>
  <c r="I339" i="17"/>
  <c r="J339" i="17"/>
  <c r="K339" i="17"/>
  <c r="L339" i="17"/>
  <c r="M339" i="17"/>
  <c r="N339" i="17"/>
  <c r="O339" i="17"/>
  <c r="P339" i="17"/>
  <c r="W339" i="17"/>
  <c r="I340" i="17"/>
  <c r="J340" i="17"/>
  <c r="K340" i="17"/>
  <c r="L340" i="17"/>
  <c r="M340" i="17"/>
  <c r="N340" i="17"/>
  <c r="O340" i="17"/>
  <c r="P340" i="17"/>
  <c r="W340" i="17"/>
  <c r="I341" i="17"/>
  <c r="J341" i="17"/>
  <c r="K341" i="17"/>
  <c r="L341" i="17"/>
  <c r="M341" i="17"/>
  <c r="N341" i="17"/>
  <c r="O341" i="17"/>
  <c r="P341" i="17"/>
  <c r="W341" i="17"/>
  <c r="I342" i="17"/>
  <c r="J342" i="17"/>
  <c r="K342" i="17"/>
  <c r="L342" i="17"/>
  <c r="M342" i="17"/>
  <c r="N342" i="17"/>
  <c r="O342" i="17"/>
  <c r="P342" i="17"/>
  <c r="W342" i="17"/>
  <c r="I343" i="17"/>
  <c r="J343" i="17"/>
  <c r="K343" i="17"/>
  <c r="L343" i="17"/>
  <c r="M343" i="17"/>
  <c r="N343" i="17"/>
  <c r="O343" i="17"/>
  <c r="P343" i="17"/>
  <c r="W343" i="17"/>
  <c r="I344" i="17"/>
  <c r="J344" i="17"/>
  <c r="K344" i="17"/>
  <c r="L344" i="17"/>
  <c r="M344" i="17"/>
  <c r="N344" i="17"/>
  <c r="O344" i="17"/>
  <c r="P344" i="17"/>
  <c r="W344" i="17"/>
  <c r="I345" i="17"/>
  <c r="J345" i="17"/>
  <c r="K345" i="17"/>
  <c r="L345" i="17"/>
  <c r="M345" i="17"/>
  <c r="N345" i="17"/>
  <c r="O345" i="17"/>
  <c r="P345" i="17"/>
  <c r="W345" i="17"/>
  <c r="I346" i="17"/>
  <c r="J346" i="17"/>
  <c r="K346" i="17"/>
  <c r="L346" i="17"/>
  <c r="M346" i="17"/>
  <c r="N346" i="17"/>
  <c r="O346" i="17"/>
  <c r="P346" i="17"/>
  <c r="W346" i="17"/>
  <c r="I347" i="17"/>
  <c r="J347" i="17"/>
  <c r="K347" i="17"/>
  <c r="L347" i="17"/>
  <c r="M347" i="17"/>
  <c r="N347" i="17"/>
  <c r="O347" i="17"/>
  <c r="P347" i="17"/>
  <c r="W347" i="17"/>
  <c r="I348" i="17"/>
  <c r="J348" i="17"/>
  <c r="K348" i="17"/>
  <c r="L348" i="17"/>
  <c r="M348" i="17"/>
  <c r="N348" i="17"/>
  <c r="O348" i="17"/>
  <c r="P348" i="17"/>
  <c r="W348" i="17"/>
  <c r="I349" i="17"/>
  <c r="J349" i="17"/>
  <c r="K349" i="17"/>
  <c r="L349" i="17"/>
  <c r="M349" i="17"/>
  <c r="N349" i="17"/>
  <c r="O349" i="17"/>
  <c r="P349" i="17"/>
  <c r="W349" i="17"/>
  <c r="I350" i="17"/>
  <c r="J350" i="17"/>
  <c r="K350" i="17"/>
  <c r="L350" i="17"/>
  <c r="M350" i="17"/>
  <c r="N350" i="17"/>
  <c r="O350" i="17"/>
  <c r="P350" i="17"/>
  <c r="W350" i="17"/>
  <c r="I351" i="17"/>
  <c r="J351" i="17"/>
  <c r="K351" i="17"/>
  <c r="L351" i="17"/>
  <c r="M351" i="17"/>
  <c r="N351" i="17"/>
  <c r="O351" i="17"/>
  <c r="P351" i="17"/>
  <c r="W351" i="17"/>
  <c r="I352" i="17"/>
  <c r="J352" i="17"/>
  <c r="K352" i="17"/>
  <c r="L352" i="17"/>
  <c r="M352" i="17"/>
  <c r="N352" i="17"/>
  <c r="O352" i="17"/>
  <c r="P352" i="17"/>
  <c r="W352" i="17"/>
  <c r="I353" i="17"/>
  <c r="J353" i="17"/>
  <c r="K353" i="17"/>
  <c r="L353" i="17"/>
  <c r="M353" i="17"/>
  <c r="N353" i="17"/>
  <c r="O353" i="17"/>
  <c r="P353" i="17"/>
  <c r="W353" i="17"/>
  <c r="I354" i="17"/>
  <c r="J354" i="17"/>
  <c r="K354" i="17"/>
  <c r="L354" i="17"/>
  <c r="M354" i="17"/>
  <c r="N354" i="17"/>
  <c r="O354" i="17"/>
  <c r="P354" i="17"/>
  <c r="W354" i="17"/>
  <c r="I355" i="17"/>
  <c r="J355" i="17"/>
  <c r="K355" i="17"/>
  <c r="L355" i="17"/>
  <c r="M355" i="17"/>
  <c r="N355" i="17"/>
  <c r="O355" i="17"/>
  <c r="P355" i="17"/>
  <c r="W355" i="17"/>
  <c r="I356" i="17"/>
  <c r="J356" i="17"/>
  <c r="K356" i="17"/>
  <c r="L356" i="17"/>
  <c r="M356" i="17"/>
  <c r="N356" i="17"/>
  <c r="O356" i="17"/>
  <c r="P356" i="17"/>
  <c r="W356" i="17"/>
  <c r="I357" i="17"/>
  <c r="J357" i="17"/>
  <c r="K357" i="17"/>
  <c r="L357" i="17"/>
  <c r="M357" i="17"/>
  <c r="N357" i="17"/>
  <c r="O357" i="17"/>
  <c r="P357" i="17"/>
  <c r="W357" i="17"/>
  <c r="I358" i="17"/>
  <c r="J358" i="17"/>
  <c r="K358" i="17"/>
  <c r="L358" i="17"/>
  <c r="M358" i="17"/>
  <c r="N358" i="17"/>
  <c r="O358" i="17"/>
  <c r="P358" i="17"/>
  <c r="W358" i="17"/>
  <c r="I359" i="17"/>
  <c r="J359" i="17"/>
  <c r="K359" i="17"/>
  <c r="L359" i="17"/>
  <c r="M359" i="17"/>
  <c r="N359" i="17"/>
  <c r="O359" i="17"/>
  <c r="P359" i="17"/>
  <c r="W359" i="17"/>
  <c r="I360" i="17"/>
  <c r="J360" i="17"/>
  <c r="K360" i="17"/>
  <c r="L360" i="17"/>
  <c r="M360" i="17"/>
  <c r="N360" i="17"/>
  <c r="O360" i="17"/>
  <c r="P360" i="17"/>
  <c r="W360" i="17"/>
  <c r="I361" i="17"/>
  <c r="J361" i="17"/>
  <c r="K361" i="17"/>
  <c r="L361" i="17"/>
  <c r="M361" i="17"/>
  <c r="N361" i="17"/>
  <c r="O361" i="17"/>
  <c r="P361" i="17"/>
  <c r="W361" i="17"/>
  <c r="I362" i="17"/>
  <c r="J362" i="17"/>
  <c r="K362" i="17"/>
  <c r="L362" i="17"/>
  <c r="M362" i="17"/>
  <c r="N362" i="17"/>
  <c r="O362" i="17"/>
  <c r="P362" i="17"/>
  <c r="W362" i="17"/>
  <c r="I363" i="17"/>
  <c r="J363" i="17"/>
  <c r="K363" i="17"/>
  <c r="L363" i="17"/>
  <c r="M363" i="17"/>
  <c r="N363" i="17"/>
  <c r="O363" i="17"/>
  <c r="P363" i="17"/>
  <c r="W363" i="17"/>
  <c r="I364" i="17"/>
  <c r="J364" i="17"/>
  <c r="K364" i="17"/>
  <c r="L364" i="17"/>
  <c r="M364" i="17"/>
  <c r="N364" i="17"/>
  <c r="O364" i="17"/>
  <c r="P364" i="17"/>
  <c r="W364" i="17"/>
  <c r="I365" i="17"/>
  <c r="J365" i="17"/>
  <c r="K365" i="17"/>
  <c r="L365" i="17"/>
  <c r="M365" i="17"/>
  <c r="N365" i="17"/>
  <c r="O365" i="17"/>
  <c r="P365" i="17"/>
  <c r="W365" i="17"/>
  <c r="I366" i="17"/>
  <c r="J366" i="17"/>
  <c r="K366" i="17"/>
  <c r="L366" i="17"/>
  <c r="M366" i="17"/>
  <c r="N366" i="17"/>
  <c r="O366" i="17"/>
  <c r="P366" i="17"/>
  <c r="W366" i="17"/>
  <c r="I367" i="17"/>
  <c r="J367" i="17"/>
  <c r="K367" i="17"/>
  <c r="L367" i="17"/>
  <c r="M367" i="17"/>
  <c r="N367" i="17"/>
  <c r="O367" i="17"/>
  <c r="P367" i="17"/>
  <c r="I368" i="17"/>
  <c r="J368" i="17"/>
  <c r="K368" i="17"/>
  <c r="L368" i="17"/>
  <c r="M368" i="17"/>
  <c r="N368" i="17"/>
  <c r="O368" i="17"/>
  <c r="P368" i="17"/>
  <c r="I369" i="17"/>
  <c r="J369" i="17"/>
  <c r="K369" i="17"/>
  <c r="L369" i="17"/>
  <c r="M369" i="17"/>
  <c r="N369" i="17"/>
  <c r="O369" i="17"/>
  <c r="P369" i="17"/>
  <c r="I370" i="17"/>
  <c r="J370" i="17"/>
  <c r="K370" i="17"/>
  <c r="L370" i="17"/>
  <c r="M370" i="17"/>
  <c r="N370" i="17"/>
  <c r="O370" i="17"/>
  <c r="P370" i="17"/>
  <c r="I371" i="17"/>
  <c r="J371" i="17"/>
  <c r="K371" i="17"/>
  <c r="L371" i="17"/>
  <c r="M371" i="17"/>
  <c r="N371" i="17"/>
  <c r="O371" i="17"/>
  <c r="P371" i="17"/>
  <c r="I372" i="17"/>
  <c r="J372" i="17"/>
  <c r="K372" i="17"/>
  <c r="L372" i="17"/>
  <c r="M372" i="17"/>
  <c r="N372" i="17"/>
  <c r="O372" i="17"/>
  <c r="P372" i="17"/>
  <c r="I373" i="17"/>
  <c r="J373" i="17"/>
  <c r="K373" i="17"/>
  <c r="L373" i="17"/>
  <c r="M373" i="17"/>
  <c r="N373" i="17"/>
  <c r="O373" i="17"/>
  <c r="P373" i="17"/>
  <c r="I374" i="17"/>
  <c r="J374" i="17"/>
  <c r="K374" i="17"/>
  <c r="L374" i="17"/>
  <c r="M374" i="17"/>
  <c r="N374" i="17"/>
  <c r="O374" i="17"/>
  <c r="P374" i="17"/>
  <c r="I375" i="17"/>
  <c r="J375" i="17"/>
  <c r="K375" i="17"/>
  <c r="L375" i="17"/>
  <c r="M375" i="17"/>
  <c r="N375" i="17"/>
  <c r="O375" i="17"/>
  <c r="P375" i="17"/>
  <c r="I376" i="17"/>
  <c r="J376" i="17"/>
  <c r="K376" i="17"/>
  <c r="L376" i="17"/>
  <c r="M376" i="17"/>
  <c r="N376" i="17"/>
  <c r="O376" i="17"/>
  <c r="P376" i="17"/>
  <c r="I377" i="17"/>
  <c r="J377" i="17"/>
  <c r="K377" i="17"/>
  <c r="L377" i="17"/>
  <c r="M377" i="17"/>
  <c r="N377" i="17"/>
  <c r="O377" i="17"/>
  <c r="P377" i="17"/>
  <c r="I378" i="17"/>
  <c r="J378" i="17"/>
  <c r="K378" i="17"/>
  <c r="L378" i="17"/>
  <c r="M378" i="17"/>
  <c r="N378" i="17"/>
  <c r="O378" i="17"/>
  <c r="P378" i="17"/>
  <c r="I379" i="17"/>
  <c r="J379" i="17"/>
  <c r="K379" i="17"/>
  <c r="L379" i="17"/>
  <c r="M379" i="17"/>
  <c r="N379" i="17"/>
  <c r="O379" i="17"/>
  <c r="P379" i="17"/>
  <c r="I380" i="17"/>
  <c r="J380" i="17"/>
  <c r="K380" i="17"/>
  <c r="L380" i="17"/>
  <c r="M380" i="17"/>
  <c r="N380" i="17"/>
  <c r="O380" i="17"/>
  <c r="P380" i="17"/>
  <c r="I381" i="17"/>
  <c r="J381" i="17"/>
  <c r="K381" i="17"/>
  <c r="L381" i="17"/>
  <c r="M381" i="17"/>
  <c r="N381" i="17"/>
  <c r="O381" i="17"/>
  <c r="P381" i="17"/>
  <c r="I382" i="17"/>
  <c r="J382" i="17"/>
  <c r="K382" i="17"/>
  <c r="L382" i="17"/>
  <c r="M382" i="17"/>
  <c r="N382" i="17"/>
  <c r="O382" i="17"/>
  <c r="P382" i="17"/>
  <c r="I383" i="17"/>
  <c r="J383" i="17"/>
  <c r="K383" i="17"/>
  <c r="L383" i="17"/>
  <c r="M383" i="17"/>
  <c r="N383" i="17"/>
  <c r="O383" i="17"/>
  <c r="P383" i="17"/>
  <c r="I384" i="17"/>
  <c r="J384" i="17"/>
  <c r="K384" i="17"/>
  <c r="L384" i="17"/>
  <c r="M384" i="17"/>
  <c r="N384" i="17"/>
  <c r="O384" i="17"/>
  <c r="P384" i="17"/>
  <c r="I385" i="17"/>
  <c r="J385" i="17"/>
  <c r="K385" i="17"/>
  <c r="L385" i="17"/>
  <c r="M385" i="17"/>
  <c r="N385" i="17"/>
  <c r="O385" i="17"/>
  <c r="P385" i="17"/>
  <c r="I386" i="17"/>
  <c r="J386" i="17"/>
  <c r="K386" i="17"/>
  <c r="L386" i="17"/>
  <c r="M386" i="17"/>
  <c r="N386" i="17"/>
  <c r="O386" i="17"/>
  <c r="P386" i="17"/>
  <c r="I387" i="17"/>
  <c r="J387" i="17"/>
  <c r="K387" i="17"/>
  <c r="L387" i="17"/>
  <c r="M387" i="17"/>
  <c r="N387" i="17"/>
  <c r="O387" i="17"/>
  <c r="P387" i="17"/>
  <c r="I388" i="17"/>
  <c r="J388" i="17"/>
  <c r="K388" i="17"/>
  <c r="L388" i="17"/>
  <c r="M388" i="17"/>
  <c r="N388" i="17"/>
  <c r="O388" i="17"/>
  <c r="P388" i="17"/>
  <c r="I389" i="17"/>
  <c r="J389" i="17"/>
  <c r="K389" i="17"/>
  <c r="L389" i="17"/>
  <c r="M389" i="17"/>
  <c r="N389" i="17"/>
  <c r="O389" i="17"/>
  <c r="P389" i="17"/>
  <c r="I390" i="17"/>
  <c r="J390" i="17"/>
  <c r="K390" i="17"/>
  <c r="L390" i="17"/>
  <c r="M390" i="17"/>
  <c r="N390" i="17"/>
  <c r="O390" i="17"/>
  <c r="P390" i="17"/>
  <c r="I391" i="17"/>
  <c r="J391" i="17"/>
  <c r="K391" i="17"/>
  <c r="L391" i="17"/>
  <c r="M391" i="17"/>
  <c r="N391" i="17"/>
  <c r="O391" i="17"/>
  <c r="P391" i="17"/>
  <c r="I392" i="17"/>
  <c r="J392" i="17"/>
  <c r="K392" i="17"/>
  <c r="L392" i="17"/>
  <c r="M392" i="17"/>
  <c r="N392" i="17"/>
  <c r="O392" i="17"/>
  <c r="P392" i="17"/>
  <c r="I393" i="17"/>
  <c r="J393" i="17"/>
  <c r="K393" i="17"/>
  <c r="L393" i="17"/>
  <c r="M393" i="17"/>
  <c r="N393" i="17"/>
  <c r="O393" i="17"/>
  <c r="P393" i="17"/>
  <c r="I394" i="17"/>
  <c r="J394" i="17"/>
  <c r="K394" i="17"/>
  <c r="L394" i="17"/>
  <c r="M394" i="17"/>
  <c r="N394" i="17"/>
  <c r="O394" i="17"/>
  <c r="P394" i="17"/>
  <c r="I395" i="17"/>
  <c r="J395" i="17"/>
  <c r="K395" i="17"/>
  <c r="L395" i="17"/>
  <c r="M395" i="17"/>
  <c r="N395" i="17"/>
  <c r="O395" i="17"/>
  <c r="P395" i="17"/>
  <c r="I396" i="17"/>
  <c r="J396" i="17"/>
  <c r="K396" i="17"/>
  <c r="L396" i="17"/>
  <c r="M396" i="17"/>
  <c r="N396" i="17"/>
  <c r="O396" i="17"/>
  <c r="P396" i="17"/>
  <c r="I397" i="17"/>
  <c r="J397" i="17"/>
  <c r="K397" i="17"/>
  <c r="L397" i="17"/>
  <c r="M397" i="17"/>
  <c r="N397" i="17"/>
  <c r="O397" i="17"/>
  <c r="P397" i="17"/>
  <c r="I398" i="17"/>
  <c r="J398" i="17"/>
  <c r="K398" i="17"/>
  <c r="L398" i="17"/>
  <c r="M398" i="17"/>
  <c r="N398" i="17"/>
  <c r="O398" i="17"/>
  <c r="P398" i="17"/>
  <c r="I399" i="17"/>
  <c r="J399" i="17"/>
  <c r="K399" i="17"/>
  <c r="L399" i="17"/>
  <c r="M399" i="17"/>
  <c r="N399" i="17"/>
  <c r="O399" i="17"/>
  <c r="P399" i="17"/>
  <c r="F64" i="16" l="1"/>
  <c r="G64" i="16" s="1"/>
  <c r="E64" i="16"/>
  <c r="F63" i="16"/>
  <c r="G63" i="16" s="1"/>
  <c r="E63" i="16"/>
  <c r="F62" i="16"/>
  <c r="G62" i="16" s="1"/>
  <c r="E62" i="16"/>
  <c r="F61" i="16"/>
  <c r="G61" i="16" s="1"/>
  <c r="E61" i="16"/>
  <c r="F60" i="16"/>
  <c r="G60" i="16" s="1"/>
  <c r="E60" i="16"/>
  <c r="F59" i="16"/>
  <c r="G59" i="16" s="1"/>
  <c r="E59" i="16"/>
  <c r="F58" i="16"/>
  <c r="G58" i="16" s="1"/>
  <c r="E58" i="16"/>
  <c r="F57" i="16"/>
  <c r="G57" i="16" s="1"/>
  <c r="E57" i="16"/>
  <c r="G56" i="16"/>
  <c r="F56" i="16"/>
  <c r="E56" i="16"/>
  <c r="F55" i="16"/>
  <c r="G55" i="16" s="1"/>
  <c r="E55" i="16"/>
  <c r="F54" i="16"/>
  <c r="G54" i="16" s="1"/>
  <c r="E54" i="16"/>
  <c r="F118" i="16"/>
  <c r="G118" i="16" s="1"/>
  <c r="E118" i="16"/>
  <c r="F53" i="16"/>
  <c r="G53" i="16" s="1"/>
  <c r="E53" i="16"/>
  <c r="G117" i="16"/>
  <c r="F117" i="16"/>
  <c r="E117" i="16"/>
  <c r="F52" i="16"/>
  <c r="G52" i="16" s="1"/>
  <c r="E52" i="16"/>
  <c r="F116" i="16"/>
  <c r="G116" i="16" s="1"/>
  <c r="E116" i="16"/>
  <c r="F51" i="16"/>
  <c r="G51" i="16" s="1"/>
  <c r="E51" i="16"/>
  <c r="G115" i="16"/>
  <c r="F115" i="16"/>
  <c r="E115" i="16"/>
  <c r="F50" i="16"/>
  <c r="G50" i="16" s="1"/>
  <c r="E50" i="16"/>
  <c r="F114" i="16"/>
  <c r="G114" i="16" s="1"/>
  <c r="E114" i="16"/>
  <c r="F49" i="16"/>
  <c r="G49" i="16" s="1"/>
  <c r="E49" i="16"/>
  <c r="F113" i="16"/>
  <c r="G113" i="16" s="1"/>
  <c r="E113" i="16"/>
  <c r="F48" i="16"/>
  <c r="G48" i="16" s="1"/>
  <c r="E48" i="16"/>
  <c r="G112" i="16"/>
  <c r="F112" i="16"/>
  <c r="E112" i="16"/>
  <c r="F47" i="16"/>
  <c r="G47" i="16" s="1"/>
  <c r="E47" i="16"/>
  <c r="F111" i="16"/>
  <c r="G111" i="16" s="1"/>
  <c r="E111" i="16"/>
  <c r="F46" i="16"/>
  <c r="G46" i="16" s="1"/>
  <c r="E46" i="16"/>
  <c r="F110" i="16"/>
  <c r="G110" i="16" s="1"/>
  <c r="E110" i="16"/>
  <c r="F45" i="16"/>
  <c r="G45" i="16" s="1"/>
  <c r="E45" i="16"/>
  <c r="F109" i="16"/>
  <c r="G109" i="16" s="1"/>
  <c r="E109" i="16"/>
  <c r="F44" i="16"/>
  <c r="G44" i="16" s="1"/>
  <c r="E44" i="16"/>
  <c r="F108" i="16"/>
  <c r="G108" i="16" s="1"/>
  <c r="E108" i="16"/>
  <c r="F43" i="16"/>
  <c r="G43" i="16" s="1"/>
  <c r="E43" i="16"/>
  <c r="G107" i="16"/>
  <c r="F107" i="16"/>
  <c r="E107" i="16"/>
  <c r="F42" i="16"/>
  <c r="G42" i="16" s="1"/>
  <c r="E42" i="16"/>
  <c r="F106" i="16"/>
  <c r="G106" i="16" s="1"/>
  <c r="E106" i="16"/>
  <c r="G41" i="16"/>
  <c r="F41" i="16"/>
  <c r="E41" i="16"/>
  <c r="F105" i="16"/>
  <c r="G105" i="16" s="1"/>
  <c r="E105" i="16"/>
  <c r="F40" i="16"/>
  <c r="G40" i="16" s="1"/>
  <c r="E40" i="16"/>
  <c r="F104" i="16"/>
  <c r="G104" i="16" s="1"/>
  <c r="E104" i="16"/>
  <c r="F39" i="16"/>
  <c r="G39" i="16" s="1"/>
  <c r="E39" i="16"/>
  <c r="F103" i="16"/>
  <c r="G103" i="16" s="1"/>
  <c r="E103" i="16"/>
  <c r="F38" i="16"/>
  <c r="G38" i="16" s="1"/>
  <c r="E38" i="16"/>
  <c r="F102" i="16"/>
  <c r="G102" i="16" s="1"/>
  <c r="E102" i="16"/>
  <c r="F37" i="16"/>
  <c r="G37" i="16" s="1"/>
  <c r="E37" i="16"/>
  <c r="F101" i="16"/>
  <c r="G101" i="16" s="1"/>
  <c r="E101" i="16"/>
  <c r="F36" i="16"/>
  <c r="G36" i="16" s="1"/>
  <c r="E36" i="16"/>
  <c r="F100" i="16"/>
  <c r="G100" i="16" s="1"/>
  <c r="E100" i="16"/>
  <c r="F35" i="16"/>
  <c r="G35" i="16" s="1"/>
  <c r="E35" i="16"/>
  <c r="F99" i="16"/>
  <c r="G99" i="16" s="1"/>
  <c r="E99" i="16"/>
  <c r="F34" i="16"/>
  <c r="G34" i="16" s="1"/>
  <c r="E34" i="16"/>
  <c r="F98" i="16"/>
  <c r="G98" i="16" s="1"/>
  <c r="E98" i="16"/>
  <c r="F33" i="16"/>
  <c r="G33" i="16" s="1"/>
  <c r="E33" i="16"/>
  <c r="F97" i="16"/>
  <c r="G97" i="16" s="1"/>
  <c r="E97" i="16"/>
  <c r="F32" i="16"/>
  <c r="G32" i="16" s="1"/>
  <c r="E32" i="16"/>
  <c r="F96" i="16"/>
  <c r="G96" i="16" s="1"/>
  <c r="E96" i="16"/>
  <c r="F31" i="16"/>
  <c r="G31" i="16" s="1"/>
  <c r="E31" i="16"/>
  <c r="G95" i="16"/>
  <c r="F95" i="16"/>
  <c r="E95" i="16"/>
  <c r="F30" i="16"/>
  <c r="G30" i="16" s="1"/>
  <c r="E30" i="16"/>
  <c r="F94" i="16"/>
  <c r="G94" i="16" s="1"/>
  <c r="E94" i="16"/>
  <c r="F29" i="16"/>
  <c r="G29" i="16" s="1"/>
  <c r="E29" i="16"/>
  <c r="F93" i="16"/>
  <c r="G93" i="16" s="1"/>
  <c r="E93" i="16"/>
  <c r="F92" i="16"/>
  <c r="G92" i="16" s="1"/>
  <c r="E92" i="16"/>
  <c r="F27" i="16"/>
  <c r="G27" i="16" s="1"/>
  <c r="E27" i="16"/>
  <c r="F91" i="16"/>
  <c r="G91" i="16" s="1"/>
  <c r="E91" i="16"/>
  <c r="G26" i="16"/>
  <c r="F26" i="16"/>
  <c r="E26" i="16"/>
  <c r="F90" i="16"/>
  <c r="G90" i="16" s="1"/>
  <c r="E90" i="16"/>
  <c r="F25" i="16"/>
  <c r="G25" i="16" s="1"/>
  <c r="E25" i="16"/>
  <c r="F89" i="16"/>
  <c r="G89" i="16" s="1"/>
  <c r="E89" i="16"/>
  <c r="F24" i="16"/>
  <c r="G24" i="16" s="1"/>
  <c r="E24" i="16"/>
  <c r="F88" i="16"/>
  <c r="G88" i="16" s="1"/>
  <c r="E88" i="16"/>
  <c r="F23" i="16"/>
  <c r="G23" i="16" s="1"/>
  <c r="E23" i="16"/>
  <c r="F87" i="16"/>
  <c r="G87" i="16" s="1"/>
  <c r="E87" i="16"/>
  <c r="G22" i="16"/>
  <c r="F22" i="16"/>
  <c r="E22" i="16"/>
  <c r="F86" i="16"/>
  <c r="G86" i="16" s="1"/>
  <c r="E86" i="16"/>
  <c r="F21" i="16"/>
  <c r="G21" i="16" s="1"/>
  <c r="E21" i="16"/>
  <c r="F85" i="16"/>
  <c r="G85" i="16" s="1"/>
  <c r="E85" i="16"/>
  <c r="G20" i="16"/>
  <c r="F20" i="16"/>
  <c r="E20" i="16"/>
  <c r="F84" i="16"/>
  <c r="G84" i="16" s="1"/>
  <c r="E84" i="16"/>
  <c r="F19" i="16"/>
  <c r="G19" i="16" s="1"/>
  <c r="E19" i="16"/>
  <c r="F83" i="16"/>
  <c r="G83" i="16" s="1"/>
  <c r="E83" i="16"/>
  <c r="F18" i="16"/>
  <c r="G18" i="16" s="1"/>
  <c r="E18" i="16"/>
  <c r="F82" i="16"/>
  <c r="G82" i="16" s="1"/>
  <c r="E82" i="16"/>
  <c r="F17" i="16"/>
  <c r="G17" i="16" s="1"/>
  <c r="E17" i="16"/>
  <c r="G16" i="16"/>
  <c r="F16" i="16"/>
  <c r="E16" i="16"/>
  <c r="F80" i="16"/>
  <c r="G80" i="16" s="1"/>
  <c r="E80" i="16"/>
  <c r="F15" i="16"/>
  <c r="G15" i="16" s="1"/>
  <c r="E15" i="16"/>
  <c r="F14" i="16"/>
  <c r="G14" i="16" s="1"/>
  <c r="E14" i="16"/>
  <c r="F78" i="16"/>
  <c r="G78" i="16" s="1"/>
  <c r="E78" i="16"/>
  <c r="F13" i="16"/>
  <c r="G13" i="16" s="1"/>
  <c r="E13" i="16"/>
  <c r="F77" i="16"/>
  <c r="G77" i="16" s="1"/>
  <c r="E77" i="16"/>
  <c r="F12" i="16"/>
  <c r="G12" i="16" s="1"/>
  <c r="E12" i="16"/>
  <c r="F76" i="16"/>
  <c r="G76" i="16" s="1"/>
  <c r="E76" i="16"/>
  <c r="F11" i="16"/>
  <c r="G11" i="16" s="1"/>
  <c r="E11" i="16"/>
  <c r="F75" i="16"/>
  <c r="G75" i="16" s="1"/>
  <c r="E75" i="16"/>
  <c r="F10" i="16"/>
  <c r="G10" i="16" s="1"/>
  <c r="E10" i="16"/>
  <c r="F9" i="16"/>
  <c r="G9" i="16" s="1"/>
  <c r="E9" i="16"/>
  <c r="G73" i="16"/>
  <c r="F73" i="16"/>
  <c r="E73" i="16"/>
  <c r="F8" i="16"/>
  <c r="G8" i="16" s="1"/>
  <c r="E8" i="16"/>
  <c r="F72" i="16"/>
  <c r="G72" i="16" s="1"/>
  <c r="E72" i="16"/>
  <c r="F7" i="16"/>
  <c r="G7" i="16" s="1"/>
  <c r="E7" i="16"/>
  <c r="F71" i="16"/>
  <c r="G71" i="16" s="1"/>
  <c r="E71" i="16"/>
  <c r="F6" i="16"/>
  <c r="G6" i="16" s="1"/>
  <c r="E6" i="16"/>
  <c r="F70" i="16"/>
  <c r="G70" i="16" s="1"/>
  <c r="E70" i="16"/>
  <c r="G5" i="16"/>
  <c r="F5" i="16"/>
  <c r="E5" i="16"/>
  <c r="A66" i="16"/>
  <c r="A1" i="16"/>
  <c r="F72" i="15"/>
  <c r="G72" i="15" s="1"/>
  <c r="E72" i="15"/>
  <c r="F144" i="15"/>
  <c r="G144" i="15" s="1"/>
  <c r="E144" i="15"/>
  <c r="F71" i="15"/>
  <c r="G71" i="15" s="1"/>
  <c r="E71" i="15"/>
  <c r="F143" i="15"/>
  <c r="G143" i="15" s="1"/>
  <c r="E143" i="15"/>
  <c r="F70" i="15"/>
  <c r="G70" i="15" s="1"/>
  <c r="E70" i="15"/>
  <c r="F142" i="15"/>
  <c r="G142" i="15" s="1"/>
  <c r="E142" i="15"/>
  <c r="F69" i="15"/>
  <c r="G69" i="15" s="1"/>
  <c r="E69" i="15"/>
  <c r="F141" i="15"/>
  <c r="G141" i="15" s="1"/>
  <c r="E141" i="15"/>
  <c r="F68" i="15"/>
  <c r="G68" i="15" s="1"/>
  <c r="E68" i="15"/>
  <c r="F140" i="15"/>
  <c r="G140" i="15" s="1"/>
  <c r="E140" i="15"/>
  <c r="F67" i="15"/>
  <c r="G67" i="15" s="1"/>
  <c r="E67" i="15"/>
  <c r="F139" i="15"/>
  <c r="G139" i="15" s="1"/>
  <c r="E139" i="15"/>
  <c r="F66" i="15"/>
  <c r="G66" i="15" s="1"/>
  <c r="E66" i="15"/>
  <c r="F138" i="15"/>
  <c r="G138" i="15" s="1"/>
  <c r="E138" i="15"/>
  <c r="F65" i="15"/>
  <c r="G65" i="15" s="1"/>
  <c r="E65" i="15"/>
  <c r="F137" i="15"/>
  <c r="G137" i="15" s="1"/>
  <c r="E137" i="15"/>
  <c r="F64" i="15"/>
  <c r="G64" i="15" s="1"/>
  <c r="E64" i="15"/>
  <c r="F63" i="15"/>
  <c r="G63" i="15" s="1"/>
  <c r="E63" i="15"/>
  <c r="F135" i="15"/>
  <c r="G135" i="15" s="1"/>
  <c r="E135" i="15"/>
  <c r="G62" i="15"/>
  <c r="F62" i="15"/>
  <c r="E62" i="15"/>
  <c r="F61" i="15"/>
  <c r="G61" i="15" s="1"/>
  <c r="E61" i="15"/>
  <c r="F60" i="15"/>
  <c r="G60" i="15" s="1"/>
  <c r="E60" i="15"/>
  <c r="F132" i="15"/>
  <c r="G132" i="15" s="1"/>
  <c r="E132" i="15"/>
  <c r="F59" i="15"/>
  <c r="G59" i="15" s="1"/>
  <c r="E59" i="15"/>
  <c r="F131" i="15"/>
  <c r="G131" i="15" s="1"/>
  <c r="E131" i="15"/>
  <c r="F58" i="15"/>
  <c r="G58" i="15" s="1"/>
  <c r="E58" i="15"/>
  <c r="F130" i="15"/>
  <c r="G130" i="15" s="1"/>
  <c r="E130" i="15"/>
  <c r="F57" i="15"/>
  <c r="G57" i="15" s="1"/>
  <c r="E57" i="15"/>
  <c r="F129" i="15"/>
  <c r="G129" i="15" s="1"/>
  <c r="E129" i="15"/>
  <c r="G56" i="15"/>
  <c r="F56" i="15"/>
  <c r="E56" i="15"/>
  <c r="F128" i="15"/>
  <c r="G128" i="15" s="1"/>
  <c r="E128" i="15"/>
  <c r="F55" i="15"/>
  <c r="G55" i="15" s="1"/>
  <c r="E55" i="15"/>
  <c r="F127" i="15"/>
  <c r="G127" i="15" s="1"/>
  <c r="E127" i="15"/>
  <c r="F54" i="15"/>
  <c r="G54" i="15" s="1"/>
  <c r="E54" i="15"/>
  <c r="F126" i="15"/>
  <c r="G126" i="15" s="1"/>
  <c r="E126" i="15"/>
  <c r="F53" i="15"/>
  <c r="G53" i="15" s="1"/>
  <c r="E53" i="15"/>
  <c r="F125" i="15"/>
  <c r="G125" i="15" s="1"/>
  <c r="E125" i="15"/>
  <c r="F52" i="15"/>
  <c r="G52" i="15" s="1"/>
  <c r="E52" i="15"/>
  <c r="F124" i="15"/>
  <c r="G124" i="15" s="1"/>
  <c r="E124" i="15"/>
  <c r="F51" i="15"/>
  <c r="G51" i="15" s="1"/>
  <c r="E51" i="15"/>
  <c r="F123" i="15"/>
  <c r="G123" i="15" s="1"/>
  <c r="E123" i="15"/>
  <c r="F50" i="15"/>
  <c r="G50" i="15" s="1"/>
  <c r="E50" i="15"/>
  <c r="F122" i="15"/>
  <c r="G122" i="15" s="1"/>
  <c r="E122" i="15"/>
  <c r="F49" i="15"/>
  <c r="G49" i="15" s="1"/>
  <c r="E49" i="15"/>
  <c r="F121" i="15"/>
  <c r="G121" i="15" s="1"/>
  <c r="E121" i="15"/>
  <c r="F48" i="15"/>
  <c r="G48" i="15" s="1"/>
  <c r="E48" i="15"/>
  <c r="F120" i="15"/>
  <c r="G120" i="15" s="1"/>
  <c r="E120" i="15"/>
  <c r="F47" i="15"/>
  <c r="G47" i="15" s="1"/>
  <c r="E47" i="15"/>
  <c r="F119" i="15"/>
  <c r="G119" i="15" s="1"/>
  <c r="E119" i="15"/>
  <c r="G46" i="15"/>
  <c r="F46" i="15"/>
  <c r="E46" i="15"/>
  <c r="F118" i="15"/>
  <c r="G118" i="15" s="1"/>
  <c r="E118" i="15"/>
  <c r="F45" i="15"/>
  <c r="G45" i="15" s="1"/>
  <c r="E45" i="15"/>
  <c r="F117" i="15"/>
  <c r="G117" i="15" s="1"/>
  <c r="E117" i="15"/>
  <c r="F44" i="15"/>
  <c r="G44" i="15" s="1"/>
  <c r="E44" i="15"/>
  <c r="F43" i="15"/>
  <c r="G43" i="15" s="1"/>
  <c r="E43" i="15"/>
  <c r="F115" i="15"/>
  <c r="G115" i="15" s="1"/>
  <c r="E115" i="15"/>
  <c r="F42" i="15"/>
  <c r="G42" i="15" s="1"/>
  <c r="E42" i="15"/>
  <c r="F114" i="15"/>
  <c r="G114" i="15" s="1"/>
  <c r="E114" i="15"/>
  <c r="F41" i="15"/>
  <c r="G41" i="15" s="1"/>
  <c r="E41" i="15"/>
  <c r="F113" i="15"/>
  <c r="G113" i="15" s="1"/>
  <c r="E113" i="15"/>
  <c r="F40" i="15"/>
  <c r="G40" i="15" s="1"/>
  <c r="E40" i="15"/>
  <c r="F112" i="15"/>
  <c r="G112" i="15" s="1"/>
  <c r="E112" i="15"/>
  <c r="F39" i="15"/>
  <c r="G39" i="15" s="1"/>
  <c r="E39" i="15"/>
  <c r="F111" i="15"/>
  <c r="G111" i="15" s="1"/>
  <c r="E111" i="15"/>
  <c r="F38" i="15"/>
  <c r="G38" i="15" s="1"/>
  <c r="E38" i="15"/>
  <c r="F110" i="15"/>
  <c r="G110" i="15" s="1"/>
  <c r="E110" i="15"/>
  <c r="F37" i="15"/>
  <c r="G37" i="15" s="1"/>
  <c r="E37" i="15"/>
  <c r="G109" i="15"/>
  <c r="F109" i="15"/>
  <c r="E109" i="15"/>
  <c r="F36" i="15"/>
  <c r="G36" i="15" s="1"/>
  <c r="E36" i="15"/>
  <c r="F108" i="15"/>
  <c r="G108" i="15" s="1"/>
  <c r="E108" i="15"/>
  <c r="F35" i="15"/>
  <c r="G35" i="15" s="1"/>
  <c r="E35" i="15"/>
  <c r="F107" i="15"/>
  <c r="G107" i="15" s="1"/>
  <c r="E107" i="15"/>
  <c r="F34" i="15"/>
  <c r="G34" i="15" s="1"/>
  <c r="E34" i="15"/>
  <c r="F106" i="15"/>
  <c r="G106" i="15" s="1"/>
  <c r="E106" i="15"/>
  <c r="F33" i="15"/>
  <c r="G33" i="15" s="1"/>
  <c r="E33" i="15"/>
  <c r="F105" i="15"/>
  <c r="G105" i="15" s="1"/>
  <c r="E105" i="15"/>
  <c r="F32" i="15"/>
  <c r="G32" i="15" s="1"/>
  <c r="E32" i="15"/>
  <c r="F104" i="15"/>
  <c r="G104" i="15" s="1"/>
  <c r="E104" i="15"/>
  <c r="F31" i="15"/>
  <c r="G31" i="15" s="1"/>
  <c r="E31" i="15"/>
  <c r="F103" i="15"/>
  <c r="G103" i="15" s="1"/>
  <c r="E103" i="15"/>
  <c r="F30" i="15"/>
  <c r="G30" i="15" s="1"/>
  <c r="E30" i="15"/>
  <c r="F102" i="15"/>
  <c r="G102" i="15" s="1"/>
  <c r="E102" i="15"/>
  <c r="F29" i="15"/>
  <c r="G29" i="15" s="1"/>
  <c r="E29" i="15"/>
  <c r="F101" i="15"/>
  <c r="G101" i="15" s="1"/>
  <c r="E101" i="15"/>
  <c r="F28" i="15"/>
  <c r="G28" i="15" s="1"/>
  <c r="E28" i="15"/>
  <c r="G100" i="15"/>
  <c r="F100" i="15"/>
  <c r="E100" i="15"/>
  <c r="F27" i="15"/>
  <c r="G27" i="15" s="1"/>
  <c r="E27" i="15"/>
  <c r="F99" i="15"/>
  <c r="G99" i="15" s="1"/>
  <c r="E99" i="15"/>
  <c r="F26" i="15"/>
  <c r="G26" i="15" s="1"/>
  <c r="E26" i="15"/>
  <c r="F98" i="15"/>
  <c r="G98" i="15" s="1"/>
  <c r="E98" i="15"/>
  <c r="F25" i="15"/>
  <c r="G25" i="15" s="1"/>
  <c r="E25" i="15"/>
  <c r="F97" i="15"/>
  <c r="G97" i="15" s="1"/>
  <c r="E97" i="15"/>
  <c r="F24" i="15"/>
  <c r="G24" i="15" s="1"/>
  <c r="E24" i="15"/>
  <c r="F96" i="15"/>
  <c r="G96" i="15" s="1"/>
  <c r="E96" i="15"/>
  <c r="F23" i="15"/>
  <c r="G23" i="15" s="1"/>
  <c r="E23" i="15"/>
  <c r="F95" i="15"/>
  <c r="G95" i="15" s="1"/>
  <c r="E95" i="15"/>
  <c r="F22" i="15"/>
  <c r="G22" i="15" s="1"/>
  <c r="E22" i="15"/>
  <c r="F94" i="15"/>
  <c r="G94" i="15" s="1"/>
  <c r="E94" i="15"/>
  <c r="F21" i="15"/>
  <c r="G21" i="15" s="1"/>
  <c r="E21" i="15"/>
  <c r="G93" i="15"/>
  <c r="F93" i="15"/>
  <c r="E93" i="15"/>
  <c r="F20" i="15"/>
  <c r="G20" i="15" s="1"/>
  <c r="E20" i="15"/>
  <c r="F92" i="15"/>
  <c r="G92" i="15" s="1"/>
  <c r="E92" i="15"/>
  <c r="F19" i="15"/>
  <c r="G19" i="15" s="1"/>
  <c r="E19" i="15"/>
  <c r="F91" i="15"/>
  <c r="G91" i="15" s="1"/>
  <c r="E91" i="15"/>
  <c r="F18" i="15"/>
  <c r="G18" i="15" s="1"/>
  <c r="E18" i="15"/>
  <c r="F90" i="15"/>
  <c r="G90" i="15" s="1"/>
  <c r="E90" i="15"/>
  <c r="F17" i="15"/>
  <c r="G17" i="15" s="1"/>
  <c r="E17" i="15"/>
  <c r="F89" i="15"/>
  <c r="G89" i="15" s="1"/>
  <c r="E89" i="15"/>
  <c r="F16" i="15"/>
  <c r="G16" i="15" s="1"/>
  <c r="E16" i="15"/>
  <c r="F88" i="15"/>
  <c r="G88" i="15" s="1"/>
  <c r="E88" i="15"/>
  <c r="F15" i="15"/>
  <c r="G15" i="15" s="1"/>
  <c r="E15" i="15"/>
  <c r="F87" i="15"/>
  <c r="G87" i="15" s="1"/>
  <c r="E87" i="15"/>
  <c r="F14" i="15"/>
  <c r="G14" i="15" s="1"/>
  <c r="E14" i="15"/>
  <c r="F86" i="15"/>
  <c r="G86" i="15" s="1"/>
  <c r="E86" i="15"/>
  <c r="F13" i="15"/>
  <c r="G13" i="15" s="1"/>
  <c r="E13" i="15"/>
  <c r="F85" i="15"/>
  <c r="G85" i="15" s="1"/>
  <c r="E85" i="15"/>
  <c r="F12" i="15"/>
  <c r="G12" i="15" s="1"/>
  <c r="E12" i="15"/>
  <c r="F84" i="15"/>
  <c r="G84" i="15" s="1"/>
  <c r="E84" i="15"/>
  <c r="F11" i="15"/>
  <c r="G11" i="15" s="1"/>
  <c r="E11" i="15"/>
  <c r="F83" i="15"/>
  <c r="G83" i="15" s="1"/>
  <c r="E83" i="15"/>
  <c r="F10" i="15"/>
  <c r="G10" i="15" s="1"/>
  <c r="E10" i="15"/>
  <c r="F82" i="15"/>
  <c r="G82" i="15" s="1"/>
  <c r="E82" i="15"/>
  <c r="F9" i="15"/>
  <c r="G9" i="15" s="1"/>
  <c r="E9" i="15"/>
  <c r="F81" i="15"/>
  <c r="G81" i="15" s="1"/>
  <c r="E81" i="15"/>
  <c r="F8" i="15"/>
  <c r="G8" i="15" s="1"/>
  <c r="E8" i="15"/>
  <c r="F80" i="15"/>
  <c r="G80" i="15" s="1"/>
  <c r="E80" i="15"/>
  <c r="F7" i="15"/>
  <c r="G7" i="15" s="1"/>
  <c r="E7" i="15"/>
  <c r="F79" i="15"/>
  <c r="G79" i="15" s="1"/>
  <c r="E79" i="15"/>
  <c r="F6" i="15"/>
  <c r="G6" i="15" s="1"/>
  <c r="E6" i="15"/>
  <c r="F78" i="15"/>
  <c r="G78" i="15" s="1"/>
  <c r="E78" i="15"/>
  <c r="A74" i="15"/>
  <c r="A1" i="15"/>
  <c r="F68" i="14"/>
  <c r="G68" i="14" s="1"/>
  <c r="E68" i="14"/>
  <c r="G67" i="14"/>
  <c r="F67" i="14"/>
  <c r="E67" i="14"/>
  <c r="F66" i="14"/>
  <c r="G66" i="14" s="1"/>
  <c r="E66" i="14"/>
  <c r="F65" i="14"/>
  <c r="G65" i="14" s="1"/>
  <c r="E65" i="14"/>
  <c r="F64" i="14"/>
  <c r="G64" i="14" s="1"/>
  <c r="E64" i="14"/>
  <c r="F129" i="14"/>
  <c r="G129" i="14" s="1"/>
  <c r="E129" i="14"/>
  <c r="F63" i="14"/>
  <c r="G63" i="14" s="1"/>
  <c r="E63" i="14"/>
  <c r="F128" i="14"/>
  <c r="G128" i="14" s="1"/>
  <c r="E128" i="14"/>
  <c r="G62" i="14"/>
  <c r="F62" i="14"/>
  <c r="E62" i="14"/>
  <c r="F127" i="14"/>
  <c r="G127" i="14" s="1"/>
  <c r="E127" i="14"/>
  <c r="F61" i="14"/>
  <c r="G61" i="14" s="1"/>
  <c r="E61" i="14"/>
  <c r="F126" i="14"/>
  <c r="G126" i="14" s="1"/>
  <c r="E126" i="14"/>
  <c r="F60" i="14"/>
  <c r="G60" i="14" s="1"/>
  <c r="E60" i="14"/>
  <c r="G125" i="14"/>
  <c r="F125" i="14"/>
  <c r="E125" i="14"/>
  <c r="F59" i="14"/>
  <c r="G59" i="14" s="1"/>
  <c r="E59" i="14"/>
  <c r="F124" i="14"/>
  <c r="G124" i="14" s="1"/>
  <c r="E124" i="14"/>
  <c r="G58" i="14"/>
  <c r="F58" i="14"/>
  <c r="E58" i="14"/>
  <c r="F123" i="14"/>
  <c r="G123" i="14" s="1"/>
  <c r="E123" i="14"/>
  <c r="F57" i="14"/>
  <c r="G57" i="14" s="1"/>
  <c r="E57" i="14"/>
  <c r="F122" i="14"/>
  <c r="G122" i="14" s="1"/>
  <c r="E122" i="14"/>
  <c r="G56" i="14"/>
  <c r="F56" i="14"/>
  <c r="E56" i="14"/>
  <c r="G121" i="14"/>
  <c r="F121" i="14"/>
  <c r="E121" i="14"/>
  <c r="F55" i="14"/>
  <c r="G55" i="14" s="1"/>
  <c r="E55" i="14"/>
  <c r="F120" i="14"/>
  <c r="G120" i="14" s="1"/>
  <c r="E120" i="14"/>
  <c r="F54" i="14"/>
  <c r="G54" i="14" s="1"/>
  <c r="E54" i="14"/>
  <c r="F119" i="14"/>
  <c r="G119" i="14" s="1"/>
  <c r="E119" i="14"/>
  <c r="F53" i="14"/>
  <c r="G53" i="14" s="1"/>
  <c r="E53" i="14"/>
  <c r="F118" i="14"/>
  <c r="G118" i="14" s="1"/>
  <c r="E118" i="14"/>
  <c r="G52" i="14"/>
  <c r="F52" i="14"/>
  <c r="E52" i="14"/>
  <c r="F117" i="14"/>
  <c r="G117" i="14" s="1"/>
  <c r="E117" i="14"/>
  <c r="F51" i="14"/>
  <c r="G51" i="14" s="1"/>
  <c r="E51" i="14"/>
  <c r="F116" i="14"/>
  <c r="G116" i="14" s="1"/>
  <c r="E116" i="14"/>
  <c r="F50" i="14"/>
  <c r="G50" i="14" s="1"/>
  <c r="E50" i="14"/>
  <c r="F115" i="14"/>
  <c r="G115" i="14" s="1"/>
  <c r="E115" i="14"/>
  <c r="F49" i="14"/>
  <c r="G49" i="14" s="1"/>
  <c r="E49" i="14"/>
  <c r="F114" i="14"/>
  <c r="G114" i="14" s="1"/>
  <c r="E114" i="14"/>
  <c r="F48" i="14"/>
  <c r="G48" i="14" s="1"/>
  <c r="E48" i="14"/>
  <c r="F113" i="14"/>
  <c r="G113" i="14" s="1"/>
  <c r="E113" i="14"/>
  <c r="F47" i="14"/>
  <c r="G47" i="14" s="1"/>
  <c r="E47" i="14"/>
  <c r="F112" i="14"/>
  <c r="G112" i="14" s="1"/>
  <c r="E112" i="14"/>
  <c r="G46" i="14"/>
  <c r="F46" i="14"/>
  <c r="E46" i="14"/>
  <c r="F111" i="14"/>
  <c r="G111" i="14" s="1"/>
  <c r="E111" i="14"/>
  <c r="F45" i="14"/>
  <c r="G45" i="14" s="1"/>
  <c r="E45" i="14"/>
  <c r="F110" i="14"/>
  <c r="G110" i="14" s="1"/>
  <c r="E110" i="14"/>
  <c r="F44" i="14"/>
  <c r="G44" i="14" s="1"/>
  <c r="E44" i="14"/>
  <c r="G109" i="14"/>
  <c r="F109" i="14"/>
  <c r="E109" i="14"/>
  <c r="F43" i="14"/>
  <c r="G43" i="14" s="1"/>
  <c r="E43" i="14"/>
  <c r="F108" i="14"/>
  <c r="G108" i="14" s="1"/>
  <c r="E108" i="14"/>
  <c r="F107" i="14"/>
  <c r="G107" i="14" s="1"/>
  <c r="E107" i="14"/>
  <c r="F41" i="14"/>
  <c r="G41" i="14" s="1"/>
  <c r="E41" i="14"/>
  <c r="F106" i="14"/>
  <c r="G106" i="14" s="1"/>
  <c r="E106" i="14"/>
  <c r="F40" i="14"/>
  <c r="G40" i="14" s="1"/>
  <c r="E40" i="14"/>
  <c r="F105" i="14"/>
  <c r="G105" i="14" s="1"/>
  <c r="E105" i="14"/>
  <c r="F39" i="14"/>
  <c r="G39" i="14" s="1"/>
  <c r="E39" i="14"/>
  <c r="F104" i="14"/>
  <c r="G104" i="14" s="1"/>
  <c r="E104" i="14"/>
  <c r="F38" i="14"/>
  <c r="G38" i="14" s="1"/>
  <c r="E38" i="14"/>
  <c r="F103" i="14"/>
  <c r="G103" i="14" s="1"/>
  <c r="E103" i="14"/>
  <c r="G37" i="14"/>
  <c r="F37" i="14"/>
  <c r="E37" i="14"/>
  <c r="G102" i="14"/>
  <c r="F102" i="14"/>
  <c r="E102" i="14"/>
  <c r="F101" i="14"/>
  <c r="G101" i="14" s="1"/>
  <c r="E101" i="14"/>
  <c r="G35" i="14"/>
  <c r="F35" i="14"/>
  <c r="E35" i="14"/>
  <c r="G100" i="14"/>
  <c r="F100" i="14"/>
  <c r="E100" i="14"/>
  <c r="F34" i="14"/>
  <c r="G34" i="14" s="1"/>
  <c r="E34" i="14"/>
  <c r="F99" i="14"/>
  <c r="G99" i="14" s="1"/>
  <c r="E99" i="14"/>
  <c r="G33" i="14"/>
  <c r="F33" i="14"/>
  <c r="E33" i="14"/>
  <c r="F98" i="14"/>
  <c r="G98" i="14" s="1"/>
  <c r="E98" i="14"/>
  <c r="F32" i="14"/>
  <c r="G32" i="14" s="1"/>
  <c r="E32" i="14"/>
  <c r="F97" i="14"/>
  <c r="G97" i="14" s="1"/>
  <c r="E97" i="14"/>
  <c r="G31" i="14"/>
  <c r="F31" i="14"/>
  <c r="E31" i="14"/>
  <c r="F96" i="14"/>
  <c r="G96" i="14" s="1"/>
  <c r="E96" i="14"/>
  <c r="F30" i="14"/>
  <c r="G30" i="14" s="1"/>
  <c r="E30" i="14"/>
  <c r="F95" i="14"/>
  <c r="G95" i="14" s="1"/>
  <c r="E95" i="14"/>
  <c r="F29" i="14"/>
  <c r="G29" i="14" s="1"/>
  <c r="E29" i="14"/>
  <c r="F94" i="14"/>
  <c r="G94" i="14" s="1"/>
  <c r="E94" i="14"/>
  <c r="F28" i="14"/>
  <c r="G28" i="14" s="1"/>
  <c r="E28" i="14"/>
  <c r="F93" i="14"/>
  <c r="G93" i="14" s="1"/>
  <c r="E93" i="14"/>
  <c r="F27" i="14"/>
  <c r="G27" i="14" s="1"/>
  <c r="E27" i="14"/>
  <c r="F92" i="14"/>
  <c r="G92" i="14" s="1"/>
  <c r="E92" i="14"/>
  <c r="F26" i="14"/>
  <c r="G26" i="14" s="1"/>
  <c r="E26" i="14"/>
  <c r="F91" i="14"/>
  <c r="G91" i="14" s="1"/>
  <c r="E91" i="14"/>
  <c r="G25" i="14"/>
  <c r="F25" i="14"/>
  <c r="E25" i="14"/>
  <c r="F90" i="14"/>
  <c r="G90" i="14" s="1"/>
  <c r="E90" i="14"/>
  <c r="F24" i="14"/>
  <c r="G24" i="14" s="1"/>
  <c r="E24" i="14"/>
  <c r="F89" i="14"/>
  <c r="G89" i="14" s="1"/>
  <c r="E89" i="14"/>
  <c r="G23" i="14"/>
  <c r="F23" i="14"/>
  <c r="E23" i="14"/>
  <c r="F88" i="14"/>
  <c r="G88" i="14" s="1"/>
  <c r="E88" i="14"/>
  <c r="F22" i="14"/>
  <c r="G22" i="14" s="1"/>
  <c r="E22" i="14"/>
  <c r="F87" i="14"/>
  <c r="G87" i="14" s="1"/>
  <c r="E87" i="14"/>
  <c r="F21" i="14"/>
  <c r="G21" i="14" s="1"/>
  <c r="E21" i="14"/>
  <c r="F86" i="14"/>
  <c r="G86" i="14" s="1"/>
  <c r="E86" i="14"/>
  <c r="F20" i="14"/>
  <c r="G20" i="14" s="1"/>
  <c r="E20" i="14"/>
  <c r="F85" i="14"/>
  <c r="G85" i="14" s="1"/>
  <c r="E85" i="14"/>
  <c r="F19" i="14"/>
  <c r="G19" i="14" s="1"/>
  <c r="E19" i="14"/>
  <c r="F84" i="14"/>
  <c r="G84" i="14" s="1"/>
  <c r="E84" i="14"/>
  <c r="F18" i="14"/>
  <c r="G18" i="14" s="1"/>
  <c r="E18" i="14"/>
  <c r="F83" i="14"/>
  <c r="G83" i="14" s="1"/>
  <c r="E83" i="14"/>
  <c r="G17" i="14"/>
  <c r="F17" i="14"/>
  <c r="E17" i="14"/>
  <c r="F82" i="14"/>
  <c r="G82" i="14" s="1"/>
  <c r="E82" i="14"/>
  <c r="F16" i="14"/>
  <c r="G16" i="14" s="1"/>
  <c r="E16" i="14"/>
  <c r="F81" i="14"/>
  <c r="G81" i="14" s="1"/>
  <c r="E81" i="14"/>
  <c r="G15" i="14"/>
  <c r="F15" i="14"/>
  <c r="E15" i="14"/>
  <c r="F80" i="14"/>
  <c r="G80" i="14" s="1"/>
  <c r="E80" i="14"/>
  <c r="F14" i="14"/>
  <c r="G14" i="14" s="1"/>
  <c r="E14" i="14"/>
  <c r="F79" i="14"/>
  <c r="G79" i="14" s="1"/>
  <c r="E79" i="14"/>
  <c r="F13" i="14"/>
  <c r="G13" i="14" s="1"/>
  <c r="E13" i="14"/>
  <c r="F78" i="14"/>
  <c r="G78" i="14" s="1"/>
  <c r="E78" i="14"/>
  <c r="F12" i="14"/>
  <c r="G12" i="14" s="1"/>
  <c r="E12" i="14"/>
  <c r="F77" i="14"/>
  <c r="G77" i="14" s="1"/>
  <c r="E77" i="14"/>
  <c r="F11" i="14"/>
  <c r="G11" i="14" s="1"/>
  <c r="E11" i="14"/>
  <c r="F76" i="14"/>
  <c r="G76" i="14" s="1"/>
  <c r="E76" i="14"/>
  <c r="F75" i="14"/>
  <c r="G75" i="14" s="1"/>
  <c r="E75" i="14"/>
  <c r="A70" i="14"/>
  <c r="P399" i="12" l="1"/>
  <c r="O399" i="12"/>
  <c r="N399" i="12"/>
  <c r="M399" i="12"/>
  <c r="L399" i="12"/>
  <c r="K399" i="12"/>
  <c r="J399" i="12"/>
  <c r="I399" i="12"/>
  <c r="P398" i="12"/>
  <c r="O398" i="12"/>
  <c r="N398" i="12"/>
  <c r="M398" i="12"/>
  <c r="L398" i="12"/>
  <c r="K398" i="12"/>
  <c r="J398" i="12"/>
  <c r="I398" i="12"/>
  <c r="P397" i="12"/>
  <c r="O397" i="12"/>
  <c r="N397" i="12"/>
  <c r="M397" i="12"/>
  <c r="L397" i="12"/>
  <c r="K397" i="12"/>
  <c r="J397" i="12"/>
  <c r="I397" i="12"/>
  <c r="P396" i="12"/>
  <c r="O396" i="12"/>
  <c r="N396" i="12"/>
  <c r="M396" i="12"/>
  <c r="L396" i="12"/>
  <c r="K396" i="12"/>
  <c r="J396" i="12"/>
  <c r="I396" i="12"/>
  <c r="P395" i="12"/>
  <c r="O395" i="12"/>
  <c r="N395" i="12"/>
  <c r="M395" i="12"/>
  <c r="L395" i="12"/>
  <c r="K395" i="12"/>
  <c r="J395" i="12"/>
  <c r="I395" i="12"/>
  <c r="P394" i="12"/>
  <c r="O394" i="12"/>
  <c r="N394" i="12"/>
  <c r="M394" i="12"/>
  <c r="L394" i="12"/>
  <c r="K394" i="12"/>
  <c r="J394" i="12"/>
  <c r="I394" i="12"/>
  <c r="P393" i="12"/>
  <c r="O393" i="12"/>
  <c r="N393" i="12"/>
  <c r="M393" i="12"/>
  <c r="L393" i="12"/>
  <c r="K393" i="12"/>
  <c r="J393" i="12"/>
  <c r="I393" i="12"/>
  <c r="P392" i="12"/>
  <c r="O392" i="12"/>
  <c r="N392" i="12"/>
  <c r="M392" i="12"/>
  <c r="L392" i="12"/>
  <c r="K392" i="12"/>
  <c r="J392" i="12"/>
  <c r="I392" i="12"/>
  <c r="P29" i="12"/>
  <c r="O29" i="12"/>
  <c r="N29" i="12"/>
  <c r="M29" i="12"/>
  <c r="L29" i="12"/>
  <c r="K29" i="12"/>
  <c r="J29" i="12"/>
  <c r="I29" i="12"/>
  <c r="P28" i="12"/>
  <c r="O28" i="12"/>
  <c r="N28" i="12"/>
  <c r="M28" i="12"/>
  <c r="L28" i="12"/>
  <c r="K28" i="12"/>
  <c r="J28" i="12"/>
  <c r="I28" i="12"/>
  <c r="P27" i="12"/>
  <c r="O27" i="12"/>
  <c r="N27" i="12"/>
  <c r="M27" i="12"/>
  <c r="L27" i="12"/>
  <c r="K27" i="12"/>
  <c r="J27" i="12"/>
  <c r="I27" i="12"/>
  <c r="P391" i="12"/>
  <c r="O391" i="12"/>
  <c r="N391" i="12"/>
  <c r="M391" i="12"/>
  <c r="L391" i="12"/>
  <c r="K391" i="12"/>
  <c r="J391" i="12"/>
  <c r="I391" i="12"/>
  <c r="P390" i="12"/>
  <c r="O390" i="12"/>
  <c r="N390" i="12"/>
  <c r="M390" i="12"/>
  <c r="L390" i="12"/>
  <c r="K390" i="12"/>
  <c r="J390" i="12"/>
  <c r="I390" i="12"/>
  <c r="P389" i="12"/>
  <c r="O389" i="12"/>
  <c r="N389" i="12"/>
  <c r="M389" i="12"/>
  <c r="L389" i="12"/>
  <c r="K389" i="12"/>
  <c r="J389" i="12"/>
  <c r="I389" i="12"/>
  <c r="P388" i="12"/>
  <c r="O388" i="12"/>
  <c r="N388" i="12"/>
  <c r="M388" i="12"/>
  <c r="L388" i="12"/>
  <c r="K388" i="12"/>
  <c r="J388" i="12"/>
  <c r="I388" i="12"/>
  <c r="P387" i="12"/>
  <c r="O387" i="12"/>
  <c r="N387" i="12"/>
  <c r="M387" i="12"/>
  <c r="L387" i="12"/>
  <c r="K387" i="12"/>
  <c r="J387" i="12"/>
  <c r="I387" i="12"/>
  <c r="P386" i="12"/>
  <c r="O386" i="12"/>
  <c r="N386" i="12"/>
  <c r="M386" i="12"/>
  <c r="L386" i="12"/>
  <c r="K386" i="12"/>
  <c r="J386" i="12"/>
  <c r="I386" i="12"/>
  <c r="P385" i="12"/>
  <c r="O385" i="12"/>
  <c r="N385" i="12"/>
  <c r="M385" i="12"/>
  <c r="L385" i="12"/>
  <c r="K385" i="12"/>
  <c r="J385" i="12"/>
  <c r="I385" i="12"/>
  <c r="P384" i="12"/>
  <c r="O384" i="12"/>
  <c r="N384" i="12"/>
  <c r="M384" i="12"/>
  <c r="L384" i="12"/>
  <c r="K384" i="12"/>
  <c r="J384" i="12"/>
  <c r="I384" i="12"/>
  <c r="P383" i="12"/>
  <c r="O383" i="12"/>
  <c r="N383" i="12"/>
  <c r="M383" i="12"/>
  <c r="L383" i="12"/>
  <c r="K383" i="12"/>
  <c r="J383" i="12"/>
  <c r="I383" i="12"/>
  <c r="P382" i="12"/>
  <c r="O382" i="12"/>
  <c r="N382" i="12"/>
  <c r="M382" i="12"/>
  <c r="L382" i="12"/>
  <c r="K382" i="12"/>
  <c r="J382" i="12"/>
  <c r="I382" i="12"/>
  <c r="P381" i="12"/>
  <c r="O381" i="12"/>
  <c r="N381" i="12"/>
  <c r="M381" i="12"/>
  <c r="L381" i="12"/>
  <c r="K381" i="12"/>
  <c r="J381" i="12"/>
  <c r="I381" i="12"/>
  <c r="P380" i="12"/>
  <c r="O380" i="12"/>
  <c r="N380" i="12"/>
  <c r="M380" i="12"/>
  <c r="L380" i="12"/>
  <c r="K380" i="12"/>
  <c r="J380" i="12"/>
  <c r="I380" i="12"/>
  <c r="P379" i="12"/>
  <c r="O379" i="12"/>
  <c r="N379" i="12"/>
  <c r="M379" i="12"/>
  <c r="L379" i="12"/>
  <c r="K379" i="12"/>
  <c r="J379" i="12"/>
  <c r="I379" i="12"/>
  <c r="P378" i="12"/>
  <c r="O378" i="12"/>
  <c r="N378" i="12"/>
  <c r="M378" i="12"/>
  <c r="L378" i="12"/>
  <c r="K378" i="12"/>
  <c r="J378" i="12"/>
  <c r="I378" i="12"/>
  <c r="P377" i="12"/>
  <c r="O377" i="12"/>
  <c r="N377" i="12"/>
  <c r="M377" i="12"/>
  <c r="L377" i="12"/>
  <c r="K377" i="12"/>
  <c r="J377" i="12"/>
  <c r="I377" i="12"/>
  <c r="P376" i="12"/>
  <c r="O376" i="12"/>
  <c r="N376" i="12"/>
  <c r="M376" i="12"/>
  <c r="L376" i="12"/>
  <c r="K376" i="12"/>
  <c r="J376" i="12"/>
  <c r="I376" i="12"/>
  <c r="P375" i="12"/>
  <c r="O375" i="12"/>
  <c r="N375" i="12"/>
  <c r="M375" i="12"/>
  <c r="L375" i="12"/>
  <c r="K375" i="12"/>
  <c r="J375" i="12"/>
  <c r="I375" i="12"/>
  <c r="P374" i="12"/>
  <c r="O374" i="12"/>
  <c r="N374" i="12"/>
  <c r="M374" i="12"/>
  <c r="L374" i="12"/>
  <c r="K374" i="12"/>
  <c r="J374" i="12"/>
  <c r="I374" i="12"/>
  <c r="P373" i="12"/>
  <c r="O373" i="12"/>
  <c r="N373" i="12"/>
  <c r="M373" i="12"/>
  <c r="L373" i="12"/>
  <c r="K373" i="12"/>
  <c r="J373" i="12"/>
  <c r="I373" i="12"/>
  <c r="P26" i="12"/>
  <c r="O26" i="12"/>
  <c r="N26" i="12"/>
  <c r="M26" i="12"/>
  <c r="L26" i="12"/>
  <c r="K26" i="12"/>
  <c r="J26" i="12"/>
  <c r="I26" i="12"/>
  <c r="P372" i="12"/>
  <c r="O372" i="12"/>
  <c r="N372" i="12"/>
  <c r="M372" i="12"/>
  <c r="L372" i="12"/>
  <c r="K372" i="12"/>
  <c r="J372" i="12"/>
  <c r="I372" i="12"/>
  <c r="P371" i="12"/>
  <c r="O371" i="12"/>
  <c r="N371" i="12"/>
  <c r="M371" i="12"/>
  <c r="L371" i="12"/>
  <c r="K371" i="12"/>
  <c r="J371" i="12"/>
  <c r="I371" i="12"/>
  <c r="P370" i="12"/>
  <c r="O370" i="12"/>
  <c r="N370" i="12"/>
  <c r="M370" i="12"/>
  <c r="L370" i="12"/>
  <c r="K370" i="12"/>
  <c r="J370" i="12"/>
  <c r="I370" i="12"/>
  <c r="P369" i="12"/>
  <c r="O369" i="12"/>
  <c r="N369" i="12"/>
  <c r="M369" i="12"/>
  <c r="L369" i="12"/>
  <c r="K369" i="12"/>
  <c r="J369" i="12"/>
  <c r="I369" i="12"/>
  <c r="P25" i="12"/>
  <c r="O25" i="12"/>
  <c r="N25" i="12"/>
  <c r="M25" i="12"/>
  <c r="L25" i="12"/>
  <c r="K25" i="12"/>
  <c r="J25" i="12"/>
  <c r="I25" i="12"/>
  <c r="P368" i="12"/>
  <c r="O368" i="12"/>
  <c r="N368" i="12"/>
  <c r="M368" i="12"/>
  <c r="L368" i="12"/>
  <c r="K368" i="12"/>
  <c r="J368" i="12"/>
  <c r="I368" i="12"/>
  <c r="P367" i="12"/>
  <c r="O367" i="12"/>
  <c r="N367" i="12"/>
  <c r="M367" i="12"/>
  <c r="L367" i="12"/>
  <c r="K367" i="12"/>
  <c r="J367" i="12"/>
  <c r="I367" i="12"/>
  <c r="W366" i="12"/>
  <c r="P366" i="12"/>
  <c r="O366" i="12"/>
  <c r="N366" i="12"/>
  <c r="M366" i="12"/>
  <c r="L366" i="12"/>
  <c r="K366" i="12"/>
  <c r="J366" i="12"/>
  <c r="I366" i="12"/>
  <c r="W365" i="12"/>
  <c r="P365" i="12"/>
  <c r="O365" i="12"/>
  <c r="N365" i="12"/>
  <c r="M365" i="12"/>
  <c r="L365" i="12"/>
  <c r="K365" i="12"/>
  <c r="J365" i="12"/>
  <c r="I365" i="12"/>
  <c r="W24" i="12"/>
  <c r="P24" i="12"/>
  <c r="O24" i="12"/>
  <c r="N24" i="12"/>
  <c r="M24" i="12"/>
  <c r="L24" i="12"/>
  <c r="K24" i="12"/>
  <c r="J24" i="12"/>
  <c r="I24" i="12"/>
  <c r="W364" i="12"/>
  <c r="P364" i="12"/>
  <c r="O364" i="12"/>
  <c r="N364" i="12"/>
  <c r="M364" i="12"/>
  <c r="L364" i="12"/>
  <c r="K364" i="12"/>
  <c r="J364" i="12"/>
  <c r="I364" i="12"/>
  <c r="W363" i="12"/>
  <c r="P363" i="12"/>
  <c r="O363" i="12"/>
  <c r="N363" i="12"/>
  <c r="M363" i="12"/>
  <c r="L363" i="12"/>
  <c r="K363" i="12"/>
  <c r="J363" i="12"/>
  <c r="I363" i="12"/>
  <c r="W362" i="12"/>
  <c r="P362" i="12"/>
  <c r="O362" i="12"/>
  <c r="N362" i="12"/>
  <c r="M362" i="12"/>
  <c r="L362" i="12"/>
  <c r="K362" i="12"/>
  <c r="J362" i="12"/>
  <c r="I362" i="12"/>
  <c r="W361" i="12"/>
  <c r="P361" i="12"/>
  <c r="O361" i="12"/>
  <c r="N361" i="12"/>
  <c r="M361" i="12"/>
  <c r="L361" i="12"/>
  <c r="K361" i="12"/>
  <c r="J361" i="12"/>
  <c r="I361" i="12"/>
  <c r="W360" i="12"/>
  <c r="P360" i="12"/>
  <c r="O360" i="12"/>
  <c r="N360" i="12"/>
  <c r="M360" i="12"/>
  <c r="L360" i="12"/>
  <c r="K360" i="12"/>
  <c r="J360" i="12"/>
  <c r="I360" i="12"/>
  <c r="W359" i="12"/>
  <c r="P359" i="12"/>
  <c r="O359" i="12"/>
  <c r="N359" i="12"/>
  <c r="M359" i="12"/>
  <c r="L359" i="12"/>
  <c r="K359" i="12"/>
  <c r="J359" i="12"/>
  <c r="I359" i="12"/>
  <c r="W358" i="12"/>
  <c r="P358" i="12"/>
  <c r="O358" i="12"/>
  <c r="N358" i="12"/>
  <c r="M358" i="12"/>
  <c r="L358" i="12"/>
  <c r="K358" i="12"/>
  <c r="J358" i="12"/>
  <c r="I358" i="12"/>
  <c r="W357" i="12"/>
  <c r="P357" i="12"/>
  <c r="O357" i="12"/>
  <c r="N357" i="12"/>
  <c r="M357" i="12"/>
  <c r="L357" i="12"/>
  <c r="K357" i="12"/>
  <c r="J357" i="12"/>
  <c r="I357" i="12"/>
  <c r="W356" i="12"/>
  <c r="P356" i="12"/>
  <c r="O356" i="12"/>
  <c r="N356" i="12"/>
  <c r="M356" i="12"/>
  <c r="L356" i="12"/>
  <c r="K356" i="12"/>
  <c r="J356" i="12"/>
  <c r="I356" i="12"/>
  <c r="W355" i="12"/>
  <c r="P355" i="12"/>
  <c r="O355" i="12"/>
  <c r="N355" i="12"/>
  <c r="M355" i="12"/>
  <c r="L355" i="12"/>
  <c r="K355" i="12"/>
  <c r="J355" i="12"/>
  <c r="I355" i="12"/>
  <c r="W354" i="12"/>
  <c r="P354" i="12"/>
  <c r="O354" i="12"/>
  <c r="N354" i="12"/>
  <c r="M354" i="12"/>
  <c r="L354" i="12"/>
  <c r="K354" i="12"/>
  <c r="J354" i="12"/>
  <c r="I354" i="12"/>
  <c r="W353" i="12"/>
  <c r="P353" i="12"/>
  <c r="O353" i="12"/>
  <c r="N353" i="12"/>
  <c r="M353" i="12"/>
  <c r="L353" i="12"/>
  <c r="K353" i="12"/>
  <c r="J353" i="12"/>
  <c r="I353" i="12"/>
  <c r="W352" i="12"/>
  <c r="P352" i="12"/>
  <c r="O352" i="12"/>
  <c r="N352" i="12"/>
  <c r="M352" i="12"/>
  <c r="L352" i="12"/>
  <c r="K352" i="12"/>
  <c r="J352" i="12"/>
  <c r="I352" i="12"/>
  <c r="W351" i="12"/>
  <c r="P351" i="12"/>
  <c r="O351" i="12"/>
  <c r="N351" i="12"/>
  <c r="M351" i="12"/>
  <c r="L351" i="12"/>
  <c r="K351" i="12"/>
  <c r="J351" i="12"/>
  <c r="I351" i="12"/>
  <c r="W350" i="12"/>
  <c r="P350" i="12"/>
  <c r="O350" i="12"/>
  <c r="N350" i="12"/>
  <c r="M350" i="12"/>
  <c r="L350" i="12"/>
  <c r="K350" i="12"/>
  <c r="J350" i="12"/>
  <c r="I350" i="12"/>
  <c r="W349" i="12"/>
  <c r="P349" i="12"/>
  <c r="O349" i="12"/>
  <c r="N349" i="12"/>
  <c r="M349" i="12"/>
  <c r="L349" i="12"/>
  <c r="K349" i="12"/>
  <c r="J349" i="12"/>
  <c r="I349" i="12"/>
  <c r="W348" i="12"/>
  <c r="P348" i="12"/>
  <c r="O348" i="12"/>
  <c r="N348" i="12"/>
  <c r="M348" i="12"/>
  <c r="L348" i="12"/>
  <c r="K348" i="12"/>
  <c r="J348" i="12"/>
  <c r="I348" i="12"/>
  <c r="W347" i="12"/>
  <c r="P347" i="12"/>
  <c r="O347" i="12"/>
  <c r="N347" i="12"/>
  <c r="M347" i="12"/>
  <c r="L347" i="12"/>
  <c r="K347" i="12"/>
  <c r="J347" i="12"/>
  <c r="I347" i="12"/>
  <c r="W346" i="12"/>
  <c r="P346" i="12"/>
  <c r="O346" i="12"/>
  <c r="N346" i="12"/>
  <c r="M346" i="12"/>
  <c r="L346" i="12"/>
  <c r="K346" i="12"/>
  <c r="J346" i="12"/>
  <c r="I346" i="12"/>
  <c r="W345" i="12"/>
  <c r="P345" i="12"/>
  <c r="O345" i="12"/>
  <c r="N345" i="12"/>
  <c r="M345" i="12"/>
  <c r="L345" i="12"/>
  <c r="K345" i="12"/>
  <c r="J345" i="12"/>
  <c r="I345" i="12"/>
  <c r="W344" i="12"/>
  <c r="P344" i="12"/>
  <c r="O344" i="12"/>
  <c r="N344" i="12"/>
  <c r="M344" i="12"/>
  <c r="L344" i="12"/>
  <c r="K344" i="12"/>
  <c r="J344" i="12"/>
  <c r="I344" i="12"/>
  <c r="W343" i="12"/>
  <c r="P343" i="12"/>
  <c r="O343" i="12"/>
  <c r="N343" i="12"/>
  <c r="M343" i="12"/>
  <c r="L343" i="12"/>
  <c r="K343" i="12"/>
  <c r="J343" i="12"/>
  <c r="I343" i="12"/>
  <c r="W342" i="12"/>
  <c r="P342" i="12"/>
  <c r="O342" i="12"/>
  <c r="N342" i="12"/>
  <c r="M342" i="12"/>
  <c r="L342" i="12"/>
  <c r="K342" i="12"/>
  <c r="J342" i="12"/>
  <c r="I342" i="12"/>
  <c r="W341" i="12"/>
  <c r="P341" i="12"/>
  <c r="O341" i="12"/>
  <c r="N341" i="12"/>
  <c r="M341" i="12"/>
  <c r="L341" i="12"/>
  <c r="K341" i="12"/>
  <c r="J341" i="12"/>
  <c r="I341" i="12"/>
  <c r="W340" i="12"/>
  <c r="P340" i="12"/>
  <c r="O340" i="12"/>
  <c r="N340" i="12"/>
  <c r="M340" i="12"/>
  <c r="L340" i="12"/>
  <c r="K340" i="12"/>
  <c r="J340" i="12"/>
  <c r="I340" i="12"/>
  <c r="W339" i="12"/>
  <c r="P339" i="12"/>
  <c r="O339" i="12"/>
  <c r="N339" i="12"/>
  <c r="M339" i="12"/>
  <c r="L339" i="12"/>
  <c r="K339" i="12"/>
  <c r="J339" i="12"/>
  <c r="I339" i="12"/>
  <c r="W338" i="12"/>
  <c r="P338" i="12"/>
  <c r="O338" i="12"/>
  <c r="N338" i="12"/>
  <c r="M338" i="12"/>
  <c r="L338" i="12"/>
  <c r="K338" i="12"/>
  <c r="J338" i="12"/>
  <c r="I338" i="12"/>
  <c r="W337" i="12"/>
  <c r="P337" i="12"/>
  <c r="O337" i="12"/>
  <c r="N337" i="12"/>
  <c r="M337" i="12"/>
  <c r="L337" i="12"/>
  <c r="K337" i="12"/>
  <c r="J337" i="12"/>
  <c r="I337" i="12"/>
  <c r="W336" i="12"/>
  <c r="P336" i="12"/>
  <c r="O336" i="12"/>
  <c r="N336" i="12"/>
  <c r="M336" i="12"/>
  <c r="L336" i="12"/>
  <c r="K336" i="12"/>
  <c r="J336" i="12"/>
  <c r="I336" i="12"/>
  <c r="W335" i="12"/>
  <c r="P335" i="12"/>
  <c r="O335" i="12"/>
  <c r="N335" i="12"/>
  <c r="M335" i="12"/>
  <c r="L335" i="12"/>
  <c r="K335" i="12"/>
  <c r="J335" i="12"/>
  <c r="I335" i="12"/>
  <c r="W334" i="12"/>
  <c r="P334" i="12"/>
  <c r="O334" i="12"/>
  <c r="N334" i="12"/>
  <c r="M334" i="12"/>
  <c r="L334" i="12"/>
  <c r="K334" i="12"/>
  <c r="J334" i="12"/>
  <c r="I334" i="12"/>
  <c r="W333" i="12"/>
  <c r="P333" i="12"/>
  <c r="O333" i="12"/>
  <c r="N333" i="12"/>
  <c r="M333" i="12"/>
  <c r="L333" i="12"/>
  <c r="K333" i="12"/>
  <c r="J333" i="12"/>
  <c r="I333" i="12"/>
  <c r="W332" i="12"/>
  <c r="P332" i="12"/>
  <c r="O332" i="12"/>
  <c r="N332" i="12"/>
  <c r="M332" i="12"/>
  <c r="L332" i="12"/>
  <c r="K332" i="12"/>
  <c r="J332" i="12"/>
  <c r="I332" i="12"/>
  <c r="W331" i="12"/>
  <c r="P331" i="12"/>
  <c r="O331" i="12"/>
  <c r="N331" i="12"/>
  <c r="M331" i="12"/>
  <c r="L331" i="12"/>
  <c r="K331" i="12"/>
  <c r="J331" i="12"/>
  <c r="I331" i="12"/>
  <c r="W330" i="12"/>
  <c r="P330" i="12"/>
  <c r="O330" i="12"/>
  <c r="N330" i="12"/>
  <c r="M330" i="12"/>
  <c r="L330" i="12"/>
  <c r="K330" i="12"/>
  <c r="J330" i="12"/>
  <c r="I330" i="12"/>
  <c r="W329" i="12"/>
  <c r="P329" i="12"/>
  <c r="O329" i="12"/>
  <c r="N329" i="12"/>
  <c r="M329" i="12"/>
  <c r="L329" i="12"/>
  <c r="K329" i="12"/>
  <c r="J329" i="12"/>
  <c r="I329" i="12"/>
  <c r="W328" i="12"/>
  <c r="P328" i="12"/>
  <c r="O328" i="12"/>
  <c r="N328" i="12"/>
  <c r="M328" i="12"/>
  <c r="L328" i="12"/>
  <c r="K328" i="12"/>
  <c r="J328" i="12"/>
  <c r="I328" i="12"/>
  <c r="W23" i="12"/>
  <c r="P23" i="12"/>
  <c r="O23" i="12"/>
  <c r="N23" i="12"/>
  <c r="M23" i="12"/>
  <c r="L23" i="12"/>
  <c r="K23" i="12"/>
  <c r="J23" i="12"/>
  <c r="I23" i="12"/>
  <c r="W327" i="12"/>
  <c r="P327" i="12"/>
  <c r="O327" i="12"/>
  <c r="N327" i="12"/>
  <c r="M327" i="12"/>
  <c r="L327" i="12"/>
  <c r="K327" i="12"/>
  <c r="J327" i="12"/>
  <c r="I327" i="12"/>
  <c r="W326" i="12"/>
  <c r="P326" i="12"/>
  <c r="O326" i="12"/>
  <c r="N326" i="12"/>
  <c r="M326" i="12"/>
  <c r="L326" i="12"/>
  <c r="K326" i="12"/>
  <c r="J326" i="12"/>
  <c r="I326" i="12"/>
  <c r="W325" i="12"/>
  <c r="P325" i="12"/>
  <c r="O325" i="12"/>
  <c r="N325" i="12"/>
  <c r="M325" i="12"/>
  <c r="L325" i="12"/>
  <c r="K325" i="12"/>
  <c r="J325" i="12"/>
  <c r="I325" i="12"/>
  <c r="W324" i="12"/>
  <c r="P324" i="12"/>
  <c r="O324" i="12"/>
  <c r="N324" i="12"/>
  <c r="M324" i="12"/>
  <c r="L324" i="12"/>
  <c r="K324" i="12"/>
  <c r="J324" i="12"/>
  <c r="I324" i="12"/>
  <c r="W323" i="12"/>
  <c r="P323" i="12"/>
  <c r="O323" i="12"/>
  <c r="N323" i="12"/>
  <c r="M323" i="12"/>
  <c r="L323" i="12"/>
  <c r="K323" i="12"/>
  <c r="J323" i="12"/>
  <c r="I323" i="12"/>
  <c r="W322" i="12"/>
  <c r="P322" i="12"/>
  <c r="O322" i="12"/>
  <c r="N322" i="12"/>
  <c r="M322" i="12"/>
  <c r="L322" i="12"/>
  <c r="K322" i="12"/>
  <c r="J322" i="12"/>
  <c r="I322" i="12"/>
  <c r="W321" i="12"/>
  <c r="P321" i="12"/>
  <c r="O321" i="12"/>
  <c r="N321" i="12"/>
  <c r="M321" i="12"/>
  <c r="L321" i="12"/>
  <c r="K321" i="12"/>
  <c r="J321" i="12"/>
  <c r="I321" i="12"/>
  <c r="W320" i="12"/>
  <c r="P320" i="12"/>
  <c r="O320" i="12"/>
  <c r="N320" i="12"/>
  <c r="M320" i="12"/>
  <c r="L320" i="12"/>
  <c r="K320" i="12"/>
  <c r="J320" i="12"/>
  <c r="I320" i="12"/>
  <c r="W319" i="12"/>
  <c r="P319" i="12"/>
  <c r="O319" i="12"/>
  <c r="N319" i="12"/>
  <c r="M319" i="12"/>
  <c r="L319" i="12"/>
  <c r="K319" i="12"/>
  <c r="J319" i="12"/>
  <c r="I319" i="12"/>
  <c r="P318" i="12"/>
  <c r="O318" i="12"/>
  <c r="N318" i="12"/>
  <c r="M318" i="12"/>
  <c r="L318" i="12"/>
  <c r="K318" i="12"/>
  <c r="J318" i="12"/>
  <c r="I318" i="12"/>
  <c r="P317" i="12"/>
  <c r="O317" i="12"/>
  <c r="N317" i="12"/>
  <c r="M317" i="12"/>
  <c r="L317" i="12"/>
  <c r="K317" i="12"/>
  <c r="J317" i="12"/>
  <c r="I317" i="12"/>
  <c r="P316" i="12"/>
  <c r="O316" i="12"/>
  <c r="N316" i="12"/>
  <c r="M316" i="12"/>
  <c r="L316" i="12"/>
  <c r="K316" i="12"/>
  <c r="J316" i="12"/>
  <c r="I316" i="12"/>
  <c r="P315" i="12"/>
  <c r="O315" i="12"/>
  <c r="N315" i="12"/>
  <c r="M315" i="12"/>
  <c r="L315" i="12"/>
  <c r="K315" i="12"/>
  <c r="J315" i="12"/>
  <c r="I315" i="12"/>
  <c r="P314" i="12"/>
  <c r="O314" i="12"/>
  <c r="N314" i="12"/>
  <c r="M314" i="12"/>
  <c r="L314" i="12"/>
  <c r="K314" i="12"/>
  <c r="J314" i="12"/>
  <c r="I314" i="12"/>
  <c r="W313" i="12"/>
  <c r="P313" i="12"/>
  <c r="O313" i="12"/>
  <c r="N313" i="12"/>
  <c r="M313" i="12"/>
  <c r="L313" i="12"/>
  <c r="K313" i="12"/>
  <c r="J313" i="12"/>
  <c r="I313" i="12"/>
  <c r="W312" i="12"/>
  <c r="P312" i="12"/>
  <c r="O312" i="12"/>
  <c r="N312" i="12"/>
  <c r="M312" i="12"/>
  <c r="L312" i="12"/>
  <c r="K312" i="12"/>
  <c r="J312" i="12"/>
  <c r="I312" i="12"/>
  <c r="W311" i="12"/>
  <c r="P311" i="12"/>
  <c r="O311" i="12"/>
  <c r="N311" i="12"/>
  <c r="M311" i="12"/>
  <c r="L311" i="12"/>
  <c r="K311" i="12"/>
  <c r="J311" i="12"/>
  <c r="I311" i="12"/>
  <c r="W310" i="12"/>
  <c r="P310" i="12"/>
  <c r="O310" i="12"/>
  <c r="N310" i="12"/>
  <c r="M310" i="12"/>
  <c r="L310" i="12"/>
  <c r="K310" i="12"/>
  <c r="J310" i="12"/>
  <c r="I310" i="12"/>
  <c r="W309" i="12"/>
  <c r="P309" i="12"/>
  <c r="O309" i="12"/>
  <c r="N309" i="12"/>
  <c r="M309" i="12"/>
  <c r="L309" i="12"/>
  <c r="K309" i="12"/>
  <c r="J309" i="12"/>
  <c r="I309" i="12"/>
  <c r="W308" i="12"/>
  <c r="P308" i="12"/>
  <c r="O308" i="12"/>
  <c r="N308" i="12"/>
  <c r="M308" i="12"/>
  <c r="L308" i="12"/>
  <c r="K308" i="12"/>
  <c r="J308" i="12"/>
  <c r="I308" i="12"/>
  <c r="W307" i="12"/>
  <c r="P307" i="12"/>
  <c r="O307" i="12"/>
  <c r="N307" i="12"/>
  <c r="M307" i="12"/>
  <c r="L307" i="12"/>
  <c r="K307" i="12"/>
  <c r="J307" i="12"/>
  <c r="I307" i="12"/>
  <c r="W306" i="12"/>
  <c r="P306" i="12"/>
  <c r="O306" i="12"/>
  <c r="N306" i="12"/>
  <c r="M306" i="12"/>
  <c r="L306" i="12"/>
  <c r="K306" i="12"/>
  <c r="J306" i="12"/>
  <c r="I306" i="12"/>
  <c r="W305" i="12"/>
  <c r="P305" i="12"/>
  <c r="O305" i="12"/>
  <c r="N305" i="12"/>
  <c r="M305" i="12"/>
  <c r="L305" i="12"/>
  <c r="K305" i="12"/>
  <c r="J305" i="12"/>
  <c r="I305" i="12"/>
  <c r="W304" i="12"/>
  <c r="P304" i="12"/>
  <c r="O304" i="12"/>
  <c r="N304" i="12"/>
  <c r="M304" i="12"/>
  <c r="L304" i="12"/>
  <c r="K304" i="12"/>
  <c r="J304" i="12"/>
  <c r="I304" i="12"/>
  <c r="P303" i="12"/>
  <c r="O303" i="12"/>
  <c r="N303" i="12"/>
  <c r="M303" i="12"/>
  <c r="L303" i="12"/>
  <c r="K303" i="12"/>
  <c r="J303" i="12"/>
  <c r="I303" i="12"/>
  <c r="P302" i="12"/>
  <c r="O302" i="12"/>
  <c r="N302" i="12"/>
  <c r="M302" i="12"/>
  <c r="L302" i="12"/>
  <c r="K302" i="12"/>
  <c r="J302" i="12"/>
  <c r="I302" i="12"/>
  <c r="P301" i="12"/>
  <c r="O301" i="12"/>
  <c r="N301" i="12"/>
  <c r="M301" i="12"/>
  <c r="L301" i="12"/>
  <c r="K301" i="12"/>
  <c r="J301" i="12"/>
  <c r="I301" i="12"/>
  <c r="W300" i="12"/>
  <c r="P300" i="12"/>
  <c r="O300" i="12"/>
  <c r="N300" i="12"/>
  <c r="M300" i="12"/>
  <c r="L300" i="12"/>
  <c r="K300" i="12"/>
  <c r="J300" i="12"/>
  <c r="I300" i="12"/>
  <c r="W299" i="12"/>
  <c r="P299" i="12"/>
  <c r="O299" i="12"/>
  <c r="N299" i="12"/>
  <c r="M299" i="12"/>
  <c r="L299" i="12"/>
  <c r="K299" i="12"/>
  <c r="J299" i="12"/>
  <c r="I299" i="12"/>
  <c r="P298" i="12"/>
  <c r="O298" i="12"/>
  <c r="N298" i="12"/>
  <c r="M298" i="12"/>
  <c r="L298" i="12"/>
  <c r="K298" i="12"/>
  <c r="J298" i="12"/>
  <c r="I298" i="12"/>
  <c r="W297" i="12"/>
  <c r="P297" i="12"/>
  <c r="O297" i="12"/>
  <c r="N297" i="12"/>
  <c r="M297" i="12"/>
  <c r="L297" i="12"/>
  <c r="K297" i="12"/>
  <c r="J297" i="12"/>
  <c r="I297" i="12"/>
  <c r="P296" i="12"/>
  <c r="O296" i="12"/>
  <c r="N296" i="12"/>
  <c r="M296" i="12"/>
  <c r="L296" i="12"/>
  <c r="K296" i="12"/>
  <c r="J296" i="12"/>
  <c r="I296" i="12"/>
  <c r="P295" i="12"/>
  <c r="O295" i="12"/>
  <c r="N295" i="12"/>
  <c r="M295" i="12"/>
  <c r="L295" i="12"/>
  <c r="K295" i="12"/>
  <c r="J295" i="12"/>
  <c r="I295" i="12"/>
  <c r="P294" i="12"/>
  <c r="O294" i="12"/>
  <c r="N294" i="12"/>
  <c r="M294" i="12"/>
  <c r="L294" i="12"/>
  <c r="K294" i="12"/>
  <c r="J294" i="12"/>
  <c r="I294" i="12"/>
  <c r="W293" i="12"/>
  <c r="P293" i="12"/>
  <c r="O293" i="12"/>
  <c r="N293" i="12"/>
  <c r="M293" i="12"/>
  <c r="L293" i="12"/>
  <c r="K293" i="12"/>
  <c r="J293" i="12"/>
  <c r="I293" i="12"/>
  <c r="W292" i="12"/>
  <c r="P292" i="12"/>
  <c r="O292" i="12"/>
  <c r="N292" i="12"/>
  <c r="M292" i="12"/>
  <c r="L292" i="12"/>
  <c r="K292" i="12"/>
  <c r="J292" i="12"/>
  <c r="I292" i="12"/>
  <c r="P291" i="12"/>
  <c r="O291" i="12"/>
  <c r="N291" i="12"/>
  <c r="M291" i="12"/>
  <c r="L291" i="12"/>
  <c r="K291" i="12"/>
  <c r="J291" i="12"/>
  <c r="I291" i="12"/>
  <c r="W290" i="12"/>
  <c r="P290" i="12"/>
  <c r="O290" i="12"/>
  <c r="N290" i="12"/>
  <c r="M290" i="12"/>
  <c r="L290" i="12"/>
  <c r="K290" i="12"/>
  <c r="J290" i="12"/>
  <c r="I290" i="12"/>
  <c r="W289" i="12"/>
  <c r="P289" i="12"/>
  <c r="O289" i="12"/>
  <c r="N289" i="12"/>
  <c r="M289" i="12"/>
  <c r="L289" i="12"/>
  <c r="K289" i="12"/>
  <c r="J289" i="12"/>
  <c r="I289" i="12"/>
  <c r="P288" i="12"/>
  <c r="O288" i="12"/>
  <c r="N288" i="12"/>
  <c r="M288" i="12"/>
  <c r="L288" i="12"/>
  <c r="K288" i="12"/>
  <c r="J288" i="12"/>
  <c r="I288" i="12"/>
  <c r="W287" i="12"/>
  <c r="P287" i="12"/>
  <c r="O287" i="12"/>
  <c r="N287" i="12"/>
  <c r="M287" i="12"/>
  <c r="L287" i="12"/>
  <c r="K287" i="12"/>
  <c r="J287" i="12"/>
  <c r="I287" i="12"/>
  <c r="W286" i="12"/>
  <c r="P286" i="12"/>
  <c r="O286" i="12"/>
  <c r="N286" i="12"/>
  <c r="M286" i="12"/>
  <c r="L286" i="12"/>
  <c r="K286" i="12"/>
  <c r="J286" i="12"/>
  <c r="I286" i="12"/>
  <c r="W285" i="12"/>
  <c r="P285" i="12"/>
  <c r="O285" i="12"/>
  <c r="N285" i="12"/>
  <c r="M285" i="12"/>
  <c r="L285" i="12"/>
  <c r="K285" i="12"/>
  <c r="J285" i="12"/>
  <c r="I285" i="12"/>
  <c r="W22" i="12"/>
  <c r="P22" i="12"/>
  <c r="O22" i="12"/>
  <c r="N22" i="12"/>
  <c r="M22" i="12"/>
  <c r="L22" i="12"/>
  <c r="K22" i="12"/>
  <c r="J22" i="12"/>
  <c r="I22" i="12"/>
  <c r="W21" i="12"/>
  <c r="P21" i="12"/>
  <c r="O21" i="12"/>
  <c r="N21" i="12"/>
  <c r="M21" i="12"/>
  <c r="L21" i="12"/>
  <c r="K21" i="12"/>
  <c r="J21" i="12"/>
  <c r="I21" i="12"/>
  <c r="P20" i="12"/>
  <c r="O20" i="12"/>
  <c r="N20" i="12"/>
  <c r="M20" i="12"/>
  <c r="L20" i="12"/>
  <c r="K20" i="12"/>
  <c r="J20" i="12"/>
  <c r="I20" i="12"/>
  <c r="P284" i="12"/>
  <c r="O284" i="12"/>
  <c r="N284" i="12"/>
  <c r="M284" i="12"/>
  <c r="L284" i="12"/>
  <c r="K284" i="12"/>
  <c r="J284" i="12"/>
  <c r="I284" i="12"/>
  <c r="P283" i="12"/>
  <c r="O283" i="12"/>
  <c r="N283" i="12"/>
  <c r="M283" i="12"/>
  <c r="L283" i="12"/>
  <c r="K283" i="12"/>
  <c r="J283" i="12"/>
  <c r="I283" i="12"/>
  <c r="P282" i="12"/>
  <c r="O282" i="12"/>
  <c r="N282" i="12"/>
  <c r="M282" i="12"/>
  <c r="L282" i="12"/>
  <c r="K282" i="12"/>
  <c r="J282" i="12"/>
  <c r="I282" i="12"/>
  <c r="P281" i="12"/>
  <c r="O281" i="12"/>
  <c r="N281" i="12"/>
  <c r="M281" i="12"/>
  <c r="L281" i="12"/>
  <c r="K281" i="12"/>
  <c r="J281" i="12"/>
  <c r="I281" i="12"/>
  <c r="W280" i="12"/>
  <c r="P280" i="12"/>
  <c r="O280" i="12"/>
  <c r="N280" i="12"/>
  <c r="M280" i="12"/>
  <c r="L280" i="12"/>
  <c r="K280" i="12"/>
  <c r="J280" i="12"/>
  <c r="I280" i="12"/>
  <c r="W279" i="12"/>
  <c r="P279" i="12"/>
  <c r="O279" i="12"/>
  <c r="N279" i="12"/>
  <c r="M279" i="12"/>
  <c r="L279" i="12"/>
  <c r="K279" i="12"/>
  <c r="J279" i="12"/>
  <c r="I279" i="12"/>
  <c r="W278" i="12"/>
  <c r="P278" i="12"/>
  <c r="O278" i="12"/>
  <c r="N278" i="12"/>
  <c r="M278" i="12"/>
  <c r="L278" i="12"/>
  <c r="K278" i="12"/>
  <c r="J278" i="12"/>
  <c r="I278" i="12"/>
  <c r="P277" i="12"/>
  <c r="O277" i="12"/>
  <c r="N277" i="12"/>
  <c r="M277" i="12"/>
  <c r="L277" i="12"/>
  <c r="K277" i="12"/>
  <c r="J277" i="12"/>
  <c r="I277" i="12"/>
  <c r="P276" i="12"/>
  <c r="O276" i="12"/>
  <c r="N276" i="12"/>
  <c r="M276" i="12"/>
  <c r="L276" i="12"/>
  <c r="K276" i="12"/>
  <c r="J276" i="12"/>
  <c r="I276" i="12"/>
  <c r="P275" i="12"/>
  <c r="O275" i="12"/>
  <c r="N275" i="12"/>
  <c r="M275" i="12"/>
  <c r="L275" i="12"/>
  <c r="K275" i="12"/>
  <c r="J275" i="12"/>
  <c r="I275" i="12"/>
  <c r="W274" i="12"/>
  <c r="P274" i="12"/>
  <c r="O274" i="12"/>
  <c r="N274" i="12"/>
  <c r="M274" i="12"/>
  <c r="L274" i="12"/>
  <c r="K274" i="12"/>
  <c r="J274" i="12"/>
  <c r="I274" i="12"/>
  <c r="W273" i="12"/>
  <c r="P273" i="12"/>
  <c r="O273" i="12"/>
  <c r="N273" i="12"/>
  <c r="M273" i="12"/>
  <c r="L273" i="12"/>
  <c r="K273" i="12"/>
  <c r="J273" i="12"/>
  <c r="I273" i="12"/>
  <c r="W272" i="12"/>
  <c r="P272" i="12"/>
  <c r="O272" i="12"/>
  <c r="N272" i="12"/>
  <c r="M272" i="12"/>
  <c r="L272" i="12"/>
  <c r="K272" i="12"/>
  <c r="J272" i="12"/>
  <c r="I272" i="12"/>
  <c r="W271" i="12"/>
  <c r="P271" i="12"/>
  <c r="O271" i="12"/>
  <c r="N271" i="12"/>
  <c r="M271" i="12"/>
  <c r="L271" i="12"/>
  <c r="K271" i="12"/>
  <c r="J271" i="12"/>
  <c r="I271" i="12"/>
  <c r="W270" i="12"/>
  <c r="P270" i="12"/>
  <c r="O270" i="12"/>
  <c r="N270" i="12"/>
  <c r="M270" i="12"/>
  <c r="L270" i="12"/>
  <c r="K270" i="12"/>
  <c r="J270" i="12"/>
  <c r="I270" i="12"/>
  <c r="W269" i="12"/>
  <c r="P269" i="12"/>
  <c r="O269" i="12"/>
  <c r="N269" i="12"/>
  <c r="M269" i="12"/>
  <c r="L269" i="12"/>
  <c r="K269" i="12"/>
  <c r="J269" i="12"/>
  <c r="I269" i="12"/>
  <c r="W268" i="12"/>
  <c r="P268" i="12"/>
  <c r="O268" i="12"/>
  <c r="N268" i="12"/>
  <c r="M268" i="12"/>
  <c r="L268" i="12"/>
  <c r="K268" i="12"/>
  <c r="J268" i="12"/>
  <c r="I268" i="12"/>
  <c r="P267" i="12"/>
  <c r="O267" i="12"/>
  <c r="N267" i="12"/>
  <c r="M267" i="12"/>
  <c r="L267" i="12"/>
  <c r="K267" i="12"/>
  <c r="J267" i="12"/>
  <c r="I267" i="12"/>
  <c r="P266" i="12"/>
  <c r="O266" i="12"/>
  <c r="N266" i="12"/>
  <c r="M266" i="12"/>
  <c r="L266" i="12"/>
  <c r="K266" i="12"/>
  <c r="J266" i="12"/>
  <c r="I266" i="12"/>
  <c r="W265" i="12"/>
  <c r="P265" i="12"/>
  <c r="O265" i="12"/>
  <c r="N265" i="12"/>
  <c r="M265" i="12"/>
  <c r="L265" i="12"/>
  <c r="K265" i="12"/>
  <c r="J265" i="12"/>
  <c r="I265" i="12"/>
  <c r="P264" i="12"/>
  <c r="O264" i="12"/>
  <c r="N264" i="12"/>
  <c r="M264" i="12"/>
  <c r="L264" i="12"/>
  <c r="K264" i="12"/>
  <c r="J264" i="12"/>
  <c r="I264" i="12"/>
  <c r="P263" i="12"/>
  <c r="O263" i="12"/>
  <c r="N263" i="12"/>
  <c r="M263" i="12"/>
  <c r="L263" i="12"/>
  <c r="K263" i="12"/>
  <c r="J263" i="12"/>
  <c r="I263" i="12"/>
  <c r="P262" i="12"/>
  <c r="O262" i="12"/>
  <c r="N262" i="12"/>
  <c r="M262" i="12"/>
  <c r="L262" i="12"/>
  <c r="K262" i="12"/>
  <c r="J262" i="12"/>
  <c r="I262" i="12"/>
  <c r="P261" i="12"/>
  <c r="O261" i="12"/>
  <c r="N261" i="12"/>
  <c r="M261" i="12"/>
  <c r="L261" i="12"/>
  <c r="K261" i="12"/>
  <c r="J261" i="12"/>
  <c r="I261" i="12"/>
  <c r="P13" i="12"/>
  <c r="O13" i="12"/>
  <c r="N13" i="12"/>
  <c r="M13" i="12"/>
  <c r="L13" i="12"/>
  <c r="K13" i="12"/>
  <c r="J13" i="12"/>
  <c r="I13" i="12"/>
  <c r="P260" i="12"/>
  <c r="O260" i="12"/>
  <c r="N260" i="12"/>
  <c r="M260" i="12"/>
  <c r="L260" i="12"/>
  <c r="K260" i="12"/>
  <c r="J260" i="12"/>
  <c r="I260" i="12"/>
  <c r="W259" i="12"/>
  <c r="P259" i="12"/>
  <c r="O259" i="12"/>
  <c r="N259" i="12"/>
  <c r="M259" i="12"/>
  <c r="L259" i="12"/>
  <c r="K259" i="12"/>
  <c r="J259" i="12"/>
  <c r="I259" i="12"/>
  <c r="P258" i="12"/>
  <c r="O258" i="12"/>
  <c r="N258" i="12"/>
  <c r="M258" i="12"/>
  <c r="L258" i="12"/>
  <c r="K258" i="12"/>
  <c r="J258" i="12"/>
  <c r="I258" i="12"/>
  <c r="P257" i="12"/>
  <c r="O257" i="12"/>
  <c r="N257" i="12"/>
  <c r="M257" i="12"/>
  <c r="L257" i="12"/>
  <c r="K257" i="12"/>
  <c r="J257" i="12"/>
  <c r="I257" i="12"/>
  <c r="P256" i="12"/>
  <c r="O256" i="12"/>
  <c r="N256" i="12"/>
  <c r="M256" i="12"/>
  <c r="L256" i="12"/>
  <c r="K256" i="12"/>
  <c r="J256" i="12"/>
  <c r="I256" i="12"/>
  <c r="P255" i="12"/>
  <c r="O255" i="12"/>
  <c r="N255" i="12"/>
  <c r="M255" i="12"/>
  <c r="L255" i="12"/>
  <c r="K255" i="12"/>
  <c r="J255" i="12"/>
  <c r="I255" i="12"/>
  <c r="W254" i="12"/>
  <c r="P254" i="12"/>
  <c r="O254" i="12"/>
  <c r="N254" i="12"/>
  <c r="M254" i="12"/>
  <c r="L254" i="12"/>
  <c r="K254" i="12"/>
  <c r="J254" i="12"/>
  <c r="I254" i="12"/>
  <c r="W253" i="12"/>
  <c r="P253" i="12"/>
  <c r="O253" i="12"/>
  <c r="N253" i="12"/>
  <c r="M253" i="12"/>
  <c r="L253" i="12"/>
  <c r="K253" i="12"/>
  <c r="J253" i="12"/>
  <c r="I253" i="12"/>
  <c r="W252" i="12"/>
  <c r="P252" i="12"/>
  <c r="O252" i="12"/>
  <c r="N252" i="12"/>
  <c r="M252" i="12"/>
  <c r="L252" i="12"/>
  <c r="K252" i="12"/>
  <c r="J252" i="12"/>
  <c r="I252" i="12"/>
  <c r="P251" i="12"/>
  <c r="O251" i="12"/>
  <c r="N251" i="12"/>
  <c r="M251" i="12"/>
  <c r="L251" i="12"/>
  <c r="K251" i="12"/>
  <c r="J251" i="12"/>
  <c r="I251" i="12"/>
  <c r="P250" i="12"/>
  <c r="O250" i="12"/>
  <c r="N250" i="12"/>
  <c r="M250" i="12"/>
  <c r="L250" i="12"/>
  <c r="K250" i="12"/>
  <c r="J250" i="12"/>
  <c r="I250" i="12"/>
  <c r="P249" i="12"/>
  <c r="O249" i="12"/>
  <c r="N249" i="12"/>
  <c r="M249" i="12"/>
  <c r="L249" i="12"/>
  <c r="K249" i="12"/>
  <c r="J249" i="12"/>
  <c r="I249" i="12"/>
  <c r="P248" i="12"/>
  <c r="O248" i="12"/>
  <c r="N248" i="12"/>
  <c r="M248" i="12"/>
  <c r="L248" i="12"/>
  <c r="K248" i="12"/>
  <c r="J248" i="12"/>
  <c r="I248" i="12"/>
  <c r="W247" i="12"/>
  <c r="P247" i="12"/>
  <c r="O247" i="12"/>
  <c r="N247" i="12"/>
  <c r="M247" i="12"/>
  <c r="L247" i="12"/>
  <c r="K247" i="12"/>
  <c r="J247" i="12"/>
  <c r="I247" i="12"/>
  <c r="W246" i="12"/>
  <c r="P246" i="12"/>
  <c r="O246" i="12"/>
  <c r="N246" i="12"/>
  <c r="M246" i="12"/>
  <c r="L246" i="12"/>
  <c r="K246" i="12"/>
  <c r="J246" i="12"/>
  <c r="I246" i="12"/>
  <c r="W245" i="12"/>
  <c r="P245" i="12"/>
  <c r="O245" i="12"/>
  <c r="N245" i="12"/>
  <c r="M245" i="12"/>
  <c r="L245" i="12"/>
  <c r="K245" i="12"/>
  <c r="J245" i="12"/>
  <c r="I245" i="12"/>
  <c r="W244" i="12"/>
  <c r="P244" i="12"/>
  <c r="O244" i="12"/>
  <c r="N244" i="12"/>
  <c r="M244" i="12"/>
  <c r="L244" i="12"/>
  <c r="K244" i="12"/>
  <c r="J244" i="12"/>
  <c r="I244" i="12"/>
  <c r="P243" i="12"/>
  <c r="O243" i="12"/>
  <c r="N243" i="12"/>
  <c r="M243" i="12"/>
  <c r="L243" i="12"/>
  <c r="K243" i="12"/>
  <c r="J243" i="12"/>
  <c r="I243" i="12"/>
  <c r="P242" i="12"/>
  <c r="O242" i="12"/>
  <c r="N242" i="12"/>
  <c r="M242" i="12"/>
  <c r="L242" i="12"/>
  <c r="K242" i="12"/>
  <c r="J242" i="12"/>
  <c r="I242" i="12"/>
  <c r="P241" i="12"/>
  <c r="O241" i="12"/>
  <c r="N241" i="12"/>
  <c r="M241" i="12"/>
  <c r="L241" i="12"/>
  <c r="K241" i="12"/>
  <c r="J241" i="12"/>
  <c r="I241" i="12"/>
  <c r="P240" i="12"/>
  <c r="O240" i="12"/>
  <c r="N240" i="12"/>
  <c r="M240" i="12"/>
  <c r="L240" i="12"/>
  <c r="K240" i="12"/>
  <c r="J240" i="12"/>
  <c r="I240" i="12"/>
  <c r="P239" i="12"/>
  <c r="O239" i="12"/>
  <c r="N239" i="12"/>
  <c r="M239" i="12"/>
  <c r="L239" i="12"/>
  <c r="K239" i="12"/>
  <c r="J239" i="12"/>
  <c r="I239" i="12"/>
  <c r="W238" i="12"/>
  <c r="P238" i="12"/>
  <c r="O238" i="12"/>
  <c r="N238" i="12"/>
  <c r="M238" i="12"/>
  <c r="L238" i="12"/>
  <c r="K238" i="12"/>
  <c r="J238" i="12"/>
  <c r="I238" i="12"/>
  <c r="W237" i="12"/>
  <c r="P237" i="12"/>
  <c r="O237" i="12"/>
  <c r="N237" i="12"/>
  <c r="M237" i="12"/>
  <c r="L237" i="12"/>
  <c r="K237" i="12"/>
  <c r="J237" i="12"/>
  <c r="I237" i="12"/>
  <c r="W236" i="12"/>
  <c r="P236" i="12"/>
  <c r="O236" i="12"/>
  <c r="N236" i="12"/>
  <c r="M236" i="12"/>
  <c r="L236" i="12"/>
  <c r="K236" i="12"/>
  <c r="J236" i="12"/>
  <c r="I236" i="12"/>
  <c r="W235" i="12"/>
  <c r="P235" i="12"/>
  <c r="O235" i="12"/>
  <c r="N235" i="12"/>
  <c r="M235" i="12"/>
  <c r="L235" i="12"/>
  <c r="K235" i="12"/>
  <c r="J235" i="12"/>
  <c r="I235" i="12"/>
  <c r="P234" i="12"/>
  <c r="O234" i="12"/>
  <c r="N234" i="12"/>
  <c r="M234" i="12"/>
  <c r="L234" i="12"/>
  <c r="K234" i="12"/>
  <c r="J234" i="12"/>
  <c r="I234" i="12"/>
  <c r="P233" i="12"/>
  <c r="O233" i="12"/>
  <c r="N233" i="12"/>
  <c r="M233" i="12"/>
  <c r="L233" i="12"/>
  <c r="K233" i="12"/>
  <c r="J233" i="12"/>
  <c r="I233" i="12"/>
  <c r="P232" i="12"/>
  <c r="O232" i="12"/>
  <c r="N232" i="12"/>
  <c r="M232" i="12"/>
  <c r="L232" i="12"/>
  <c r="K232" i="12"/>
  <c r="J232" i="12"/>
  <c r="I232" i="12"/>
  <c r="P231" i="12"/>
  <c r="O231" i="12"/>
  <c r="N231" i="12"/>
  <c r="M231" i="12"/>
  <c r="L231" i="12"/>
  <c r="K231" i="12"/>
  <c r="J231" i="12"/>
  <c r="I231" i="12"/>
  <c r="P230" i="12"/>
  <c r="O230" i="12"/>
  <c r="N230" i="12"/>
  <c r="M230" i="12"/>
  <c r="L230" i="12"/>
  <c r="K230" i="12"/>
  <c r="J230" i="12"/>
  <c r="I230" i="12"/>
  <c r="P229" i="12"/>
  <c r="O229" i="12"/>
  <c r="N229" i="12"/>
  <c r="M229" i="12"/>
  <c r="L229" i="12"/>
  <c r="K229" i="12"/>
  <c r="J229" i="12"/>
  <c r="I229" i="12"/>
  <c r="P228" i="12"/>
  <c r="O228" i="12"/>
  <c r="N228" i="12"/>
  <c r="M228" i="12"/>
  <c r="L228" i="12"/>
  <c r="K228" i="12"/>
  <c r="J228" i="12"/>
  <c r="I228" i="12"/>
  <c r="P227" i="12"/>
  <c r="O227" i="12"/>
  <c r="N227" i="12"/>
  <c r="M227" i="12"/>
  <c r="L227" i="12"/>
  <c r="K227" i="12"/>
  <c r="J227" i="12"/>
  <c r="I227" i="12"/>
  <c r="P226" i="12"/>
  <c r="O226" i="12"/>
  <c r="N226" i="12"/>
  <c r="M226" i="12"/>
  <c r="L226" i="12"/>
  <c r="K226" i="12"/>
  <c r="J226" i="12"/>
  <c r="I226" i="12"/>
  <c r="W225" i="12"/>
  <c r="P225" i="12"/>
  <c r="O225" i="12"/>
  <c r="N225" i="12"/>
  <c r="M225" i="12"/>
  <c r="L225" i="12"/>
  <c r="K225" i="12"/>
  <c r="J225" i="12"/>
  <c r="I225" i="12"/>
  <c r="P224" i="12"/>
  <c r="O224" i="12"/>
  <c r="N224" i="12"/>
  <c r="M224" i="12"/>
  <c r="L224" i="12"/>
  <c r="K224" i="12"/>
  <c r="J224" i="12"/>
  <c r="I224" i="12"/>
  <c r="P223" i="12"/>
  <c r="O223" i="12"/>
  <c r="N223" i="12"/>
  <c r="M223" i="12"/>
  <c r="L223" i="12"/>
  <c r="K223" i="12"/>
  <c r="J223" i="12"/>
  <c r="I223" i="12"/>
  <c r="P222" i="12"/>
  <c r="O222" i="12"/>
  <c r="N222" i="12"/>
  <c r="M222" i="12"/>
  <c r="L222" i="12"/>
  <c r="K222" i="12"/>
  <c r="J222" i="12"/>
  <c r="I222" i="12"/>
  <c r="P221" i="12"/>
  <c r="O221" i="12"/>
  <c r="N221" i="12"/>
  <c r="M221" i="12"/>
  <c r="L221" i="12"/>
  <c r="K221" i="12"/>
  <c r="J221" i="12"/>
  <c r="I221" i="12"/>
  <c r="P220" i="12"/>
  <c r="O220" i="12"/>
  <c r="N220" i="12"/>
  <c r="M220" i="12"/>
  <c r="L220" i="12"/>
  <c r="K220" i="12"/>
  <c r="J220" i="12"/>
  <c r="I220" i="12"/>
  <c r="P219" i="12"/>
  <c r="O219" i="12"/>
  <c r="N219" i="12"/>
  <c r="M219" i="12"/>
  <c r="L219" i="12"/>
  <c r="K219" i="12"/>
  <c r="J219" i="12"/>
  <c r="I219" i="12"/>
  <c r="P218" i="12"/>
  <c r="O218" i="12"/>
  <c r="N218" i="12"/>
  <c r="M218" i="12"/>
  <c r="L218" i="12"/>
  <c r="K218" i="12"/>
  <c r="J218" i="12"/>
  <c r="I218" i="12"/>
  <c r="P217" i="12"/>
  <c r="O217" i="12"/>
  <c r="N217" i="12"/>
  <c r="M217" i="12"/>
  <c r="L217" i="12"/>
  <c r="K217" i="12"/>
  <c r="J217" i="12"/>
  <c r="I217" i="12"/>
  <c r="P216" i="12"/>
  <c r="O216" i="12"/>
  <c r="N216" i="12"/>
  <c r="M216" i="12"/>
  <c r="L216" i="12"/>
  <c r="K216" i="12"/>
  <c r="J216" i="12"/>
  <c r="I216" i="12"/>
  <c r="W215" i="12"/>
  <c r="P215" i="12"/>
  <c r="O215" i="12"/>
  <c r="N215" i="12"/>
  <c r="M215" i="12"/>
  <c r="L215" i="12"/>
  <c r="K215" i="12"/>
  <c r="J215" i="12"/>
  <c r="I215" i="12"/>
  <c r="P214" i="12"/>
  <c r="O214" i="12"/>
  <c r="N214" i="12"/>
  <c r="M214" i="12"/>
  <c r="L214" i="12"/>
  <c r="K214" i="12"/>
  <c r="J214" i="12"/>
  <c r="I214" i="12"/>
  <c r="W213" i="12"/>
  <c r="P213" i="12"/>
  <c r="O213" i="12"/>
  <c r="N213" i="12"/>
  <c r="M213" i="12"/>
  <c r="L213" i="12"/>
  <c r="K213" i="12"/>
  <c r="J213" i="12"/>
  <c r="I213" i="12"/>
  <c r="W212" i="12"/>
  <c r="P212" i="12"/>
  <c r="O212" i="12"/>
  <c r="N212" i="12"/>
  <c r="M212" i="12"/>
  <c r="L212" i="12"/>
  <c r="K212" i="12"/>
  <c r="J212" i="12"/>
  <c r="I212" i="12"/>
  <c r="P211" i="12"/>
  <c r="O211" i="12"/>
  <c r="N211" i="12"/>
  <c r="M211" i="12"/>
  <c r="L211" i="12"/>
  <c r="K211" i="12"/>
  <c r="J211" i="12"/>
  <c r="I211" i="12"/>
  <c r="W210" i="12"/>
  <c r="P210" i="12"/>
  <c r="O210" i="12"/>
  <c r="N210" i="12"/>
  <c r="M210" i="12"/>
  <c r="L210" i="12"/>
  <c r="K210" i="12"/>
  <c r="J210" i="12"/>
  <c r="I210" i="12"/>
  <c r="W12" i="12"/>
  <c r="P12" i="12"/>
  <c r="O12" i="12"/>
  <c r="N12" i="12"/>
  <c r="M12" i="12"/>
  <c r="L12" i="12"/>
  <c r="K12" i="12"/>
  <c r="J12" i="12"/>
  <c r="I12" i="12"/>
  <c r="W209" i="12"/>
  <c r="P209" i="12"/>
  <c r="O209" i="12"/>
  <c r="N209" i="12"/>
  <c r="M209" i="12"/>
  <c r="L209" i="12"/>
  <c r="K209" i="12"/>
  <c r="J209" i="12"/>
  <c r="I209" i="12"/>
  <c r="W208" i="12"/>
  <c r="P208" i="12"/>
  <c r="O208" i="12"/>
  <c r="N208" i="12"/>
  <c r="M208" i="12"/>
  <c r="L208" i="12"/>
  <c r="K208" i="12"/>
  <c r="J208" i="12"/>
  <c r="I208" i="12"/>
  <c r="W207" i="12"/>
  <c r="P207" i="12"/>
  <c r="O207" i="12"/>
  <c r="N207" i="12"/>
  <c r="M207" i="12"/>
  <c r="L207" i="12"/>
  <c r="K207" i="12"/>
  <c r="J207" i="12"/>
  <c r="I207" i="12"/>
  <c r="P206" i="12"/>
  <c r="O206" i="12"/>
  <c r="N206" i="12"/>
  <c r="M206" i="12"/>
  <c r="L206" i="12"/>
  <c r="K206" i="12"/>
  <c r="J206" i="12"/>
  <c r="I206" i="12"/>
  <c r="P205" i="12"/>
  <c r="O205" i="12"/>
  <c r="N205" i="12"/>
  <c r="M205" i="12"/>
  <c r="L205" i="12"/>
  <c r="K205" i="12"/>
  <c r="J205" i="12"/>
  <c r="I205" i="12"/>
  <c r="P204" i="12"/>
  <c r="O204" i="12"/>
  <c r="N204" i="12"/>
  <c r="M204" i="12"/>
  <c r="L204" i="12"/>
  <c r="K204" i="12"/>
  <c r="J204" i="12"/>
  <c r="I204" i="12"/>
  <c r="P203" i="12"/>
  <c r="O203" i="12"/>
  <c r="N203" i="12"/>
  <c r="M203" i="12"/>
  <c r="L203" i="12"/>
  <c r="K203" i="12"/>
  <c r="J203" i="12"/>
  <c r="I203" i="12"/>
  <c r="P202" i="12"/>
  <c r="O202" i="12"/>
  <c r="N202" i="12"/>
  <c r="M202" i="12"/>
  <c r="L202" i="12"/>
  <c r="K202" i="12"/>
  <c r="J202" i="12"/>
  <c r="I202" i="12"/>
  <c r="W201" i="12"/>
  <c r="P201" i="12"/>
  <c r="O201" i="12"/>
  <c r="N201" i="12"/>
  <c r="M201" i="12"/>
  <c r="L201" i="12"/>
  <c r="K201" i="12"/>
  <c r="J201" i="12"/>
  <c r="I201" i="12"/>
  <c r="W200" i="12"/>
  <c r="P200" i="12"/>
  <c r="O200" i="12"/>
  <c r="N200" i="12"/>
  <c r="M200" i="12"/>
  <c r="L200" i="12"/>
  <c r="K200" i="12"/>
  <c r="J200" i="12"/>
  <c r="I200" i="12"/>
  <c r="P11" i="12"/>
  <c r="O11" i="12"/>
  <c r="N11" i="12"/>
  <c r="M11" i="12"/>
  <c r="L11" i="12"/>
  <c r="K11" i="12"/>
  <c r="J11" i="12"/>
  <c r="I11" i="12"/>
  <c r="W199" i="12"/>
  <c r="P199" i="12"/>
  <c r="O199" i="12"/>
  <c r="N199" i="12"/>
  <c r="M199" i="12"/>
  <c r="L199" i="12"/>
  <c r="K199" i="12"/>
  <c r="J199" i="12"/>
  <c r="I199" i="12"/>
  <c r="P198" i="12"/>
  <c r="O198" i="12"/>
  <c r="N198" i="12"/>
  <c r="M198" i="12"/>
  <c r="L198" i="12"/>
  <c r="K198" i="12"/>
  <c r="J198" i="12"/>
  <c r="I198" i="12"/>
  <c r="P197" i="12"/>
  <c r="O197" i="12"/>
  <c r="N197" i="12"/>
  <c r="M197" i="12"/>
  <c r="L197" i="12"/>
  <c r="K197" i="12"/>
  <c r="J197" i="12"/>
  <c r="I197" i="12"/>
  <c r="P196" i="12"/>
  <c r="O196" i="12"/>
  <c r="N196" i="12"/>
  <c r="M196" i="12"/>
  <c r="L196" i="12"/>
  <c r="K196" i="12"/>
  <c r="J196" i="12"/>
  <c r="I196" i="12"/>
  <c r="P195" i="12"/>
  <c r="O195" i="12"/>
  <c r="N195" i="12"/>
  <c r="M195" i="12"/>
  <c r="L195" i="12"/>
  <c r="K195" i="12"/>
  <c r="J195" i="12"/>
  <c r="I195" i="12"/>
  <c r="P194" i="12"/>
  <c r="O194" i="12"/>
  <c r="N194" i="12"/>
  <c r="M194" i="12"/>
  <c r="L194" i="12"/>
  <c r="K194" i="12"/>
  <c r="J194" i="12"/>
  <c r="I194" i="12"/>
  <c r="W193" i="12"/>
  <c r="P193" i="12"/>
  <c r="O193" i="12"/>
  <c r="N193" i="12"/>
  <c r="M193" i="12"/>
  <c r="L193" i="12"/>
  <c r="K193" i="12"/>
  <c r="J193" i="12"/>
  <c r="I193" i="12"/>
  <c r="P192" i="12"/>
  <c r="O192" i="12"/>
  <c r="N192" i="12"/>
  <c r="M192" i="12"/>
  <c r="L192" i="12"/>
  <c r="K192" i="12"/>
  <c r="J192" i="12"/>
  <c r="I192" i="12"/>
  <c r="W191" i="12"/>
  <c r="P191" i="12"/>
  <c r="O191" i="12"/>
  <c r="N191" i="12"/>
  <c r="M191" i="12"/>
  <c r="L191" i="12"/>
  <c r="K191" i="12"/>
  <c r="J191" i="12"/>
  <c r="I191" i="12"/>
  <c r="P190" i="12"/>
  <c r="O190" i="12"/>
  <c r="N190" i="12"/>
  <c r="M190" i="12"/>
  <c r="L190" i="12"/>
  <c r="K190" i="12"/>
  <c r="J190" i="12"/>
  <c r="I190" i="12"/>
  <c r="P189" i="12"/>
  <c r="O189" i="12"/>
  <c r="N189" i="12"/>
  <c r="M189" i="12"/>
  <c r="L189" i="12"/>
  <c r="K189" i="12"/>
  <c r="J189" i="12"/>
  <c r="I189" i="12"/>
  <c r="P188" i="12"/>
  <c r="O188" i="12"/>
  <c r="N188" i="12"/>
  <c r="M188" i="12"/>
  <c r="L188" i="12"/>
  <c r="K188" i="12"/>
  <c r="J188" i="12"/>
  <c r="I188" i="12"/>
  <c r="P187" i="12"/>
  <c r="O187" i="12"/>
  <c r="N187" i="12"/>
  <c r="M187" i="12"/>
  <c r="L187" i="12"/>
  <c r="K187" i="12"/>
  <c r="J187" i="12"/>
  <c r="I187" i="12"/>
  <c r="P186" i="12"/>
  <c r="O186" i="12"/>
  <c r="N186" i="12"/>
  <c r="M186" i="12"/>
  <c r="L186" i="12"/>
  <c r="K186" i="12"/>
  <c r="J186" i="12"/>
  <c r="I186" i="12"/>
  <c r="W185" i="12"/>
  <c r="P185" i="12"/>
  <c r="O185" i="12"/>
  <c r="N185" i="12"/>
  <c r="M185" i="12"/>
  <c r="L185" i="12"/>
  <c r="K185" i="12"/>
  <c r="J185" i="12"/>
  <c r="I185" i="12"/>
  <c r="P184" i="12"/>
  <c r="O184" i="12"/>
  <c r="N184" i="12"/>
  <c r="M184" i="12"/>
  <c r="L184" i="12"/>
  <c r="K184" i="12"/>
  <c r="J184" i="12"/>
  <c r="I184" i="12"/>
  <c r="W183" i="12"/>
  <c r="P183" i="12"/>
  <c r="O183" i="12"/>
  <c r="N183" i="12"/>
  <c r="M183" i="12"/>
  <c r="L183" i="12"/>
  <c r="K183" i="12"/>
  <c r="J183" i="12"/>
  <c r="I183" i="12"/>
  <c r="W182" i="12"/>
  <c r="P182" i="12"/>
  <c r="O182" i="12"/>
  <c r="N182" i="12"/>
  <c r="M182" i="12"/>
  <c r="L182" i="12"/>
  <c r="K182" i="12"/>
  <c r="J182" i="12"/>
  <c r="I182" i="12"/>
  <c r="W181" i="12"/>
  <c r="P181" i="12"/>
  <c r="O181" i="12"/>
  <c r="N181" i="12"/>
  <c r="M181" i="12"/>
  <c r="L181" i="12"/>
  <c r="K181" i="12"/>
  <c r="J181" i="12"/>
  <c r="I181" i="12"/>
  <c r="W180" i="12"/>
  <c r="P180" i="12"/>
  <c r="O180" i="12"/>
  <c r="N180" i="12"/>
  <c r="M180" i="12"/>
  <c r="L180" i="12"/>
  <c r="K180" i="12"/>
  <c r="J180" i="12"/>
  <c r="I180" i="12"/>
  <c r="W179" i="12"/>
  <c r="P179" i="12"/>
  <c r="O179" i="12"/>
  <c r="N179" i="12"/>
  <c r="M179" i="12"/>
  <c r="L179" i="12"/>
  <c r="K179" i="12"/>
  <c r="J179" i="12"/>
  <c r="I179" i="12"/>
  <c r="W178" i="12"/>
  <c r="P178" i="12"/>
  <c r="O178" i="12"/>
  <c r="N178" i="12"/>
  <c r="M178" i="12"/>
  <c r="L178" i="12"/>
  <c r="K178" i="12"/>
  <c r="J178" i="12"/>
  <c r="I178" i="12"/>
  <c r="W177" i="12"/>
  <c r="P177" i="12"/>
  <c r="O177" i="12"/>
  <c r="N177" i="12"/>
  <c r="M177" i="12"/>
  <c r="L177" i="12"/>
  <c r="K177" i="12"/>
  <c r="J177" i="12"/>
  <c r="I177" i="12"/>
  <c r="W176" i="12"/>
  <c r="P176" i="12"/>
  <c r="O176" i="12"/>
  <c r="N176" i="12"/>
  <c r="M176" i="12"/>
  <c r="L176" i="12"/>
  <c r="K176" i="12"/>
  <c r="J176" i="12"/>
  <c r="I176" i="12"/>
  <c r="W175" i="12"/>
  <c r="P175" i="12"/>
  <c r="O175" i="12"/>
  <c r="N175" i="12"/>
  <c r="M175" i="12"/>
  <c r="L175" i="12"/>
  <c r="K175" i="12"/>
  <c r="J175" i="12"/>
  <c r="I175" i="12"/>
  <c r="W174" i="12"/>
  <c r="P174" i="12"/>
  <c r="O174" i="12"/>
  <c r="N174" i="12"/>
  <c r="M174" i="12"/>
  <c r="L174" i="12"/>
  <c r="K174" i="12"/>
  <c r="J174" i="12"/>
  <c r="I174" i="12"/>
  <c r="W173" i="12"/>
  <c r="P173" i="12"/>
  <c r="O173" i="12"/>
  <c r="N173" i="12"/>
  <c r="M173" i="12"/>
  <c r="L173" i="12"/>
  <c r="K173" i="12"/>
  <c r="J173" i="12"/>
  <c r="I173" i="12"/>
  <c r="W172" i="12"/>
  <c r="P172" i="12"/>
  <c r="O172" i="12"/>
  <c r="N172" i="12"/>
  <c r="M172" i="12"/>
  <c r="L172" i="12"/>
  <c r="K172" i="12"/>
  <c r="J172" i="12"/>
  <c r="I172" i="12"/>
  <c r="W171" i="12"/>
  <c r="P171" i="12"/>
  <c r="O171" i="12"/>
  <c r="N171" i="12"/>
  <c r="M171" i="12"/>
  <c r="L171" i="12"/>
  <c r="K171" i="12"/>
  <c r="J171" i="12"/>
  <c r="I171" i="12"/>
  <c r="P10" i="12"/>
  <c r="O10" i="12"/>
  <c r="N10" i="12"/>
  <c r="M10" i="12"/>
  <c r="L10" i="12"/>
  <c r="K10" i="12"/>
  <c r="J10" i="12"/>
  <c r="I10" i="12"/>
  <c r="W170" i="12"/>
  <c r="P170" i="12"/>
  <c r="O170" i="12"/>
  <c r="N170" i="12"/>
  <c r="M170" i="12"/>
  <c r="L170" i="12"/>
  <c r="K170" i="12"/>
  <c r="J170" i="12"/>
  <c r="I170" i="12"/>
  <c r="P169" i="12"/>
  <c r="O169" i="12"/>
  <c r="N169" i="12"/>
  <c r="M169" i="12"/>
  <c r="L169" i="12"/>
  <c r="K169" i="12"/>
  <c r="J169" i="12"/>
  <c r="I169" i="12"/>
  <c r="P168" i="12"/>
  <c r="O168" i="12"/>
  <c r="N168" i="12"/>
  <c r="M168" i="12"/>
  <c r="L168" i="12"/>
  <c r="K168" i="12"/>
  <c r="J168" i="12"/>
  <c r="I168" i="12"/>
  <c r="W167" i="12"/>
  <c r="P167" i="12"/>
  <c r="O167" i="12"/>
  <c r="N167" i="12"/>
  <c r="M167" i="12"/>
  <c r="L167" i="12"/>
  <c r="K167" i="12"/>
  <c r="J167" i="12"/>
  <c r="I167" i="12"/>
  <c r="W166" i="12"/>
  <c r="P166" i="12"/>
  <c r="O166" i="12"/>
  <c r="N166" i="12"/>
  <c r="M166" i="12"/>
  <c r="L166" i="12"/>
  <c r="K166" i="12"/>
  <c r="J166" i="12"/>
  <c r="I166" i="12"/>
  <c r="W165" i="12"/>
  <c r="P165" i="12"/>
  <c r="O165" i="12"/>
  <c r="N165" i="12"/>
  <c r="M165" i="12"/>
  <c r="L165" i="12"/>
  <c r="K165" i="12"/>
  <c r="J165" i="12"/>
  <c r="I165" i="12"/>
  <c r="W164" i="12"/>
  <c r="P164" i="12"/>
  <c r="O164" i="12"/>
  <c r="N164" i="12"/>
  <c r="M164" i="12"/>
  <c r="L164" i="12"/>
  <c r="K164" i="12"/>
  <c r="J164" i="12"/>
  <c r="I164" i="12"/>
  <c r="P163" i="12"/>
  <c r="O163" i="12"/>
  <c r="N163" i="12"/>
  <c r="M163" i="12"/>
  <c r="L163" i="12"/>
  <c r="K163" i="12"/>
  <c r="J163" i="12"/>
  <c r="I163" i="12"/>
  <c r="P9" i="12"/>
  <c r="O9" i="12"/>
  <c r="N9" i="12"/>
  <c r="M9" i="12"/>
  <c r="L9" i="12"/>
  <c r="K9" i="12"/>
  <c r="J9" i="12"/>
  <c r="I9" i="12"/>
  <c r="P162" i="12"/>
  <c r="O162" i="12"/>
  <c r="N162" i="12"/>
  <c r="M162" i="12"/>
  <c r="L162" i="12"/>
  <c r="K162" i="12"/>
  <c r="J162" i="12"/>
  <c r="I162" i="12"/>
  <c r="P161" i="12"/>
  <c r="O161" i="12"/>
  <c r="N161" i="12"/>
  <c r="M161" i="12"/>
  <c r="L161" i="12"/>
  <c r="K161" i="12"/>
  <c r="J161" i="12"/>
  <c r="I161" i="12"/>
  <c r="P160" i="12"/>
  <c r="O160" i="12"/>
  <c r="N160" i="12"/>
  <c r="M160" i="12"/>
  <c r="L160" i="12"/>
  <c r="K160" i="12"/>
  <c r="J160" i="12"/>
  <c r="I160" i="12"/>
  <c r="W159" i="12"/>
  <c r="P159" i="12"/>
  <c r="O159" i="12"/>
  <c r="N159" i="12"/>
  <c r="M159" i="12"/>
  <c r="L159" i="12"/>
  <c r="K159" i="12"/>
  <c r="J159" i="12"/>
  <c r="I159" i="12"/>
  <c r="P158" i="12"/>
  <c r="O158" i="12"/>
  <c r="N158" i="12"/>
  <c r="M158" i="12"/>
  <c r="L158" i="12"/>
  <c r="K158" i="12"/>
  <c r="J158" i="12"/>
  <c r="I158" i="12"/>
  <c r="W157" i="12"/>
  <c r="P157" i="12"/>
  <c r="O157" i="12"/>
  <c r="N157" i="12"/>
  <c r="M157" i="12"/>
  <c r="L157" i="12"/>
  <c r="K157" i="12"/>
  <c r="J157" i="12"/>
  <c r="I157" i="12"/>
  <c r="P156" i="12"/>
  <c r="O156" i="12"/>
  <c r="N156" i="12"/>
  <c r="M156" i="12"/>
  <c r="L156" i="12"/>
  <c r="K156" i="12"/>
  <c r="J156" i="12"/>
  <c r="I156" i="12"/>
  <c r="P155" i="12"/>
  <c r="O155" i="12"/>
  <c r="N155" i="12"/>
  <c r="M155" i="12"/>
  <c r="L155" i="12"/>
  <c r="K155" i="12"/>
  <c r="J155" i="12"/>
  <c r="I155" i="12"/>
  <c r="P154" i="12"/>
  <c r="O154" i="12"/>
  <c r="N154" i="12"/>
  <c r="M154" i="12"/>
  <c r="L154" i="12"/>
  <c r="K154" i="12"/>
  <c r="J154" i="12"/>
  <c r="I154" i="12"/>
  <c r="P153" i="12"/>
  <c r="O153" i="12"/>
  <c r="N153" i="12"/>
  <c r="M153" i="12"/>
  <c r="L153" i="12"/>
  <c r="K153" i="12"/>
  <c r="J153" i="12"/>
  <c r="I153" i="12"/>
  <c r="P152" i="12"/>
  <c r="O152" i="12"/>
  <c r="N152" i="12"/>
  <c r="M152" i="12"/>
  <c r="L152" i="12"/>
  <c r="K152" i="12"/>
  <c r="J152" i="12"/>
  <c r="I152" i="12"/>
  <c r="W151" i="12"/>
  <c r="P151" i="12"/>
  <c r="O151" i="12"/>
  <c r="N151" i="12"/>
  <c r="M151" i="12"/>
  <c r="L151" i="12"/>
  <c r="K151" i="12"/>
  <c r="J151" i="12"/>
  <c r="I151" i="12"/>
  <c r="P150" i="12"/>
  <c r="O150" i="12"/>
  <c r="N150" i="12"/>
  <c r="M150" i="12"/>
  <c r="L150" i="12"/>
  <c r="K150" i="12"/>
  <c r="J150" i="12"/>
  <c r="I150" i="12"/>
  <c r="P149" i="12"/>
  <c r="O149" i="12"/>
  <c r="N149" i="12"/>
  <c r="M149" i="12"/>
  <c r="L149" i="12"/>
  <c r="K149" i="12"/>
  <c r="J149" i="12"/>
  <c r="I149" i="12"/>
  <c r="W148" i="12"/>
  <c r="P148" i="12"/>
  <c r="O148" i="12"/>
  <c r="N148" i="12"/>
  <c r="M148" i="12"/>
  <c r="L148" i="12"/>
  <c r="K148" i="12"/>
  <c r="J148" i="12"/>
  <c r="I148" i="12"/>
  <c r="P147" i="12"/>
  <c r="O147" i="12"/>
  <c r="N147" i="12"/>
  <c r="M147" i="12"/>
  <c r="L147" i="12"/>
  <c r="K147" i="12"/>
  <c r="J147" i="12"/>
  <c r="I147" i="12"/>
  <c r="W146" i="12"/>
  <c r="P146" i="12"/>
  <c r="O146" i="12"/>
  <c r="N146" i="12"/>
  <c r="M146" i="12"/>
  <c r="L146" i="12"/>
  <c r="K146" i="12"/>
  <c r="J146" i="12"/>
  <c r="I146" i="12"/>
  <c r="W145" i="12"/>
  <c r="P145" i="12"/>
  <c r="O145" i="12"/>
  <c r="N145" i="12"/>
  <c r="M145" i="12"/>
  <c r="L145" i="12"/>
  <c r="K145" i="12"/>
  <c r="J145" i="12"/>
  <c r="I145" i="12"/>
  <c r="W144" i="12"/>
  <c r="P144" i="12"/>
  <c r="O144" i="12"/>
  <c r="N144" i="12"/>
  <c r="M144" i="12"/>
  <c r="L144" i="12"/>
  <c r="K144" i="12"/>
  <c r="J144" i="12"/>
  <c r="I144" i="12"/>
  <c r="P143" i="12"/>
  <c r="O143" i="12"/>
  <c r="N143" i="12"/>
  <c r="M143" i="12"/>
  <c r="L143" i="12"/>
  <c r="K143" i="12"/>
  <c r="J143" i="12"/>
  <c r="I143" i="12"/>
  <c r="W142" i="12"/>
  <c r="P142" i="12"/>
  <c r="O142" i="12"/>
  <c r="N142" i="12"/>
  <c r="M142" i="12"/>
  <c r="L142" i="12"/>
  <c r="K142" i="12"/>
  <c r="J142" i="12"/>
  <c r="I142" i="12"/>
  <c r="W141" i="12"/>
  <c r="P141" i="12"/>
  <c r="O141" i="12"/>
  <c r="N141" i="12"/>
  <c r="M141" i="12"/>
  <c r="L141" i="12"/>
  <c r="K141" i="12"/>
  <c r="J141" i="12"/>
  <c r="I141" i="12"/>
  <c r="P140" i="12"/>
  <c r="O140" i="12"/>
  <c r="N140" i="12"/>
  <c r="M140" i="12"/>
  <c r="L140" i="12"/>
  <c r="K140" i="12"/>
  <c r="J140" i="12"/>
  <c r="I140" i="12"/>
  <c r="P139" i="12"/>
  <c r="O139" i="12"/>
  <c r="N139" i="12"/>
  <c r="M139" i="12"/>
  <c r="L139" i="12"/>
  <c r="K139" i="12"/>
  <c r="J139" i="12"/>
  <c r="I139" i="12"/>
  <c r="W138" i="12"/>
  <c r="P138" i="12"/>
  <c r="O138" i="12"/>
  <c r="N138" i="12"/>
  <c r="M138" i="12"/>
  <c r="L138" i="12"/>
  <c r="K138" i="12"/>
  <c r="J138" i="12"/>
  <c r="I138" i="12"/>
  <c r="W137" i="12"/>
  <c r="P137" i="12"/>
  <c r="O137" i="12"/>
  <c r="N137" i="12"/>
  <c r="M137" i="12"/>
  <c r="L137" i="12"/>
  <c r="K137" i="12"/>
  <c r="J137" i="12"/>
  <c r="I137" i="12"/>
  <c r="W136" i="12"/>
  <c r="P136" i="12"/>
  <c r="O136" i="12"/>
  <c r="N136" i="12"/>
  <c r="M136" i="12"/>
  <c r="L136" i="12"/>
  <c r="K136" i="12"/>
  <c r="J136" i="12"/>
  <c r="I136" i="12"/>
  <c r="P135" i="12"/>
  <c r="O135" i="12"/>
  <c r="N135" i="12"/>
  <c r="M135" i="12"/>
  <c r="L135" i="12"/>
  <c r="K135" i="12"/>
  <c r="J135" i="12"/>
  <c r="I135" i="12"/>
  <c r="P134" i="12"/>
  <c r="O134" i="12"/>
  <c r="N134" i="12"/>
  <c r="M134" i="12"/>
  <c r="L134" i="12"/>
  <c r="K134" i="12"/>
  <c r="J134" i="12"/>
  <c r="I134" i="12"/>
  <c r="W133" i="12"/>
  <c r="P133" i="12"/>
  <c r="O133" i="12"/>
  <c r="N133" i="12"/>
  <c r="M133" i="12"/>
  <c r="L133" i="12"/>
  <c r="K133" i="12"/>
  <c r="J133" i="12"/>
  <c r="I133" i="12"/>
  <c r="W132" i="12"/>
  <c r="P132" i="12"/>
  <c r="O132" i="12"/>
  <c r="N132" i="12"/>
  <c r="M132" i="12"/>
  <c r="L132" i="12"/>
  <c r="K132" i="12"/>
  <c r="J132" i="12"/>
  <c r="I132" i="12"/>
  <c r="P131" i="12"/>
  <c r="O131" i="12"/>
  <c r="N131" i="12"/>
  <c r="M131" i="12"/>
  <c r="L131" i="12"/>
  <c r="K131" i="12"/>
  <c r="J131" i="12"/>
  <c r="I131" i="12"/>
  <c r="W130" i="12"/>
  <c r="P130" i="12"/>
  <c r="O130" i="12"/>
  <c r="N130" i="12"/>
  <c r="M130" i="12"/>
  <c r="L130" i="12"/>
  <c r="K130" i="12"/>
  <c r="J130" i="12"/>
  <c r="I130" i="12"/>
  <c r="P129" i="12"/>
  <c r="O129" i="12"/>
  <c r="N129" i="12"/>
  <c r="M129" i="12"/>
  <c r="L129" i="12"/>
  <c r="K129" i="12"/>
  <c r="J129" i="12"/>
  <c r="I129" i="12"/>
  <c r="P128" i="12"/>
  <c r="O128" i="12"/>
  <c r="N128" i="12"/>
  <c r="M128" i="12"/>
  <c r="L128" i="12"/>
  <c r="K128" i="12"/>
  <c r="J128" i="12"/>
  <c r="I128" i="12"/>
  <c r="W127" i="12"/>
  <c r="P127" i="12"/>
  <c r="O127" i="12"/>
  <c r="N127" i="12"/>
  <c r="M127" i="12"/>
  <c r="L127" i="12"/>
  <c r="K127" i="12"/>
  <c r="J127" i="12"/>
  <c r="I127" i="12"/>
  <c r="W126" i="12"/>
  <c r="P126" i="12"/>
  <c r="O126" i="12"/>
  <c r="N126" i="12"/>
  <c r="M126" i="12"/>
  <c r="L126" i="12"/>
  <c r="K126" i="12"/>
  <c r="J126" i="12"/>
  <c r="I126" i="12"/>
  <c r="W125" i="12"/>
  <c r="P125" i="12"/>
  <c r="O125" i="12"/>
  <c r="N125" i="12"/>
  <c r="M125" i="12"/>
  <c r="L125" i="12"/>
  <c r="K125" i="12"/>
  <c r="J125" i="12"/>
  <c r="I125" i="12"/>
  <c r="W124" i="12"/>
  <c r="P124" i="12"/>
  <c r="O124" i="12"/>
  <c r="N124" i="12"/>
  <c r="M124" i="12"/>
  <c r="L124" i="12"/>
  <c r="K124" i="12"/>
  <c r="J124" i="12"/>
  <c r="I124" i="12"/>
  <c r="P123" i="12"/>
  <c r="O123" i="12"/>
  <c r="N123" i="12"/>
  <c r="M123" i="12"/>
  <c r="L123" i="12"/>
  <c r="K123" i="12"/>
  <c r="J123" i="12"/>
  <c r="I123" i="12"/>
  <c r="P122" i="12"/>
  <c r="O122" i="12"/>
  <c r="N122" i="12"/>
  <c r="M122" i="12"/>
  <c r="L122" i="12"/>
  <c r="K122" i="12"/>
  <c r="J122" i="12"/>
  <c r="I122" i="12"/>
  <c r="P121" i="12"/>
  <c r="O121" i="12"/>
  <c r="N121" i="12"/>
  <c r="M121" i="12"/>
  <c r="L121" i="12"/>
  <c r="K121" i="12"/>
  <c r="J121" i="12"/>
  <c r="I121" i="12"/>
  <c r="W120" i="12"/>
  <c r="P120" i="12"/>
  <c r="O120" i="12"/>
  <c r="N120" i="12"/>
  <c r="M120" i="12"/>
  <c r="L120" i="12"/>
  <c r="K120" i="12"/>
  <c r="J120" i="12"/>
  <c r="I120" i="12"/>
  <c r="P119" i="12"/>
  <c r="O119" i="12"/>
  <c r="N119" i="12"/>
  <c r="M119" i="12"/>
  <c r="L119" i="12"/>
  <c r="K119" i="12"/>
  <c r="J119" i="12"/>
  <c r="I119" i="12"/>
  <c r="P118" i="12"/>
  <c r="O118" i="12"/>
  <c r="N118" i="12"/>
  <c r="M118" i="12"/>
  <c r="L118" i="12"/>
  <c r="K118" i="12"/>
  <c r="J118" i="12"/>
  <c r="I118" i="12"/>
  <c r="P117" i="12"/>
  <c r="O117" i="12"/>
  <c r="N117" i="12"/>
  <c r="M117" i="12"/>
  <c r="L117" i="12"/>
  <c r="K117" i="12"/>
  <c r="J117" i="12"/>
  <c r="I117" i="12"/>
  <c r="W116" i="12"/>
  <c r="P116" i="12"/>
  <c r="O116" i="12"/>
  <c r="N116" i="12"/>
  <c r="M116" i="12"/>
  <c r="L116" i="12"/>
  <c r="K116" i="12"/>
  <c r="J116" i="12"/>
  <c r="I116" i="12"/>
  <c r="P115" i="12"/>
  <c r="O115" i="12"/>
  <c r="N115" i="12"/>
  <c r="M115" i="12"/>
  <c r="L115" i="12"/>
  <c r="K115" i="12"/>
  <c r="J115" i="12"/>
  <c r="I115" i="12"/>
  <c r="W114" i="12"/>
  <c r="P114" i="12"/>
  <c r="O114" i="12"/>
  <c r="N114" i="12"/>
  <c r="M114" i="12"/>
  <c r="L114" i="12"/>
  <c r="K114" i="12"/>
  <c r="J114" i="12"/>
  <c r="I114" i="12"/>
  <c r="W113" i="12"/>
  <c r="P113" i="12"/>
  <c r="O113" i="12"/>
  <c r="N113" i="12"/>
  <c r="M113" i="12"/>
  <c r="L113" i="12"/>
  <c r="K113" i="12"/>
  <c r="J113" i="12"/>
  <c r="I113" i="12"/>
  <c r="P112" i="12"/>
  <c r="O112" i="12"/>
  <c r="N112" i="12"/>
  <c r="M112" i="12"/>
  <c r="L112" i="12"/>
  <c r="K112" i="12"/>
  <c r="J112" i="12"/>
  <c r="I112" i="12"/>
  <c r="P111" i="12"/>
  <c r="O111" i="12"/>
  <c r="N111" i="12"/>
  <c r="M111" i="12"/>
  <c r="L111" i="12"/>
  <c r="K111" i="12"/>
  <c r="J111" i="12"/>
  <c r="I111" i="12"/>
  <c r="P110" i="12"/>
  <c r="O110" i="12"/>
  <c r="N110" i="12"/>
  <c r="M110" i="12"/>
  <c r="L110" i="12"/>
  <c r="K110" i="12"/>
  <c r="J110" i="12"/>
  <c r="I110" i="12"/>
  <c r="P109" i="12"/>
  <c r="O109" i="12"/>
  <c r="N109" i="12"/>
  <c r="M109" i="12"/>
  <c r="L109" i="12"/>
  <c r="K109" i="12"/>
  <c r="J109" i="12"/>
  <c r="I109" i="12"/>
  <c r="P108" i="12"/>
  <c r="O108" i="12"/>
  <c r="N108" i="12"/>
  <c r="M108" i="12"/>
  <c r="L108" i="12"/>
  <c r="K108" i="12"/>
  <c r="J108" i="12"/>
  <c r="I108" i="12"/>
  <c r="P107" i="12"/>
  <c r="O107" i="12"/>
  <c r="N107" i="12"/>
  <c r="M107" i="12"/>
  <c r="L107" i="12"/>
  <c r="K107" i="12"/>
  <c r="J107" i="12"/>
  <c r="I107" i="12"/>
  <c r="P106" i="12"/>
  <c r="O106" i="12"/>
  <c r="N106" i="12"/>
  <c r="M106" i="12"/>
  <c r="L106" i="12"/>
  <c r="K106" i="12"/>
  <c r="J106" i="12"/>
  <c r="I106" i="12"/>
  <c r="P105" i="12"/>
  <c r="O105" i="12"/>
  <c r="N105" i="12"/>
  <c r="M105" i="12"/>
  <c r="L105" i="12"/>
  <c r="K105" i="12"/>
  <c r="J105" i="12"/>
  <c r="I105" i="12"/>
  <c r="P104" i="12"/>
  <c r="O104" i="12"/>
  <c r="N104" i="12"/>
  <c r="M104" i="12"/>
  <c r="L104" i="12"/>
  <c r="K104" i="12"/>
  <c r="J104" i="12"/>
  <c r="I104" i="12"/>
  <c r="P103" i="12"/>
  <c r="O103" i="12"/>
  <c r="N103" i="12"/>
  <c r="M103" i="12"/>
  <c r="L103" i="12"/>
  <c r="K103" i="12"/>
  <c r="J103" i="12"/>
  <c r="I103" i="12"/>
  <c r="W102" i="12"/>
  <c r="P102" i="12"/>
  <c r="O102" i="12"/>
  <c r="N102" i="12"/>
  <c r="M102" i="12"/>
  <c r="L102" i="12"/>
  <c r="K102" i="12"/>
  <c r="J102" i="12"/>
  <c r="I102" i="12"/>
  <c r="W101" i="12"/>
  <c r="P101" i="12"/>
  <c r="O101" i="12"/>
  <c r="N101" i="12"/>
  <c r="M101" i="12"/>
  <c r="L101" i="12"/>
  <c r="K101" i="12"/>
  <c r="J101" i="12"/>
  <c r="I101" i="12"/>
  <c r="W100" i="12"/>
  <c r="P100" i="12"/>
  <c r="O100" i="12"/>
  <c r="N100" i="12"/>
  <c r="M100" i="12"/>
  <c r="L100" i="12"/>
  <c r="K100" i="12"/>
  <c r="J100" i="12"/>
  <c r="I100" i="12"/>
  <c r="P99" i="12"/>
  <c r="O99" i="12"/>
  <c r="N99" i="12"/>
  <c r="M99" i="12"/>
  <c r="L99" i="12"/>
  <c r="K99" i="12"/>
  <c r="J99" i="12"/>
  <c r="I99" i="12"/>
  <c r="P98" i="12"/>
  <c r="O98" i="12"/>
  <c r="N98" i="12"/>
  <c r="M98" i="12"/>
  <c r="L98" i="12"/>
  <c r="K98" i="12"/>
  <c r="J98" i="12"/>
  <c r="I98" i="12"/>
  <c r="P97" i="12"/>
  <c r="O97" i="12"/>
  <c r="N97" i="12"/>
  <c r="M97" i="12"/>
  <c r="L97" i="12"/>
  <c r="K97" i="12"/>
  <c r="J97" i="12"/>
  <c r="I97" i="12"/>
  <c r="P96" i="12"/>
  <c r="O96" i="12"/>
  <c r="N96" i="12"/>
  <c r="M96" i="12"/>
  <c r="L96" i="12"/>
  <c r="K96" i="12"/>
  <c r="J96" i="12"/>
  <c r="I96" i="12"/>
  <c r="P95" i="12"/>
  <c r="O95" i="12"/>
  <c r="N95" i="12"/>
  <c r="M95" i="12"/>
  <c r="L95" i="12"/>
  <c r="K95" i="12"/>
  <c r="J95" i="12"/>
  <c r="I95" i="12"/>
  <c r="P94" i="12"/>
  <c r="O94" i="12"/>
  <c r="N94" i="12"/>
  <c r="M94" i="12"/>
  <c r="L94" i="12"/>
  <c r="K94" i="12"/>
  <c r="J94" i="12"/>
  <c r="I94" i="12"/>
  <c r="P93" i="12"/>
  <c r="O93" i="12"/>
  <c r="N93" i="12"/>
  <c r="M93" i="12"/>
  <c r="L93" i="12"/>
  <c r="K93" i="12"/>
  <c r="J93" i="12"/>
  <c r="I93" i="12"/>
  <c r="P92" i="12"/>
  <c r="O92" i="12"/>
  <c r="N92" i="12"/>
  <c r="M92" i="12"/>
  <c r="L92" i="12"/>
  <c r="K92" i="12"/>
  <c r="J92" i="12"/>
  <c r="I92" i="12"/>
  <c r="W91" i="12"/>
  <c r="P91" i="12"/>
  <c r="O91" i="12"/>
  <c r="N91" i="12"/>
  <c r="M91" i="12"/>
  <c r="L91" i="12"/>
  <c r="K91" i="12"/>
  <c r="J91" i="12"/>
  <c r="I91" i="12"/>
  <c r="W90" i="12"/>
  <c r="P90" i="12"/>
  <c r="O90" i="12"/>
  <c r="N90" i="12"/>
  <c r="M90" i="12"/>
  <c r="L90" i="12"/>
  <c r="K90" i="12"/>
  <c r="J90" i="12"/>
  <c r="I90" i="12"/>
  <c r="W89" i="12"/>
  <c r="P89" i="12"/>
  <c r="O89" i="12"/>
  <c r="N89" i="12"/>
  <c r="M89" i="12"/>
  <c r="L89" i="12"/>
  <c r="K89" i="12"/>
  <c r="J89" i="12"/>
  <c r="I89" i="12"/>
  <c r="P88" i="12"/>
  <c r="O88" i="12"/>
  <c r="N88" i="12"/>
  <c r="M88" i="12"/>
  <c r="L88" i="12"/>
  <c r="K88" i="12"/>
  <c r="J88" i="12"/>
  <c r="I88" i="12"/>
  <c r="P87" i="12"/>
  <c r="O87" i="12"/>
  <c r="N87" i="12"/>
  <c r="M87" i="12"/>
  <c r="L87" i="12"/>
  <c r="K87" i="12"/>
  <c r="J87" i="12"/>
  <c r="I87" i="12"/>
  <c r="W86" i="12"/>
  <c r="P86" i="12"/>
  <c r="O86" i="12"/>
  <c r="N86" i="12"/>
  <c r="M86" i="12"/>
  <c r="L86" i="12"/>
  <c r="K86" i="12"/>
  <c r="J86" i="12"/>
  <c r="I86" i="12"/>
  <c r="P8" i="12"/>
  <c r="O8" i="12"/>
  <c r="N8" i="12"/>
  <c r="M8" i="12"/>
  <c r="L8" i="12"/>
  <c r="K8" i="12"/>
  <c r="J8" i="12"/>
  <c r="I8" i="12"/>
  <c r="P85" i="12"/>
  <c r="O85" i="12"/>
  <c r="N85" i="12"/>
  <c r="M85" i="12"/>
  <c r="L85" i="12"/>
  <c r="K85" i="12"/>
  <c r="J85" i="12"/>
  <c r="I85" i="12"/>
  <c r="P84" i="12"/>
  <c r="O84" i="12"/>
  <c r="N84" i="12"/>
  <c r="M84" i="12"/>
  <c r="L84" i="12"/>
  <c r="K84" i="12"/>
  <c r="J84" i="12"/>
  <c r="I84" i="12"/>
  <c r="W83" i="12"/>
  <c r="P83" i="12"/>
  <c r="O83" i="12"/>
  <c r="N83" i="12"/>
  <c r="M83" i="12"/>
  <c r="L83" i="12"/>
  <c r="K83" i="12"/>
  <c r="J83" i="12"/>
  <c r="I83" i="12"/>
  <c r="W82" i="12"/>
  <c r="P82" i="12"/>
  <c r="O82" i="12"/>
  <c r="N82" i="12"/>
  <c r="M82" i="12"/>
  <c r="L82" i="12"/>
  <c r="K82" i="12"/>
  <c r="J82" i="12"/>
  <c r="I82" i="12"/>
  <c r="W81" i="12"/>
  <c r="P81" i="12"/>
  <c r="O81" i="12"/>
  <c r="N81" i="12"/>
  <c r="M81" i="12"/>
  <c r="L81" i="12"/>
  <c r="K81" i="12"/>
  <c r="J81" i="12"/>
  <c r="I81" i="12"/>
  <c r="W80" i="12"/>
  <c r="P80" i="12"/>
  <c r="O80" i="12"/>
  <c r="N80" i="12"/>
  <c r="M80" i="12"/>
  <c r="L80" i="12"/>
  <c r="K80" i="12"/>
  <c r="J80" i="12"/>
  <c r="I80" i="12"/>
  <c r="P79" i="12"/>
  <c r="O79" i="12"/>
  <c r="N79" i="12"/>
  <c r="M79" i="12"/>
  <c r="L79" i="12"/>
  <c r="K79" i="12"/>
  <c r="J79" i="12"/>
  <c r="I79" i="12"/>
  <c r="P78" i="12"/>
  <c r="O78" i="12"/>
  <c r="N78" i="12"/>
  <c r="M78" i="12"/>
  <c r="L78" i="12"/>
  <c r="K78" i="12"/>
  <c r="J78" i="12"/>
  <c r="I78" i="12"/>
  <c r="W77" i="12"/>
  <c r="P77" i="12"/>
  <c r="O77" i="12"/>
  <c r="N77" i="12"/>
  <c r="M77" i="12"/>
  <c r="L77" i="12"/>
  <c r="K77" i="12"/>
  <c r="J77" i="12"/>
  <c r="I77" i="12"/>
  <c r="W76" i="12"/>
  <c r="P76" i="12"/>
  <c r="O76" i="12"/>
  <c r="N76" i="12"/>
  <c r="M76" i="12"/>
  <c r="L76" i="12"/>
  <c r="K76" i="12"/>
  <c r="J76" i="12"/>
  <c r="I76" i="12"/>
  <c r="P75" i="12"/>
  <c r="O75" i="12"/>
  <c r="N75" i="12"/>
  <c r="M75" i="12"/>
  <c r="L75" i="12"/>
  <c r="K75" i="12"/>
  <c r="J75" i="12"/>
  <c r="I75" i="12"/>
  <c r="P74" i="12"/>
  <c r="O74" i="12"/>
  <c r="N74" i="12"/>
  <c r="M74" i="12"/>
  <c r="L74" i="12"/>
  <c r="K74" i="12"/>
  <c r="J74" i="12"/>
  <c r="I74" i="12"/>
  <c r="W73" i="12"/>
  <c r="P73" i="12"/>
  <c r="O73" i="12"/>
  <c r="N73" i="12"/>
  <c r="M73" i="12"/>
  <c r="L73" i="12"/>
  <c r="K73" i="12"/>
  <c r="J73" i="12"/>
  <c r="I73" i="12"/>
  <c r="W72" i="12"/>
  <c r="P72" i="12"/>
  <c r="O72" i="12"/>
  <c r="N72" i="12"/>
  <c r="M72" i="12"/>
  <c r="L72" i="12"/>
  <c r="K72" i="12"/>
  <c r="J72" i="12"/>
  <c r="I72" i="12"/>
  <c r="W71" i="12"/>
  <c r="P71" i="12"/>
  <c r="O71" i="12"/>
  <c r="N71" i="12"/>
  <c r="M71" i="12"/>
  <c r="L71" i="12"/>
  <c r="K71" i="12"/>
  <c r="J71" i="12"/>
  <c r="I71" i="12"/>
  <c r="W70" i="12"/>
  <c r="P70" i="12"/>
  <c r="O70" i="12"/>
  <c r="N70" i="12"/>
  <c r="M70" i="12"/>
  <c r="L70" i="12"/>
  <c r="K70" i="12"/>
  <c r="J70" i="12"/>
  <c r="I70" i="12"/>
  <c r="P69" i="12"/>
  <c r="O69" i="12"/>
  <c r="N69" i="12"/>
  <c r="M69" i="12"/>
  <c r="L69" i="12"/>
  <c r="K69" i="12"/>
  <c r="J69" i="12"/>
  <c r="I69" i="12"/>
  <c r="P68" i="12"/>
  <c r="O68" i="12"/>
  <c r="N68" i="12"/>
  <c r="M68" i="12"/>
  <c r="L68" i="12"/>
  <c r="K68" i="12"/>
  <c r="J68" i="12"/>
  <c r="I68" i="12"/>
  <c r="W67" i="12"/>
  <c r="P67" i="12"/>
  <c r="O67" i="12"/>
  <c r="N67" i="12"/>
  <c r="M67" i="12"/>
  <c r="L67" i="12"/>
  <c r="K67" i="12"/>
  <c r="J67" i="12"/>
  <c r="I67" i="12"/>
  <c r="W66" i="12"/>
  <c r="P66" i="12"/>
  <c r="O66" i="12"/>
  <c r="N66" i="12"/>
  <c r="M66" i="12"/>
  <c r="L66" i="12"/>
  <c r="K66" i="12"/>
  <c r="J66" i="12"/>
  <c r="I66" i="12"/>
  <c r="P65" i="12"/>
  <c r="O65" i="12"/>
  <c r="N65" i="12"/>
  <c r="M65" i="12"/>
  <c r="L65" i="12"/>
  <c r="K65" i="12"/>
  <c r="J65" i="12"/>
  <c r="I65" i="12"/>
  <c r="P64" i="12"/>
  <c r="O64" i="12"/>
  <c r="N64" i="12"/>
  <c r="M64" i="12"/>
  <c r="L64" i="12"/>
  <c r="K64" i="12"/>
  <c r="J64" i="12"/>
  <c r="I64" i="12"/>
  <c r="P63" i="12"/>
  <c r="O63" i="12"/>
  <c r="N63" i="12"/>
  <c r="M63" i="12"/>
  <c r="L63" i="12"/>
  <c r="K63" i="12"/>
  <c r="J63" i="12"/>
  <c r="I63" i="12"/>
  <c r="P62" i="12"/>
  <c r="O62" i="12"/>
  <c r="N62" i="12"/>
  <c r="M62" i="12"/>
  <c r="L62" i="12"/>
  <c r="K62" i="12"/>
  <c r="J62" i="12"/>
  <c r="I62" i="12"/>
  <c r="P61" i="12"/>
  <c r="O61" i="12"/>
  <c r="N61" i="12"/>
  <c r="M61" i="12"/>
  <c r="L61" i="12"/>
  <c r="K61" i="12"/>
  <c r="J61" i="12"/>
  <c r="I61" i="12"/>
  <c r="P7" i="12"/>
  <c r="O7" i="12"/>
  <c r="N7" i="12"/>
  <c r="M7" i="12"/>
  <c r="L7" i="12"/>
  <c r="K7" i="12"/>
  <c r="J7" i="12"/>
  <c r="I7" i="12"/>
  <c r="W60" i="12"/>
  <c r="P60" i="12"/>
  <c r="O60" i="12"/>
  <c r="N60" i="12"/>
  <c r="M60" i="12"/>
  <c r="L60" i="12"/>
  <c r="K60" i="12"/>
  <c r="J60" i="12"/>
  <c r="I60" i="12"/>
  <c r="W59" i="12"/>
  <c r="P59" i="12"/>
  <c r="O59" i="12"/>
  <c r="N59" i="12"/>
  <c r="M59" i="12"/>
  <c r="L59" i="12"/>
  <c r="K59" i="12"/>
  <c r="J59" i="12"/>
  <c r="I59" i="12"/>
  <c r="W58" i="12"/>
  <c r="P58" i="12"/>
  <c r="O58" i="12"/>
  <c r="N58" i="12"/>
  <c r="M58" i="12"/>
  <c r="L58" i="12"/>
  <c r="K58" i="12"/>
  <c r="J58" i="12"/>
  <c r="I58" i="12"/>
  <c r="P57" i="12"/>
  <c r="O57" i="12"/>
  <c r="N57" i="12"/>
  <c r="M57" i="12"/>
  <c r="L57" i="12"/>
  <c r="K57" i="12"/>
  <c r="J57" i="12"/>
  <c r="I57" i="12"/>
  <c r="P56" i="12"/>
  <c r="O56" i="12"/>
  <c r="N56" i="12"/>
  <c r="M56" i="12"/>
  <c r="L56" i="12"/>
  <c r="K56" i="12"/>
  <c r="J56" i="12"/>
  <c r="I56" i="12"/>
  <c r="P55" i="12"/>
  <c r="O55" i="12"/>
  <c r="N55" i="12"/>
  <c r="M55" i="12"/>
  <c r="L55" i="12"/>
  <c r="K55" i="12"/>
  <c r="J55" i="12"/>
  <c r="I55" i="12"/>
  <c r="W54" i="12"/>
  <c r="P54" i="12"/>
  <c r="O54" i="12"/>
  <c r="N54" i="12"/>
  <c r="M54" i="12"/>
  <c r="L54" i="12"/>
  <c r="K54" i="12"/>
  <c r="J54" i="12"/>
  <c r="I54" i="12"/>
  <c r="P53" i="12"/>
  <c r="O53" i="12"/>
  <c r="N53" i="12"/>
  <c r="M53" i="12"/>
  <c r="L53" i="12"/>
  <c r="K53" i="12"/>
  <c r="J53" i="12"/>
  <c r="I53" i="12"/>
  <c r="P52" i="12"/>
  <c r="O52" i="12"/>
  <c r="N52" i="12"/>
  <c r="M52" i="12"/>
  <c r="L52" i="12"/>
  <c r="K52" i="12"/>
  <c r="J52" i="12"/>
  <c r="I52" i="12"/>
  <c r="P51" i="12"/>
  <c r="O51" i="12"/>
  <c r="N51" i="12"/>
  <c r="M51" i="12"/>
  <c r="L51" i="12"/>
  <c r="K51" i="12"/>
  <c r="J51" i="12"/>
  <c r="I51" i="12"/>
  <c r="W50" i="12"/>
  <c r="P50" i="12"/>
  <c r="O50" i="12"/>
  <c r="N50" i="12"/>
  <c r="M50" i="12"/>
  <c r="L50" i="12"/>
  <c r="K50" i="12"/>
  <c r="J50" i="12"/>
  <c r="I50" i="12"/>
  <c r="P49" i="12"/>
  <c r="O49" i="12"/>
  <c r="N49" i="12"/>
  <c r="M49" i="12"/>
  <c r="L49" i="12"/>
  <c r="K49" i="12"/>
  <c r="J49" i="12"/>
  <c r="I49" i="12"/>
  <c r="P6" i="12"/>
  <c r="O6" i="12"/>
  <c r="N6" i="12"/>
  <c r="M6" i="12"/>
  <c r="L6" i="12"/>
  <c r="K6" i="12"/>
  <c r="J6" i="12"/>
  <c r="I6" i="12"/>
  <c r="P5" i="12"/>
  <c r="O5" i="12"/>
  <c r="N5" i="12"/>
  <c r="M5" i="12"/>
  <c r="L5" i="12"/>
  <c r="K5" i="12"/>
  <c r="J5" i="12"/>
  <c r="I5" i="12"/>
  <c r="P48" i="12"/>
  <c r="O48" i="12"/>
  <c r="N48" i="12"/>
  <c r="M48" i="12"/>
  <c r="L48" i="12"/>
  <c r="K48" i="12"/>
  <c r="J48" i="12"/>
  <c r="I48" i="12"/>
  <c r="P47" i="12"/>
  <c r="O47" i="12"/>
  <c r="N47" i="12"/>
  <c r="M47" i="12"/>
  <c r="L47" i="12"/>
  <c r="K47" i="12"/>
  <c r="J47" i="12"/>
  <c r="I47" i="12"/>
  <c r="W46" i="12"/>
  <c r="P46" i="12"/>
  <c r="O46" i="12"/>
  <c r="N46" i="12"/>
  <c r="M46" i="12"/>
  <c r="L46" i="12"/>
  <c r="K46" i="12"/>
  <c r="J46" i="12"/>
  <c r="I46" i="12"/>
  <c r="W45" i="12"/>
  <c r="P45" i="12"/>
  <c r="O45" i="12"/>
  <c r="N45" i="12"/>
  <c r="M45" i="12"/>
  <c r="L45" i="12"/>
  <c r="K45" i="12"/>
  <c r="J45" i="12"/>
  <c r="I45" i="12"/>
  <c r="W4" i="12"/>
  <c r="P4" i="12"/>
  <c r="O4" i="12"/>
  <c r="N4" i="12"/>
  <c r="M4" i="12"/>
  <c r="L4" i="12"/>
  <c r="K4" i="12"/>
  <c r="J4" i="12"/>
  <c r="I4" i="12"/>
  <c r="W3" i="12"/>
  <c r="P3" i="12"/>
  <c r="O3" i="12"/>
  <c r="N3" i="12"/>
  <c r="M3" i="12"/>
  <c r="L3" i="12"/>
  <c r="K3" i="12"/>
  <c r="J3" i="12"/>
  <c r="I3" i="12"/>
  <c r="W44" i="12"/>
  <c r="P44" i="12"/>
  <c r="O44" i="12"/>
  <c r="N44" i="12"/>
  <c r="M44" i="12"/>
  <c r="L44" i="12"/>
  <c r="K44" i="12"/>
  <c r="J44" i="12"/>
  <c r="I44" i="12"/>
  <c r="W2" i="12"/>
  <c r="P2" i="12"/>
  <c r="O2" i="12"/>
  <c r="N2" i="12"/>
  <c r="M2" i="12"/>
  <c r="L2" i="12"/>
  <c r="K2" i="12"/>
  <c r="J2" i="12"/>
  <c r="I2" i="12"/>
  <c r="W43" i="12"/>
  <c r="P43" i="12"/>
  <c r="O43" i="12"/>
  <c r="N43" i="12"/>
  <c r="M43" i="12"/>
  <c r="L43" i="12"/>
  <c r="K43" i="12"/>
  <c r="J43" i="12"/>
  <c r="I43" i="12"/>
  <c r="W42" i="12"/>
  <c r="P42" i="12"/>
  <c r="O42" i="12"/>
  <c r="N42" i="12"/>
  <c r="M42" i="12"/>
  <c r="L42" i="12"/>
  <c r="K42" i="12"/>
  <c r="J42" i="12"/>
  <c r="I42" i="12"/>
  <c r="P41" i="12"/>
  <c r="O41" i="12"/>
  <c r="N41" i="12"/>
  <c r="M41" i="12"/>
  <c r="L41" i="12"/>
  <c r="K41" i="12"/>
  <c r="J41" i="12"/>
  <c r="I41" i="12"/>
  <c r="P40" i="12"/>
  <c r="O40" i="12"/>
  <c r="N40" i="12"/>
  <c r="M40" i="12"/>
  <c r="L40" i="12"/>
  <c r="K40" i="12"/>
  <c r="J40" i="12"/>
  <c r="I40" i="12"/>
  <c r="W39" i="12"/>
  <c r="P39" i="12"/>
  <c r="O39" i="12"/>
  <c r="N39" i="12"/>
  <c r="M39" i="12"/>
  <c r="L39" i="12"/>
  <c r="K39" i="12"/>
  <c r="J39" i="12"/>
  <c r="I39" i="12"/>
  <c r="W38" i="12"/>
  <c r="P38" i="12"/>
  <c r="O38" i="12"/>
  <c r="N38" i="12"/>
  <c r="M38" i="12"/>
  <c r="L38" i="12"/>
  <c r="K38" i="12"/>
  <c r="J38" i="12"/>
  <c r="I38" i="12"/>
  <c r="W37" i="12"/>
  <c r="P37" i="12"/>
  <c r="O37" i="12"/>
  <c r="N37" i="12"/>
  <c r="M37" i="12"/>
  <c r="L37" i="12"/>
  <c r="K37" i="12"/>
  <c r="J37" i="12"/>
  <c r="I37" i="12"/>
  <c r="W36" i="12"/>
  <c r="P36" i="12"/>
  <c r="O36" i="12"/>
  <c r="N36" i="12"/>
  <c r="M36" i="12"/>
  <c r="L36" i="12"/>
  <c r="K36" i="12"/>
  <c r="J36" i="12"/>
  <c r="I36" i="12"/>
  <c r="W35" i="12"/>
  <c r="P35" i="12"/>
  <c r="O35" i="12"/>
  <c r="N35" i="12"/>
  <c r="M35" i="12"/>
  <c r="L35" i="12"/>
  <c r="K35" i="12"/>
  <c r="J35" i="12"/>
  <c r="I35" i="12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3" i="8"/>
  <c r="P60" i="8"/>
  <c r="P4" i="8"/>
  <c r="P5" i="8"/>
  <c r="P6" i="8"/>
  <c r="P7" i="8"/>
  <c r="P8" i="8"/>
  <c r="P10" i="8"/>
  <c r="P11" i="8"/>
  <c r="P12" i="8"/>
  <c r="P13" i="8"/>
  <c r="P14" i="8"/>
  <c r="P15" i="8"/>
  <c r="P16" i="8"/>
  <c r="P17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5" i="8"/>
  <c r="P46" i="8"/>
  <c r="P47" i="8"/>
  <c r="P48" i="8"/>
  <c r="P49" i="8"/>
  <c r="P50" i="8"/>
  <c r="P51" i="8"/>
  <c r="P52" i="8"/>
  <c r="P54" i="8"/>
  <c r="P55" i="8"/>
  <c r="P56" i="8"/>
  <c r="P57" i="8"/>
  <c r="P58" i="8"/>
  <c r="P59" i="8"/>
  <c r="P3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1" i="8"/>
  <c r="G32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50" i="8"/>
  <c r="G51" i="8"/>
  <c r="G52" i="8"/>
  <c r="G53" i="8"/>
  <c r="G54" i="8"/>
  <c r="G55" i="8"/>
  <c r="G56" i="8"/>
  <c r="G57" i="8"/>
  <c r="G59" i="8"/>
  <c r="G60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1" i="8"/>
  <c r="F32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50" i="8"/>
  <c r="F51" i="8"/>
  <c r="F52" i="8"/>
  <c r="F53" i="8"/>
  <c r="F54" i="8"/>
  <c r="F55" i="8"/>
  <c r="F56" i="8"/>
  <c r="F57" i="8"/>
  <c r="F59" i="8"/>
  <c r="F60" i="8"/>
  <c r="F6" i="8"/>
  <c r="W1012" i="7" l="1"/>
  <c r="W1010" i="7"/>
  <c r="W1009" i="7"/>
  <c r="W1008" i="7"/>
  <c r="W1005" i="7"/>
  <c r="W1004" i="7"/>
  <c r="W1003" i="7"/>
  <c r="W1002" i="7"/>
  <c r="W1001" i="7"/>
  <c r="W981" i="7"/>
  <c r="W980" i="7"/>
  <c r="W979" i="7"/>
  <c r="W978" i="7"/>
  <c r="W977" i="7"/>
  <c r="W976" i="7"/>
  <c r="W975" i="7"/>
  <c r="W974" i="7"/>
  <c r="W973" i="7"/>
  <c r="W972" i="7"/>
  <c r="W971" i="7"/>
  <c r="W970" i="7"/>
  <c r="W969" i="7"/>
  <c r="W968" i="7"/>
  <c r="W967" i="7"/>
  <c r="W966" i="7"/>
  <c r="W965" i="7"/>
  <c r="W964" i="7"/>
  <c r="W963" i="7"/>
  <c r="W962" i="7"/>
  <c r="W961" i="7"/>
  <c r="W960" i="7"/>
  <c r="W959" i="7"/>
  <c r="W958" i="7"/>
  <c r="W957" i="7"/>
  <c r="W956" i="7"/>
  <c r="W955" i="7"/>
  <c r="W954" i="7"/>
  <c r="W953" i="7"/>
  <c r="W952" i="7"/>
  <c r="W951" i="7"/>
  <c r="W950" i="7"/>
  <c r="W949" i="7"/>
  <c r="W948" i="7"/>
  <c r="W947" i="7"/>
  <c r="W946" i="7"/>
  <c r="W945" i="7"/>
  <c r="W944" i="7"/>
  <c r="W942" i="7"/>
  <c r="W941" i="7"/>
  <c r="W940" i="7"/>
  <c r="W939" i="7"/>
  <c r="W938" i="7"/>
  <c r="W937" i="7"/>
  <c r="W936" i="7"/>
  <c r="W935" i="7"/>
  <c r="W934" i="7"/>
  <c r="W933" i="7"/>
  <c r="W932" i="7"/>
  <c r="W931" i="7"/>
  <c r="W930" i="7"/>
  <c r="W929" i="7"/>
  <c r="W928" i="7"/>
  <c r="W927" i="7"/>
  <c r="W926" i="7"/>
  <c r="W925" i="7"/>
  <c r="W924" i="7"/>
  <c r="W923" i="7"/>
  <c r="W922" i="7"/>
  <c r="W921" i="7"/>
  <c r="W920" i="7"/>
  <c r="W919" i="7"/>
  <c r="W866" i="7"/>
  <c r="W865" i="7"/>
  <c r="W864" i="7"/>
  <c r="W854" i="7"/>
  <c r="W849" i="7"/>
  <c r="W848" i="7"/>
  <c r="W847" i="7"/>
  <c r="W846" i="7"/>
  <c r="W845" i="7"/>
  <c r="W844" i="7"/>
  <c r="W843" i="7"/>
  <c r="W842" i="7"/>
  <c r="W841" i="7"/>
  <c r="W840" i="7"/>
  <c r="W839" i="7"/>
  <c r="W838" i="7"/>
  <c r="W837" i="7"/>
  <c r="W836" i="7"/>
  <c r="W835" i="7"/>
  <c r="W834" i="7"/>
  <c r="W833" i="7"/>
  <c r="W832" i="7"/>
  <c r="W831" i="7"/>
  <c r="W830" i="7"/>
  <c r="W829" i="7"/>
  <c r="W828" i="7"/>
  <c r="W827" i="7"/>
  <c r="W826" i="7"/>
  <c r="W825" i="7"/>
  <c r="W824" i="7"/>
  <c r="W823" i="7"/>
  <c r="W822" i="7"/>
  <c r="W821" i="7"/>
  <c r="W820" i="7"/>
  <c r="W819" i="7"/>
  <c r="W817" i="7"/>
  <c r="W814" i="7"/>
  <c r="W813" i="7"/>
  <c r="W812" i="7"/>
  <c r="W811" i="7"/>
  <c r="W810" i="7"/>
  <c r="W809" i="7"/>
  <c r="W808" i="7"/>
  <c r="W807" i="7"/>
  <c r="W806" i="7"/>
  <c r="W805" i="7"/>
  <c r="W804" i="7"/>
  <c r="W795" i="7"/>
  <c r="W794" i="7"/>
  <c r="W793" i="7"/>
  <c r="W792" i="7"/>
  <c r="W791" i="7"/>
  <c r="W790" i="7"/>
  <c r="W789" i="7"/>
  <c r="W788" i="7"/>
  <c r="W787" i="7"/>
  <c r="W786" i="7"/>
  <c r="W785" i="7"/>
  <c r="W784" i="7"/>
  <c r="W783" i="7"/>
  <c r="W780" i="7"/>
  <c r="W778" i="7"/>
  <c r="W777" i="7"/>
  <c r="W775" i="7"/>
  <c r="W774" i="7"/>
  <c r="W773" i="7"/>
  <c r="W772" i="7"/>
  <c r="W769" i="7"/>
  <c r="W768" i="7"/>
  <c r="W765" i="7"/>
  <c r="W762" i="7"/>
  <c r="W759" i="7"/>
  <c r="W756" i="7"/>
  <c r="W755" i="7"/>
  <c r="W754" i="7"/>
  <c r="W752" i="7"/>
  <c r="W751" i="7"/>
  <c r="W748" i="7"/>
  <c r="W747" i="7"/>
  <c r="W746" i="7"/>
  <c r="W743" i="7"/>
  <c r="W742" i="7"/>
  <c r="W741" i="7"/>
  <c r="W738" i="7"/>
  <c r="W737" i="7"/>
  <c r="W736" i="7"/>
  <c r="W735" i="7"/>
  <c r="W732" i="7"/>
  <c r="W731" i="7"/>
  <c r="W728" i="7"/>
  <c r="W727" i="7"/>
  <c r="W726" i="7"/>
  <c r="W350" i="7"/>
  <c r="W349" i="7"/>
  <c r="W348" i="7"/>
  <c r="W347" i="7"/>
  <c r="W346" i="7"/>
  <c r="W345" i="7"/>
  <c r="W344" i="7"/>
  <c r="W343" i="7"/>
  <c r="W342" i="7"/>
  <c r="W341" i="7"/>
  <c r="W340" i="7"/>
  <c r="W339" i="7"/>
  <c r="W338" i="7"/>
  <c r="W337" i="7"/>
  <c r="W336" i="7"/>
  <c r="W335" i="7"/>
  <c r="W334" i="7"/>
  <c r="W333" i="7"/>
  <c r="W332" i="7"/>
  <c r="W331" i="7"/>
  <c r="W330" i="7"/>
  <c r="W329" i="7"/>
  <c r="W328" i="7"/>
  <c r="W327" i="7"/>
  <c r="W326" i="7"/>
  <c r="W325" i="7"/>
  <c r="W324" i="7"/>
  <c r="W323" i="7"/>
  <c r="W322" i="7"/>
  <c r="W321" i="7"/>
  <c r="W320" i="7"/>
  <c r="W319" i="7"/>
  <c r="W318" i="7"/>
  <c r="W317" i="7"/>
  <c r="W316" i="7"/>
  <c r="W315" i="7"/>
  <c r="W314" i="7"/>
  <c r="W313" i="7"/>
  <c r="W312" i="7"/>
  <c r="W311" i="7"/>
  <c r="W310" i="7"/>
  <c r="W309" i="7"/>
  <c r="W308" i="7"/>
  <c r="W307" i="7"/>
  <c r="W306" i="7"/>
  <c r="W305" i="7"/>
  <c r="W304" i="7"/>
  <c r="W303" i="7"/>
  <c r="W302" i="7"/>
  <c r="W301" i="7"/>
  <c r="W295" i="7"/>
  <c r="W294" i="7"/>
  <c r="W293" i="7"/>
  <c r="W292" i="7"/>
  <c r="W291" i="7"/>
  <c r="W290" i="7"/>
  <c r="W289" i="7"/>
  <c r="W288" i="7"/>
  <c r="W287" i="7"/>
  <c r="W286" i="7"/>
  <c r="W282" i="7"/>
  <c r="W281" i="7"/>
  <c r="W279" i="7"/>
  <c r="W275" i="7"/>
  <c r="W274" i="7"/>
  <c r="W272" i="7"/>
  <c r="W271" i="7"/>
  <c r="W269" i="7"/>
  <c r="W268" i="7"/>
  <c r="W267" i="7"/>
  <c r="W266" i="7"/>
  <c r="W265" i="7"/>
  <c r="W259" i="7"/>
  <c r="W258" i="7"/>
  <c r="W257" i="7"/>
  <c r="W253" i="7"/>
  <c r="W252" i="7"/>
  <c r="W251" i="7"/>
  <c r="W250" i="7"/>
  <c r="W249" i="7"/>
  <c r="W248" i="7"/>
  <c r="W247" i="7"/>
  <c r="W244" i="7"/>
  <c r="W237" i="7"/>
  <c r="W232" i="7"/>
  <c r="W231" i="7"/>
  <c r="W230" i="7"/>
  <c r="W225" i="7"/>
  <c r="W224" i="7"/>
  <c r="W223" i="7"/>
  <c r="W222" i="7"/>
  <c r="W216" i="7"/>
  <c r="W215" i="7"/>
  <c r="W214" i="7"/>
  <c r="W213" i="7"/>
  <c r="W203" i="7"/>
  <c r="W193" i="7"/>
  <c r="W191" i="7"/>
  <c r="W190" i="7"/>
  <c r="W188" i="7"/>
  <c r="W187" i="7"/>
  <c r="W186" i="7"/>
  <c r="W185" i="7"/>
  <c r="W184" i="7"/>
  <c r="W178" i="7"/>
  <c r="W177" i="7"/>
  <c r="W175" i="7"/>
  <c r="W169" i="7"/>
  <c r="W167" i="7"/>
  <c r="W161" i="7"/>
  <c r="W159" i="7"/>
  <c r="W158" i="7"/>
  <c r="W157" i="7"/>
  <c r="W156" i="7"/>
  <c r="W155" i="7"/>
  <c r="W154" i="7"/>
  <c r="W153" i="7"/>
  <c r="W152" i="7"/>
  <c r="W151" i="7"/>
  <c r="W150" i="7"/>
  <c r="W149" i="7"/>
  <c r="W148" i="7"/>
  <c r="W147" i="7"/>
  <c r="W145" i="7"/>
  <c r="W142" i="7"/>
  <c r="W141" i="7"/>
  <c r="W140" i="7"/>
  <c r="W139" i="7"/>
  <c r="W133" i="7"/>
  <c r="W131" i="7"/>
  <c r="W125" i="7"/>
  <c r="W122" i="7"/>
  <c r="W120" i="7"/>
  <c r="W119" i="7"/>
  <c r="W118" i="7"/>
  <c r="W116" i="7"/>
  <c r="W115" i="7"/>
  <c r="W112" i="7"/>
  <c r="W111" i="7"/>
  <c r="W110" i="7"/>
  <c r="W107" i="7"/>
  <c r="W106" i="7"/>
  <c r="W104" i="7"/>
  <c r="W101" i="7"/>
  <c r="W100" i="7"/>
  <c r="W99" i="7"/>
  <c r="W98" i="7"/>
  <c r="W94" i="7"/>
  <c r="W90" i="7"/>
  <c r="W88" i="7"/>
  <c r="W87" i="7"/>
  <c r="W76" i="7"/>
  <c r="W75" i="7"/>
  <c r="W74" i="7"/>
  <c r="W65" i="7"/>
  <c r="W64" i="7"/>
  <c r="W63" i="7"/>
  <c r="W60" i="7"/>
  <c r="W56" i="7"/>
  <c r="W55" i="7"/>
  <c r="W54" i="7"/>
  <c r="W53" i="7"/>
  <c r="W50" i="7"/>
  <c r="W49" i="7"/>
  <c r="W46" i="7"/>
  <c r="W45" i="7"/>
  <c r="W44" i="7"/>
  <c r="W43" i="7"/>
  <c r="W40" i="7"/>
  <c r="W39" i="7"/>
  <c r="W32" i="7"/>
  <c r="W31" i="7"/>
  <c r="W30" i="7"/>
  <c r="W26" i="7"/>
  <c r="W22" i="7"/>
  <c r="W16" i="7"/>
  <c r="W15" i="7"/>
  <c r="W14" i="7"/>
  <c r="W13" i="7"/>
  <c r="W12" i="7"/>
  <c r="W11" i="7"/>
  <c r="W10" i="7"/>
  <c r="W9" i="7"/>
  <c r="W6" i="7"/>
  <c r="W5" i="7"/>
  <c r="W4" i="7"/>
  <c r="W3" i="7"/>
  <c r="W2" i="7"/>
  <c r="I1012" i="6" l="1"/>
  <c r="I1010" i="6"/>
  <c r="I1009" i="6"/>
  <c r="I1008" i="6"/>
  <c r="I1005" i="6"/>
  <c r="I1004" i="6"/>
  <c r="I1003" i="6"/>
  <c r="I1002" i="6"/>
  <c r="I1001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866" i="6"/>
  <c r="I865" i="6"/>
  <c r="I864" i="6"/>
  <c r="I854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7" i="6"/>
  <c r="I814" i="6"/>
  <c r="I813" i="6"/>
  <c r="I812" i="6"/>
  <c r="I811" i="6"/>
  <c r="I810" i="6"/>
  <c r="I809" i="6"/>
  <c r="I808" i="6"/>
  <c r="I807" i="6"/>
  <c r="I806" i="6"/>
  <c r="I805" i="6"/>
  <c r="I804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0" i="6"/>
  <c r="I778" i="6"/>
  <c r="I777" i="6"/>
  <c r="I775" i="6"/>
  <c r="I774" i="6"/>
  <c r="I773" i="6"/>
  <c r="I772" i="6"/>
  <c r="I769" i="6"/>
  <c r="I768" i="6"/>
  <c r="I765" i="6"/>
  <c r="I762" i="6"/>
  <c r="I759" i="6"/>
  <c r="I756" i="6"/>
  <c r="I755" i="6"/>
  <c r="I754" i="6"/>
  <c r="I752" i="6"/>
  <c r="I751" i="6"/>
  <c r="I748" i="6"/>
  <c r="I747" i="6"/>
  <c r="I746" i="6"/>
  <c r="I743" i="6"/>
  <c r="I742" i="6"/>
  <c r="I741" i="6"/>
  <c r="I738" i="6"/>
  <c r="I737" i="6"/>
  <c r="I736" i="6"/>
  <c r="I735" i="6"/>
  <c r="I732" i="6"/>
  <c r="I731" i="6"/>
  <c r="I728" i="6"/>
  <c r="I727" i="6"/>
  <c r="I726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295" i="6"/>
  <c r="I294" i="6"/>
  <c r="I293" i="6"/>
  <c r="I292" i="6"/>
  <c r="I291" i="6"/>
  <c r="I290" i="6"/>
  <c r="I289" i="6"/>
  <c r="I288" i="6"/>
  <c r="I287" i="6"/>
  <c r="I286" i="6"/>
  <c r="I282" i="6"/>
  <c r="I281" i="6"/>
  <c r="I279" i="6"/>
  <c r="I275" i="6"/>
  <c r="I274" i="6"/>
  <c r="I272" i="6"/>
  <c r="I271" i="6"/>
  <c r="I269" i="6"/>
  <c r="I268" i="6"/>
  <c r="I267" i="6"/>
  <c r="I266" i="6"/>
  <c r="I265" i="6"/>
  <c r="I259" i="6"/>
  <c r="I258" i="6"/>
  <c r="I257" i="6"/>
  <c r="I253" i="6"/>
  <c r="I252" i="6"/>
  <c r="I251" i="6"/>
  <c r="I250" i="6"/>
  <c r="I249" i="6"/>
  <c r="I248" i="6"/>
  <c r="I247" i="6"/>
  <c r="I244" i="6"/>
  <c r="I237" i="6"/>
  <c r="I232" i="6"/>
  <c r="I231" i="6"/>
  <c r="I230" i="6"/>
  <c r="I225" i="6"/>
  <c r="I224" i="6"/>
  <c r="I223" i="6"/>
  <c r="I222" i="6"/>
  <c r="I216" i="6"/>
  <c r="I215" i="6"/>
  <c r="I214" i="6"/>
  <c r="I213" i="6"/>
  <c r="I203" i="6"/>
  <c r="I193" i="6"/>
  <c r="I191" i="6"/>
  <c r="I190" i="6"/>
  <c r="I188" i="6"/>
  <c r="I187" i="6"/>
  <c r="I186" i="6"/>
  <c r="I185" i="6"/>
  <c r="I184" i="6"/>
  <c r="I178" i="6"/>
  <c r="I177" i="6"/>
  <c r="I175" i="6"/>
  <c r="I169" i="6"/>
  <c r="I167" i="6"/>
  <c r="I161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5" i="6"/>
  <c r="I142" i="6"/>
  <c r="I141" i="6"/>
  <c r="I140" i="6"/>
  <c r="I139" i="6"/>
  <c r="I133" i="6"/>
  <c r="I131" i="6"/>
  <c r="I125" i="6"/>
  <c r="I122" i="6"/>
  <c r="I120" i="6"/>
  <c r="I119" i="6"/>
  <c r="I118" i="6"/>
  <c r="I116" i="6"/>
  <c r="I115" i="6"/>
  <c r="I112" i="6"/>
  <c r="I111" i="6"/>
  <c r="I110" i="6"/>
  <c r="I107" i="6"/>
  <c r="I106" i="6"/>
  <c r="I104" i="6"/>
  <c r="I101" i="6"/>
  <c r="I100" i="6"/>
  <c r="I99" i="6"/>
  <c r="I98" i="6"/>
  <c r="I94" i="6"/>
  <c r="I90" i="6"/>
  <c r="I88" i="6"/>
  <c r="I87" i="6"/>
  <c r="I76" i="6"/>
  <c r="I75" i="6"/>
  <c r="I74" i="6"/>
  <c r="I65" i="6"/>
  <c r="I64" i="6"/>
  <c r="I63" i="6"/>
  <c r="I60" i="6"/>
  <c r="I56" i="6"/>
  <c r="I55" i="6"/>
  <c r="I54" i="6"/>
  <c r="I53" i="6"/>
  <c r="I50" i="6"/>
  <c r="I49" i="6"/>
  <c r="I46" i="6"/>
  <c r="I45" i="6"/>
  <c r="I44" i="6"/>
  <c r="I43" i="6"/>
  <c r="I40" i="6"/>
  <c r="I39" i="6"/>
  <c r="I32" i="6"/>
  <c r="I31" i="6"/>
  <c r="I30" i="6"/>
  <c r="I26" i="6"/>
  <c r="I22" i="6"/>
  <c r="I16" i="6"/>
  <c r="I15" i="6"/>
  <c r="I14" i="6"/>
  <c r="I13" i="6"/>
  <c r="I12" i="6"/>
  <c r="I11" i="6"/>
  <c r="I10" i="6"/>
  <c r="I9" i="6"/>
  <c r="I6" i="6"/>
  <c r="I5" i="6"/>
  <c r="I4" i="6"/>
  <c r="I3" i="6"/>
  <c r="J2" i="6"/>
  <c r="I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 AGUILAR HERNANDEZ</author>
  </authors>
  <commentList>
    <comment ref="A95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ANTONIO AGUILAR HERNANDEZ:</t>
        </r>
        <r>
          <rPr>
            <sz val="9"/>
            <color indexed="81"/>
            <rFont val="Tahoma"/>
            <family val="2"/>
          </rPr>
          <t xml:space="preserve">
ALTA EN ABRIL'20
</t>
        </r>
      </text>
    </comment>
    <comment ref="A96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ANTONIO AGUILAR HERNANDEZ:</t>
        </r>
        <r>
          <rPr>
            <sz val="9"/>
            <color indexed="81"/>
            <rFont val="Tahoma"/>
            <family val="2"/>
          </rPr>
          <t xml:space="preserve">
ALTA EN ABRIL'20
</t>
        </r>
      </text>
    </comment>
    <comment ref="A96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ANTONIO AGUILAR HERNANDEZ:</t>
        </r>
        <r>
          <rPr>
            <sz val="9"/>
            <color indexed="81"/>
            <rFont val="Tahoma"/>
            <family val="2"/>
          </rPr>
          <t xml:space="preserve">
ALTA EN ABRIL'20
</t>
        </r>
      </text>
    </comment>
  </commentList>
</comments>
</file>

<file path=xl/sharedStrings.xml><?xml version="1.0" encoding="utf-8"?>
<sst xmlns="http://schemas.openxmlformats.org/spreadsheetml/2006/main" count="36238" uniqueCount="3980">
  <si>
    <t>CODIGO</t>
  </si>
  <si>
    <t>PRES.</t>
  </si>
  <si>
    <t>DESCRIPCIÓN</t>
  </si>
  <si>
    <t>ACEITES PARA SERVICIO LIGERO</t>
  </si>
  <si>
    <t>LINEA GASOLINA PROFESSIONAL</t>
  </si>
  <si>
    <t>LINEA AUTOMOTRIZ  PRIME</t>
  </si>
  <si>
    <t>16/950 ML</t>
  </si>
  <si>
    <t>15/950 ML</t>
  </si>
  <si>
    <t>BOTELLA RUN POWER SAE 20W-50</t>
  </si>
  <si>
    <t>SUPER HEAVY DUTY (SL)</t>
  </si>
  <si>
    <t>4/5 L</t>
  </si>
  <si>
    <t>GARRAFA RUN POWER SAE 20W-50</t>
  </si>
  <si>
    <t>ROSHPACK SAE 40</t>
  </si>
  <si>
    <t>19 L</t>
  </si>
  <si>
    <t>4/4 L</t>
  </si>
  <si>
    <t>BOTELLA RUN POWER SAE 5W-30</t>
  </si>
  <si>
    <t>CUBETA SAE 40</t>
  </si>
  <si>
    <t>TAMBOR SAE 40</t>
  </si>
  <si>
    <t>ROSHPACK SAE 50</t>
  </si>
  <si>
    <t>BOT RUN PWR TRI SINT API SN SAE 5W-50</t>
  </si>
  <si>
    <t>CUBETA SAE 50</t>
  </si>
  <si>
    <t>BOT RUN PWR SINTETICO API SN SAE 5W-30</t>
  </si>
  <si>
    <t>200 L</t>
  </si>
  <si>
    <t>TAMBOR SAE 50</t>
  </si>
  <si>
    <t>ROSHPACK SAE 60</t>
  </si>
  <si>
    <t>BOT RUN PWR SINTETICO API SN SAE 5W-50</t>
  </si>
  <si>
    <t>ROSHPACK  SAE 60</t>
  </si>
  <si>
    <t>CUBETA SAE 60</t>
  </si>
  <si>
    <t>TAMBOR SAE 60</t>
  </si>
  <si>
    <t xml:space="preserve">DIESEL AUTOMOTRIZ  </t>
  </si>
  <si>
    <t>HI-ENERGY (ALTO KILOMETRAJE) (SL)</t>
  </si>
  <si>
    <t xml:space="preserve">DIESEL VOLTRO® </t>
  </si>
  <si>
    <t>ROSHPACK HI-ENERGY API SL SAE 20W-50</t>
  </si>
  <si>
    <t>VOLTRO® RACING SEMISINTETICO</t>
  </si>
  <si>
    <t>CUBETA HI-ENERGY API SL  SAE 20W-50</t>
  </si>
  <si>
    <t>TAMBOR HI-ENERGY API SL SAE 20W-50</t>
  </si>
  <si>
    <t>BOT FULL AK HI-ENERGY® API SLSAE 25W-50</t>
  </si>
  <si>
    <t>GFA FULL AK HI-ENERGY® API SL SAE 25W-50</t>
  </si>
  <si>
    <t>MOTONIC ® 2 TIEMPOS API TC</t>
  </si>
  <si>
    <t>ACEITES PARA SERVICIO PESADO</t>
  </si>
  <si>
    <t>6/250 ML</t>
  </si>
  <si>
    <t>LINEA DIESEL PROFESSIONAL</t>
  </si>
  <si>
    <t>MOTONIC ® 4 TIEMPOS JASO MA2</t>
  </si>
  <si>
    <t>ROSHPACK VOLTRO RAS S3 API CFSAE 40</t>
  </si>
  <si>
    <t>CUBETA VOLTRO RAS S3 API CF SAE 40</t>
  </si>
  <si>
    <t>TAMBOR VOLTRO RAS S3 API CF SAE 40</t>
  </si>
  <si>
    <t>ROSHPACK VOLTRO RAS S3 API CFSAE 50</t>
  </si>
  <si>
    <t>BOTELLA MOTONIC 4T  SAE 20W-50 JASO MA2</t>
  </si>
  <si>
    <t>CUBETA VOLTRO RAS S3 API CF SAE 50</t>
  </si>
  <si>
    <t>GARRAFA VOLTRO MAX POWER SAE 15W-40</t>
  </si>
  <si>
    <t>CUBETA VOLTRO MAX POWER SAE 15W-40</t>
  </si>
  <si>
    <t>TAMBOR VOLTRO MAX POWERSAE 15W-40</t>
  </si>
  <si>
    <t>GARRAFA VOLTRO MAX POWER SAE 25W-50</t>
  </si>
  <si>
    <t>ROSHPACK VOLTRO MAX POWER SAE 25W-50</t>
  </si>
  <si>
    <t>CUBETA VOLTRO MAX POWER SAE 25W-50</t>
  </si>
  <si>
    <t>TAMBOR VOLTRO MAX POWERSAE 25W-50</t>
  </si>
  <si>
    <t>LINEA DIESEL PERFORMANCE</t>
  </si>
  <si>
    <t>TAMBOR SAE 15W-40</t>
  </si>
  <si>
    <t>TAMBOR SAE 20W-50</t>
  </si>
  <si>
    <t>CUBETA SAE 15W-40</t>
  </si>
  <si>
    <t>GARRAFA SAE 20W-50</t>
  </si>
  <si>
    <t>CUBETA SAE 20W-50</t>
  </si>
  <si>
    <t>BOTELLA RUN POWER SAE 10W-40</t>
  </si>
  <si>
    <t>GARRAFA RUN POWER SAE 10W-40</t>
  </si>
  <si>
    <t>GARRAFA SAE 15W-40</t>
  </si>
  <si>
    <t>ACEITES PARA TRANSMISION</t>
  </si>
  <si>
    <t>TRANSMISION AUTOMATICA SUPER ATF DEX - III -MERCON</t>
  </si>
  <si>
    <t xml:space="preserve">BOTELLA </t>
  </si>
  <si>
    <t>GARRAFA</t>
  </si>
  <si>
    <t xml:space="preserve"> VOLTRO® PRO (CK-4/SN)</t>
  </si>
  <si>
    <t>CUBETA</t>
  </si>
  <si>
    <t>TAMBOR</t>
  </si>
  <si>
    <t>ATF ALLPOWER MULTIVEHICULOS</t>
  </si>
  <si>
    <t>LINEA DIESEL PRIME</t>
  </si>
  <si>
    <t>BOTELLA</t>
  </si>
  <si>
    <t>VOLTRO® EUROFLEET® 3</t>
  </si>
  <si>
    <t>CUBETA SAE 10W-40</t>
  </si>
  <si>
    <t>TAMBOR SAE 10W-40</t>
  </si>
  <si>
    <t>VOLTRO® AMERICANFLEET® (CK4/SN)</t>
  </si>
  <si>
    <t>CUBETA SAE 5W-40</t>
  </si>
  <si>
    <t>TAMBOR SAE 5W-40</t>
  </si>
  <si>
    <t>GEAR OIL (GL-1)</t>
  </si>
  <si>
    <t>ROSHPACK SAE 90</t>
  </si>
  <si>
    <t>ACEITES HIDRAULICOS</t>
  </si>
  <si>
    <t>BOTELLA SAE 90</t>
  </si>
  <si>
    <t>HIDRATEC H-300</t>
  </si>
  <si>
    <t>GARRAFA SAE 90</t>
  </si>
  <si>
    <t>CUBETA ISO VG 68</t>
  </si>
  <si>
    <t>CUBETA SAE 90</t>
  </si>
  <si>
    <t>TAMBOR ISO VG 68</t>
  </si>
  <si>
    <t>TAMBOR SAE 90</t>
  </si>
  <si>
    <t>HIDRAULICO AW</t>
  </si>
  <si>
    <t>ROSHPACK SAE 140</t>
  </si>
  <si>
    <t>BOTELLA ISO VG 68</t>
  </si>
  <si>
    <t>BOTELLA SAE 140</t>
  </si>
  <si>
    <t>GARRAFA ISO VG 68</t>
  </si>
  <si>
    <t>GARRAFA SAE 140</t>
  </si>
  <si>
    <t>CUBETA SAE 140</t>
  </si>
  <si>
    <t>TAMBOR SAE 140</t>
  </si>
  <si>
    <t>HIDRAULICO TRACTOR MULTIUSOS</t>
  </si>
  <si>
    <t>BOTELLA SAE 250</t>
  </si>
  <si>
    <t>GARRAFA SAE 250</t>
  </si>
  <si>
    <t>CUBETA SAE 250</t>
  </si>
  <si>
    <t>SUPER TRACTOR MULTIPROPOSITO</t>
  </si>
  <si>
    <t>TAMBOR SAE 250</t>
  </si>
  <si>
    <t>MULTITRANS (GL-4)</t>
  </si>
  <si>
    <t>GRASAS</t>
  </si>
  <si>
    <t>CHASIS 2</t>
  </si>
  <si>
    <t>3.5 K</t>
  </si>
  <si>
    <t>TAMBOR  SAE 140</t>
  </si>
  <si>
    <t>16 K</t>
  </si>
  <si>
    <t>170 K</t>
  </si>
  <si>
    <t>SUPER GEAR OIL (GL-5)</t>
  </si>
  <si>
    <t>CHASIS 3</t>
  </si>
  <si>
    <t>CHASIS e-LIT® (GRADO 2)</t>
  </si>
  <si>
    <t>24/250 G</t>
  </si>
  <si>
    <t>TARRO</t>
  </si>
  <si>
    <t>24/425 G</t>
  </si>
  <si>
    <t>12/850 G</t>
  </si>
  <si>
    <t>BOTELLA SAE 80W/90</t>
  </si>
  <si>
    <t>GARRAFA SAE 80W/90</t>
  </si>
  <si>
    <t>CUBETA SAE 80W/90</t>
  </si>
  <si>
    <t>TAMBOR SAE 80W/90</t>
  </si>
  <si>
    <t>GRAFITADA FIBROSA CR (GRADO 3)</t>
  </si>
  <si>
    <t>BOTELLA SAE 85W/140</t>
  </si>
  <si>
    <t>GARRAFA SAE 85W/140</t>
  </si>
  <si>
    <t>CUBETA SAE 85W/140</t>
  </si>
  <si>
    <t>TAMBOR SAE 85W/140</t>
  </si>
  <si>
    <t>TRANSMISION CONTINUAMENTE VARIABLE BT</t>
  </si>
  <si>
    <t xml:space="preserve"> BOT TRANSMISION CV BT</t>
  </si>
  <si>
    <t>ROSHPACK</t>
  </si>
  <si>
    <t>B.A.T.-3® GRADO 3</t>
  </si>
  <si>
    <t>LIQUIDO PARA FRENOS</t>
  </si>
  <si>
    <t>DOT-3</t>
  </si>
  <si>
    <t>24/ 350 ML</t>
  </si>
  <si>
    <t>JUNTAS HOMOCINETICAS (GRADO 2)</t>
  </si>
  <si>
    <t>12/ 950 ML</t>
  </si>
  <si>
    <t>DOT-4</t>
  </si>
  <si>
    <t>12/950 ML</t>
  </si>
  <si>
    <t>BALIT PLUS (EP2)</t>
  </si>
  <si>
    <t>FLUIDOS ESPECIALES</t>
  </si>
  <si>
    <t>ROSHPACK FLUIDO ESPECIAL P/BATERIA</t>
  </si>
  <si>
    <t>BALIT® COMPLEX PLUS (EP2)</t>
  </si>
  <si>
    <t>BOT. FLUIDO PARA DIR. HIDRAULICA</t>
  </si>
  <si>
    <t>12/400 G</t>
  </si>
  <si>
    <t>TUBO</t>
  </si>
  <si>
    <t>CUBETA ROSHFRANS PURE SKY</t>
  </si>
  <si>
    <t>COSMETICOS ELITE CAR CARE</t>
  </si>
  <si>
    <t>ESPECIALIDADES</t>
  </si>
  <si>
    <t>DESENGRASANTE MULTIUSOS</t>
  </si>
  <si>
    <t>APLICADOR PARA TUBO DE GRASA</t>
  </si>
  <si>
    <t>20 L</t>
  </si>
  <si>
    <t>BIDON</t>
  </si>
  <si>
    <t>10 /PZA.</t>
  </si>
  <si>
    <t>APLICADOR</t>
  </si>
  <si>
    <t>ADITIVOS</t>
  </si>
  <si>
    <t>LIQUIDO LIMPIAPARABRISAS</t>
  </si>
  <si>
    <t>ADITIVOS PARA GASOLINA</t>
  </si>
  <si>
    <t xml:space="preserve">ROSHPACK </t>
  </si>
  <si>
    <t>BOT. ADITIVO GAS CLEAN</t>
  </si>
  <si>
    <t>SHAMPOO PARA AUTOS</t>
  </si>
  <si>
    <t>BOT. ADITIVO CLEAN YECTOR</t>
  </si>
  <si>
    <t>BOT. ADITIVO +OCTAN</t>
  </si>
  <si>
    <t>ABRILLANTADOR VINIL, PLASTICO , HULE</t>
  </si>
  <si>
    <t>ADITIVOS PARA ACEITE</t>
  </si>
  <si>
    <t>24/443 ML</t>
  </si>
  <si>
    <t>BOT.  ADITIVO PREMIUM</t>
  </si>
  <si>
    <t>24/440 ML</t>
  </si>
  <si>
    <t>BOT. ADITIVO MC-2</t>
  </si>
  <si>
    <t>ADITIVOS PARA DIESEL</t>
  </si>
  <si>
    <t>6/500 ML</t>
  </si>
  <si>
    <t>BOT. DIESEL CLEAN YECTOR R27</t>
  </si>
  <si>
    <t>ANTICONGELANTES</t>
  </si>
  <si>
    <t>ANTICONGELANTES PARA SERVICIO LIGERO</t>
  </si>
  <si>
    <t>REFRIGERANTE CLIMATIZADO</t>
  </si>
  <si>
    <t>4/3.785 L</t>
  </si>
  <si>
    <t>ROSHPACK 4</t>
  </si>
  <si>
    <t>REFRIGERANTE COOLANT</t>
  </si>
  <si>
    <t xml:space="preserve">ANTICONGELANTE CONCENTRADO </t>
  </si>
  <si>
    <t>REF COOLANT DIESEL</t>
  </si>
  <si>
    <t xml:space="preserve">ANTICONGELANTE SUPER CONCENTRADO </t>
  </si>
  <si>
    <t>ANTICONGELANTES SERVICIO PESADO</t>
  </si>
  <si>
    <t>COOLANT DIESEL LONG LIFE</t>
  </si>
  <si>
    <t>ANTICONGELANTE VOLTRO CONCENTRADO</t>
  </si>
  <si>
    <t>BOTELLA HI-ENERGY® API SLSAE 25W-60</t>
  </si>
  <si>
    <t>GFA HI-ENERGY® API SL SAE 25W-60</t>
  </si>
  <si>
    <t>GARRAFA RUN POWER SAE 5W-30</t>
  </si>
  <si>
    <t>TAMBOR RUN POWER SAE 5W-30</t>
  </si>
  <si>
    <t>TAMBOR RUN POWER SAE 10W-40</t>
  </si>
  <si>
    <t>BOTELLA RUN POWER SAE 15W-40</t>
  </si>
  <si>
    <t>TAMBOR RUN PWR SINTETICO API SN SAE 5W-30</t>
  </si>
  <si>
    <t>BOT RUN PWR SINTETICO API SN SAE 5W-40</t>
  </si>
  <si>
    <t>TAMBOR RUN PWR SINTETICO API SN SAE 5W-40</t>
  </si>
  <si>
    <t>TAMBOR RUN PWR SINTETICO API SN SAE 5W-50</t>
  </si>
  <si>
    <t>BOTELLA RUN SINTETICOPOWER SAE 10W-30</t>
  </si>
  <si>
    <t>TAMBOR RUN PWR TRI SINT API SN SAE 0W-20</t>
  </si>
  <si>
    <t>BOT RUN PWR TRI SINT API SN SAE 5W-30</t>
  </si>
  <si>
    <t>TAMBOR RUN PWR TRI SINT API SN SAE 5W-30</t>
  </si>
  <si>
    <t>GARRAFA VOLTRO RAS S3 API CF SAE 40</t>
  </si>
  <si>
    <t>GARRAFA VOLTRO RAS S3 API CF SAE 50</t>
  </si>
  <si>
    <t>VOLTRO RAS SERIES 3 (CF/CF-2)</t>
  </si>
  <si>
    <t xml:space="preserve"> VOLTRO MAX POWER®  (API CH4/SJ)</t>
  </si>
  <si>
    <t>VOLTRO® FORCE (API CI-4/SL)</t>
  </si>
  <si>
    <t>VOLTRO® + PLUS (API CI-4 PLUS /SL)</t>
  </si>
  <si>
    <t>VOLTRO® SUPER PLUS (API CJ-4 /SN)</t>
  </si>
  <si>
    <t xml:space="preserve"> CUB TRANSMISION CV BT</t>
  </si>
  <si>
    <t>15/950</t>
  </si>
  <si>
    <t>P LISTA</t>
  </si>
  <si>
    <t xml:space="preserve">P LISTA </t>
  </si>
  <si>
    <t>ACEITE PARA MAQUINARIA PESADA CATERPILLAR</t>
  </si>
  <si>
    <t>TRANSMISION CAT-ALI SAE 10W</t>
  </si>
  <si>
    <t>TRANSMISION CAT-ALI SAE 30</t>
  </si>
  <si>
    <t>TRANSMISION CAT-ALI SAE 50</t>
  </si>
  <si>
    <t>VARIOS (CONTENEDORES)</t>
  </si>
  <si>
    <t>1000 L</t>
  </si>
  <si>
    <t>DIESEL RAS S-3 API CF SAE 40</t>
  </si>
  <si>
    <t>DIESEL RAS S-3 API CF SAE 50</t>
  </si>
  <si>
    <t>SUPER ATF DEX-III MERCON</t>
  </si>
  <si>
    <t>SUPER GEAR OIL API GL-5 85W140</t>
  </si>
  <si>
    <t>HCO ANTIDESCASTE AW ISO VG 68</t>
  </si>
  <si>
    <t xml:space="preserve">REFRIGERANTE CLIMATIZADO </t>
  </si>
  <si>
    <t>BATRAK DESNA ISO VG 32</t>
  </si>
  <si>
    <t>BATRAK SUPER NOVE</t>
  </si>
  <si>
    <t xml:space="preserve"> BARAK ZOLOVE ISO VG 150</t>
  </si>
  <si>
    <t>BATRAK ZOLOVE ISO VG 220</t>
  </si>
  <si>
    <t>BOTELLA SAE 40</t>
  </si>
  <si>
    <t>BOTELLA SAE 60</t>
  </si>
  <si>
    <t>BOTELLA SAE 50</t>
  </si>
  <si>
    <t>RUN POWER® (API SP)</t>
  </si>
  <si>
    <t>GARRAFA RUN POWER SAE 15W-40</t>
  </si>
  <si>
    <t>TAMBOR RUN POWER SAE 15W-40</t>
  </si>
  <si>
    <t>TAMBOR RUN POWER SAE 20W-50</t>
  </si>
  <si>
    <t>BOTELLA MOTONIC 4T  SAE 20W-50 JASO Mb</t>
  </si>
  <si>
    <t>BOTELLA MOTONIC ® 2 TIEMPOS JASO FD</t>
  </si>
  <si>
    <t>BOTELLA MOTONIC 4T  SAE 10W-40 JASO MB</t>
  </si>
  <si>
    <t>BOTELLA MOTONIC 4T  SAE 10W-30 JASO MA2</t>
  </si>
  <si>
    <t>ROSHPACK VOLTRO RAS S3 API DF/DF2 SAE 50</t>
  </si>
  <si>
    <t>TAMBOR VOLTRO RAS S3 API CF SAE 50</t>
  </si>
  <si>
    <t>*SUJETA A CAMBIO SIN PREVIO AVISO</t>
  </si>
  <si>
    <t>ACEITE RUN PWR TRI-SINTETICO SAE 0W20</t>
  </si>
  <si>
    <t>HOJA 1/6</t>
  </si>
  <si>
    <t>HOJA 2/6</t>
  </si>
  <si>
    <t>PT06900023</t>
  </si>
  <si>
    <t>PT06900022</t>
  </si>
  <si>
    <t>PT06900006</t>
  </si>
  <si>
    <t>PT06900025</t>
  </si>
  <si>
    <t>PT06900026</t>
  </si>
  <si>
    <t>PT06900028</t>
  </si>
  <si>
    <t>PT06900039</t>
  </si>
  <si>
    <t>PT06900007</t>
  </si>
  <si>
    <t>PT06900030</t>
  </si>
  <si>
    <t>PT06900031</t>
  </si>
  <si>
    <t>PT06900033</t>
  </si>
  <si>
    <t>PT06900040</t>
  </si>
  <si>
    <t>PT06900008</t>
  </si>
  <si>
    <t>PT06900035</t>
  </si>
  <si>
    <t>PT06900036</t>
  </si>
  <si>
    <t>PT07000013</t>
  </si>
  <si>
    <t>PT07000021</t>
  </si>
  <si>
    <t>PT07000005</t>
  </si>
  <si>
    <t>PT07000014</t>
  </si>
  <si>
    <t>PT07000015</t>
  </si>
  <si>
    <t>PT07000007</t>
  </si>
  <si>
    <t>PT07000009</t>
  </si>
  <si>
    <t>PT07000023</t>
  </si>
  <si>
    <t>PT07000018</t>
  </si>
  <si>
    <t>PT07900040</t>
  </si>
  <si>
    <t>PT07900010</t>
  </si>
  <si>
    <t>PT07900024</t>
  </si>
  <si>
    <t>PT07900011</t>
  </si>
  <si>
    <t>PT07900025</t>
  </si>
  <si>
    <t>PT07900041</t>
  </si>
  <si>
    <t>PT07900042</t>
  </si>
  <si>
    <t>PT07900012</t>
  </si>
  <si>
    <t>PT07900026</t>
  </si>
  <si>
    <t>PT07900043</t>
  </si>
  <si>
    <t>PT07900009</t>
  </si>
  <si>
    <t>PT07900027</t>
  </si>
  <si>
    <t>PT08100033</t>
  </si>
  <si>
    <t>PT08100016</t>
  </si>
  <si>
    <t>PT08100034</t>
  </si>
  <si>
    <t>PT08100001</t>
  </si>
  <si>
    <t>PT08100035</t>
  </si>
  <si>
    <t>PT08100017</t>
  </si>
  <si>
    <t>PT08100032</t>
  </si>
  <si>
    <t>PT08200023</t>
  </si>
  <si>
    <t>PT08200026</t>
  </si>
  <si>
    <t>PT08200015</t>
  </si>
  <si>
    <t>PT08200027</t>
  </si>
  <si>
    <t>PT08200028</t>
  </si>
  <si>
    <t>PT08200014</t>
  </si>
  <si>
    <t>PT07200006</t>
  </si>
  <si>
    <t>PT07200008</t>
  </si>
  <si>
    <t>PT07300025</t>
  </si>
  <si>
    <t>PT07300026</t>
  </si>
  <si>
    <t>PT07300029</t>
  </si>
  <si>
    <t>PT07300027</t>
  </si>
  <si>
    <t>PT07300030</t>
  </si>
  <si>
    <t>PT08000001</t>
  </si>
  <si>
    <t>PT10700017</t>
  </si>
  <si>
    <t>PT10700018</t>
  </si>
  <si>
    <t>PT10700022</t>
  </si>
  <si>
    <t>PT10700020</t>
  </si>
  <si>
    <t>PT10700023</t>
  </si>
  <si>
    <t>PT10700016</t>
  </si>
  <si>
    <t>PT10700021</t>
  </si>
  <si>
    <t>PT10700019</t>
  </si>
  <si>
    <t>PT10400016</t>
  </si>
  <si>
    <t>PT10400018</t>
  </si>
  <si>
    <t>PT10400021</t>
  </si>
  <si>
    <t>PT10400015</t>
  </si>
  <si>
    <t>PT10400017</t>
  </si>
  <si>
    <t>PT10400019</t>
  </si>
  <si>
    <t>PT10400022</t>
  </si>
  <si>
    <t>PT10300014</t>
  </si>
  <si>
    <t>PT10300004</t>
  </si>
  <si>
    <t>PT10300005</t>
  </si>
  <si>
    <t>PT10300006</t>
  </si>
  <si>
    <t>PT10300007</t>
  </si>
  <si>
    <t>PT09900004</t>
  </si>
  <si>
    <t>PT09900002</t>
  </si>
  <si>
    <t>PT09900003</t>
  </si>
  <si>
    <t>PT10600005</t>
  </si>
  <si>
    <t>PT10600006</t>
  </si>
  <si>
    <t>HOJA 3/6</t>
  </si>
  <si>
    <t>HOJA 4/6</t>
  </si>
  <si>
    <t>PT10900003</t>
  </si>
  <si>
    <t>PT10900002</t>
  </si>
  <si>
    <t>PT10100002</t>
  </si>
  <si>
    <t>PT10100003</t>
  </si>
  <si>
    <t>PT10000004</t>
  </si>
  <si>
    <t>PT11500002</t>
  </si>
  <si>
    <t>PT11500003</t>
  </si>
  <si>
    <t>PT11500004</t>
  </si>
  <si>
    <t>PT11500005</t>
  </si>
  <si>
    <t>PT11500006</t>
  </si>
  <si>
    <t>PT11500001</t>
  </si>
  <si>
    <t>PT11500007</t>
  </si>
  <si>
    <t>PT11500008</t>
  </si>
  <si>
    <t>PT11500009</t>
  </si>
  <si>
    <t>PT11500010</t>
  </si>
  <si>
    <t>PT11500011</t>
  </si>
  <si>
    <t>PT11500012</t>
  </si>
  <si>
    <t>PT11500013</t>
  </si>
  <si>
    <t>PT11500014</t>
  </si>
  <si>
    <t>PT11900001</t>
  </si>
  <si>
    <t>PT11900004</t>
  </si>
  <si>
    <t>PT11900002</t>
  </si>
  <si>
    <t>PT11900005</t>
  </si>
  <si>
    <t>PT11900003</t>
  </si>
  <si>
    <t>PT11900006</t>
  </si>
  <si>
    <t>PT12200001</t>
  </si>
  <si>
    <t>PT12200004</t>
  </si>
  <si>
    <t>PT12200002</t>
  </si>
  <si>
    <t>PT12200005</t>
  </si>
  <si>
    <t>PT12200003</t>
  </si>
  <si>
    <t>PT12200006</t>
  </si>
  <si>
    <t>PT12200009</t>
  </si>
  <si>
    <t>PT12200010</t>
  </si>
  <si>
    <t>PT12200007</t>
  </si>
  <si>
    <t>PT12200008</t>
  </si>
  <si>
    <t>PT12200017</t>
  </si>
  <si>
    <t>PT12200016</t>
  </si>
  <si>
    <t>PT12200014</t>
  </si>
  <si>
    <t>PT12200015</t>
  </si>
  <si>
    <t>PT12300002</t>
  </si>
  <si>
    <t>PT12300003</t>
  </si>
  <si>
    <t>PT12300004</t>
  </si>
  <si>
    <t>PT12300005</t>
  </si>
  <si>
    <t>PT12300001</t>
  </si>
  <si>
    <t>PT11200001</t>
  </si>
  <si>
    <t>PT11200004</t>
  </si>
  <si>
    <t>PT11300001</t>
  </si>
  <si>
    <t>PT11300004</t>
  </si>
  <si>
    <t>PT00200003</t>
  </si>
  <si>
    <t>PT00200002</t>
  </si>
  <si>
    <t>PT00300001</t>
  </si>
  <si>
    <t>PT00300002</t>
  </si>
  <si>
    <t>PT00300003</t>
  </si>
  <si>
    <t>PT00300004</t>
  </si>
  <si>
    <t>PT00500003</t>
  </si>
  <si>
    <t>PT00500004</t>
  </si>
  <si>
    <t>PT00500001</t>
  </si>
  <si>
    <t>PT00500002</t>
  </si>
  <si>
    <t>PT42800009</t>
  </si>
  <si>
    <t>PT42800002</t>
  </si>
  <si>
    <t>PT42800005</t>
  </si>
  <si>
    <t>PT42800006</t>
  </si>
  <si>
    <t>PT42900007</t>
  </si>
  <si>
    <t>PT42900006</t>
  </si>
  <si>
    <t>PT42900004</t>
  </si>
  <si>
    <t>PT42900001</t>
  </si>
  <si>
    <t>PT42900002</t>
  </si>
  <si>
    <t>PT42900003</t>
  </si>
  <si>
    <t>PT43100001</t>
  </si>
  <si>
    <t>PT43100002</t>
  </si>
  <si>
    <t>PT43100003</t>
  </si>
  <si>
    <t>PT43100004</t>
  </si>
  <si>
    <t>PT43100005</t>
  </si>
  <si>
    <t>PT43100007</t>
  </si>
  <si>
    <t>PT40400001</t>
  </si>
  <si>
    <t>PT40400002</t>
  </si>
  <si>
    <t>PT40400003</t>
  </si>
  <si>
    <t>PT40400007</t>
  </si>
  <si>
    <t>PT40400004</t>
  </si>
  <si>
    <t>PT40400005</t>
  </si>
  <si>
    <t>PT43200001</t>
  </si>
  <si>
    <t>PT43200003</t>
  </si>
  <si>
    <t>PT43200002</t>
  </si>
  <si>
    <t>PT40300001</t>
  </si>
  <si>
    <t>PT40200003</t>
  </si>
  <si>
    <t>PT40200001</t>
  </si>
  <si>
    <t>PT60900002</t>
  </si>
  <si>
    <t>PT60400001</t>
  </si>
  <si>
    <t>PT60000001</t>
  </si>
  <si>
    <t>PT61700001</t>
  </si>
  <si>
    <t>PT61400003</t>
  </si>
  <si>
    <t>PT60600002</t>
  </si>
  <si>
    <t>PT61500001</t>
  </si>
  <si>
    <t>PT55000007</t>
  </si>
  <si>
    <t>PT55000001</t>
  </si>
  <si>
    <t>PT55000003</t>
  </si>
  <si>
    <t>PT55000004</t>
  </si>
  <si>
    <t>PT55200009</t>
  </si>
  <si>
    <t>PT55200010</t>
  </si>
  <si>
    <t>PT55200007</t>
  </si>
  <si>
    <t>PT55200011</t>
  </si>
  <si>
    <t>PT55400006</t>
  </si>
  <si>
    <t>PT55400001</t>
  </si>
  <si>
    <t>PT55400004</t>
  </si>
  <si>
    <t>PT55400005</t>
  </si>
  <si>
    <t>PT55600003</t>
  </si>
  <si>
    <t>PT55500003</t>
  </si>
  <si>
    <t>PT55500002</t>
  </si>
  <si>
    <t>PT61200004</t>
  </si>
  <si>
    <t>PT61200005</t>
  </si>
  <si>
    <t>PT61300001</t>
  </si>
  <si>
    <t>PT61300002</t>
  </si>
  <si>
    <t>PT61600003</t>
  </si>
  <si>
    <t>PT60700001</t>
  </si>
  <si>
    <t>PT60100001</t>
  </si>
  <si>
    <t>PT55700001</t>
  </si>
  <si>
    <t>PT55700002</t>
  </si>
  <si>
    <t>PT60500018</t>
  </si>
  <si>
    <t>PT60500017</t>
  </si>
  <si>
    <t>PT60500019</t>
  </si>
  <si>
    <t>PT12500003</t>
  </si>
  <si>
    <t>PT12500004</t>
  </si>
  <si>
    <t>PT12500006</t>
  </si>
  <si>
    <t>PT12500001</t>
  </si>
  <si>
    <t>PT12500002</t>
  </si>
  <si>
    <t>PT12500005</t>
  </si>
  <si>
    <t>PT10700008</t>
  </si>
  <si>
    <t>PT10700009</t>
  </si>
  <si>
    <t>PT10300009</t>
  </si>
  <si>
    <t>PT12300007</t>
  </si>
  <si>
    <t>PT12200019</t>
  </si>
  <si>
    <t>PT00300006</t>
  </si>
  <si>
    <t>PT55000005</t>
  </si>
  <si>
    <t>PT55400003</t>
  </si>
  <si>
    <t>PT00800004</t>
  </si>
  <si>
    <t>PT05000001</t>
  </si>
  <si>
    <t>PT05100008</t>
  </si>
  <si>
    <t>PT05100009</t>
  </si>
  <si>
    <t>HOJA 5/6</t>
  </si>
  <si>
    <t>HOJA 6/6</t>
  </si>
  <si>
    <t>PT08900004</t>
  </si>
  <si>
    <t>PT60500021</t>
  </si>
  <si>
    <t>PT10400024</t>
  </si>
  <si>
    <t>PT10400020</t>
  </si>
  <si>
    <t>CUBETA VOLTRO MAX POWER  API  25W60</t>
  </si>
  <si>
    <t>ACEITE RUN PWR TRI-SINTETICO SAE 5W50</t>
  </si>
  <si>
    <t xml:space="preserve">RUN PWR DSL CI-4 PLUS/SL 15W40  </t>
  </si>
  <si>
    <t>VOLTRO DIESEL EUROFLEET 3 10W40</t>
  </si>
  <si>
    <t>VOLTRO DIESEL AMERICANFLEET 5W40</t>
  </si>
  <si>
    <t>VOLTRO + PLUS API CI-4 PLUS /SL 15W40</t>
  </si>
  <si>
    <t>VOLTRO® DIESEL SUPER GAS</t>
  </si>
  <si>
    <t>TAMBOR HI-ENERGY API SL SAE 25W-60</t>
  </si>
  <si>
    <t>TAMBOR VOLTRO MAX POWERSAE 25W-60</t>
  </si>
  <si>
    <t xml:space="preserve"> VOLTRO MAX POWER API CH4/SJ 15w40</t>
  </si>
  <si>
    <t>VOLTRO DIESEL SUPER GAS 15W40</t>
  </si>
  <si>
    <t>VOLTRO FORCE API CI-4/SL 15W40</t>
  </si>
  <si>
    <t xml:space="preserve"> VOLTRO PRO CK-4/SN 15W40</t>
  </si>
  <si>
    <t xml:space="preserve"> VOLTRO MAX POWER API CH4/SJ 25w50</t>
  </si>
  <si>
    <t xml:space="preserve"> VOLTRO MAX POWER API CH4/SJ 25w60</t>
  </si>
  <si>
    <t>VOLTRO® FA-4</t>
  </si>
  <si>
    <t>TAMBOR SAE 10W-30</t>
  </si>
  <si>
    <t>PT10000005</t>
  </si>
  <si>
    <t>VOLTRO SUPER PLUS API CJ-4 /SN 15W40</t>
  </si>
  <si>
    <t>VOLTRO® SUPER PLUS SYNTHETIC</t>
  </si>
  <si>
    <t>TAMBOR SAE 5W-30</t>
  </si>
  <si>
    <t xml:space="preserve"> TAMBO TRANSMISION CV BT</t>
  </si>
  <si>
    <t>TRANSMISION GEAR OIL GL-1 SAE 140</t>
  </si>
  <si>
    <t>GEAR OIL EUROFLEET</t>
  </si>
  <si>
    <t>GEARTECH EUROFLEET</t>
  </si>
  <si>
    <t>CUBETA SAE 75W80</t>
  </si>
  <si>
    <t>CUBETA SAE 75W90</t>
  </si>
  <si>
    <t>GEAR MAX</t>
  </si>
  <si>
    <t>CUBETA SAE 80W-140</t>
  </si>
  <si>
    <t>BOT. FULL TREATMENT R-27</t>
  </si>
  <si>
    <t>BOT. CLEAN UP R-27</t>
  </si>
  <si>
    <t>BOT. KEEP CLEAN R-27</t>
  </si>
  <si>
    <t>ANTICONGELANTE DIESEL SUPER CONCENTRADO</t>
  </si>
  <si>
    <t>REFRIGERANTE COOLANT FORCE NOAT</t>
  </si>
  <si>
    <t>TAMBO ROSHFRANS PURE SKY</t>
  </si>
  <si>
    <t>PT07000020</t>
  </si>
  <si>
    <t>PT08200005</t>
  </si>
  <si>
    <t>PT08200016</t>
  </si>
  <si>
    <t>PT08200025</t>
  </si>
  <si>
    <t>PT07300015</t>
  </si>
  <si>
    <t>BOTELLA MOTONIC 4T  SAE 10W-40 JASO SEMI SINTETICO</t>
  </si>
  <si>
    <t>BOTELLA MOTONIC 4T  SAE 10W-50 JASO SEMI SINTETICO</t>
  </si>
  <si>
    <t>PT08800001</t>
  </si>
  <si>
    <t>PT10400023</t>
  </si>
  <si>
    <t>PT08200030</t>
  </si>
  <si>
    <t>PT10300015</t>
  </si>
  <si>
    <t xml:space="preserve">CUBETA MOTONIC 4T  SAE 20W-50 JASO </t>
  </si>
  <si>
    <t>VOLTRO RACING SEMISINTETICO SAE 15W-40</t>
  </si>
  <si>
    <t>PT10900004</t>
  </si>
  <si>
    <t>PT10200001</t>
  </si>
  <si>
    <t>PT10800002</t>
  </si>
  <si>
    <t>PT11800001</t>
  </si>
  <si>
    <t>PT11600001</t>
  </si>
  <si>
    <t>PT12000002</t>
  </si>
  <si>
    <t>PT11300002</t>
  </si>
  <si>
    <t>PT42800010</t>
  </si>
  <si>
    <t>PT42800003</t>
  </si>
  <si>
    <t>PT43200004</t>
  </si>
  <si>
    <t>PT40300002</t>
  </si>
  <si>
    <t>PT40300004</t>
  </si>
  <si>
    <t>PT40200002</t>
  </si>
  <si>
    <t>PT60300001</t>
  </si>
  <si>
    <t>PT60800001</t>
  </si>
  <si>
    <t>PT61100001</t>
  </si>
  <si>
    <t>PT55600004</t>
  </si>
  <si>
    <t>PT55600005</t>
  </si>
  <si>
    <t>PT55600006</t>
  </si>
  <si>
    <t>PT55500004</t>
  </si>
  <si>
    <t>PT55300001</t>
  </si>
  <si>
    <t>PT61200003</t>
  </si>
  <si>
    <t>PT61600004</t>
  </si>
  <si>
    <t>PT60500013</t>
  </si>
  <si>
    <t>PT60500026</t>
  </si>
  <si>
    <t>PT60500025</t>
  </si>
  <si>
    <t>PT10100001</t>
  </si>
  <si>
    <t>PT10000006</t>
  </si>
  <si>
    <t>PT10600007</t>
  </si>
  <si>
    <t>PT11000001</t>
  </si>
  <si>
    <t>VOLTRO FORCE DIESEL S-3 CI-4 20W50</t>
  </si>
  <si>
    <t>PT10900001</t>
  </si>
  <si>
    <t>PT10800001</t>
  </si>
  <si>
    <t>PT11500017</t>
  </si>
  <si>
    <t>PT10700015</t>
  </si>
  <si>
    <t>PT08100009</t>
  </si>
  <si>
    <t>PT08100008</t>
  </si>
  <si>
    <t>PT07900019</t>
  </si>
  <si>
    <t xml:space="preserve">15/0.950 L </t>
  </si>
  <si>
    <t>PT08100027</t>
  </si>
  <si>
    <t xml:space="preserve"> RUN-PWR API SN/ILSAC GF-5 SAE 5W-30</t>
  </si>
  <si>
    <t>PT07900038</t>
  </si>
  <si>
    <t>PT08100031</t>
  </si>
  <si>
    <t>PT07300005</t>
  </si>
  <si>
    <t>PT07300003</t>
  </si>
  <si>
    <t>PT10100004</t>
  </si>
  <si>
    <t>COMERCIAL LA LLOSA</t>
  </si>
  <si>
    <t>PT61600002</t>
  </si>
  <si>
    <t>1000L</t>
  </si>
  <si>
    <t>GRANEL ROSHFRANS PURE SKY</t>
  </si>
  <si>
    <t>PT60500020</t>
  </si>
  <si>
    <t>PT55300002</t>
  </si>
  <si>
    <t>GRANEL REF COOLANT DIESEL</t>
  </si>
  <si>
    <t>PT07300028</t>
  </si>
  <si>
    <t>PT07000025</t>
  </si>
  <si>
    <t>GARRAFA HI-ENERGY API SL SAE 20W-50</t>
  </si>
  <si>
    <t>PT07000026</t>
  </si>
  <si>
    <t>ROSHPACK HI-ENERGY® API SLSAE 25W-50</t>
  </si>
  <si>
    <t>ROSHPACK HI-ENERGY® API SL SAE 25W-50</t>
  </si>
  <si>
    <t>PT07000027</t>
  </si>
  <si>
    <t xml:space="preserve">  LISTA DE PRECIOS  ACTUALIZACION  10 AGOSTO 2024</t>
  </si>
  <si>
    <t>SKU SIRO</t>
  </si>
  <si>
    <t>SKU SAP</t>
  </si>
  <si>
    <t>Descripción</t>
  </si>
  <si>
    <t>División</t>
  </si>
  <si>
    <t>Linea</t>
  </si>
  <si>
    <t>UmULK</t>
  </si>
  <si>
    <t>Estatus Jul'24</t>
  </si>
  <si>
    <t>PRECIO LISTA NVO AGO 2024</t>
  </si>
  <si>
    <t xml:space="preserve">PRECIO LA LLOSA AGO 2024 </t>
  </si>
  <si>
    <t>0.950 L ROSHPACK REFRIGERANTE CLIMATIZADO</t>
  </si>
  <si>
    <t>PT ANTICONGELANTES</t>
  </si>
  <si>
    <t>CLIMATIZADO</t>
  </si>
  <si>
    <t>ACTIVO</t>
  </si>
  <si>
    <t>PT07000024</t>
  </si>
  <si>
    <t>0.950 L ROSHPACK AK HI-ENERGY PLUS API SL SAE 25W-50</t>
  </si>
  <si>
    <t>PT A. MOT SERV LIG</t>
  </si>
  <si>
    <t>HI-ENERGY</t>
  </si>
  <si>
    <t>OBSOLETO</t>
  </si>
  <si>
    <t>0.950 L ROSHPACK REFRIGERANTE COOLANT</t>
  </si>
  <si>
    <t>COOLANT USO DIRECTO</t>
  </si>
  <si>
    <t>0.950 L ROSHPACK FLUIDO ESPECIAL PARA BATERIA</t>
  </si>
  <si>
    <t>PT ESPECIALIDADES</t>
  </si>
  <si>
    <t>AGUA PARA BATERIA</t>
  </si>
  <si>
    <t>PT06900001</t>
  </si>
  <si>
    <t>0.950 L ROSHPACK HD HEAVY DUTY PLUS API SL SAE 40</t>
  </si>
  <si>
    <t>HEAVY DUTY</t>
  </si>
  <si>
    <t>19.000 L CUBETA TRANSMISION CAT ALI SAE 10 W</t>
  </si>
  <si>
    <t>PT A.TRANSMISIONES</t>
  </si>
  <si>
    <t>TRANSMISION CAT-ALI</t>
  </si>
  <si>
    <t>19.000 L CUBETA TRANSMISION CAT ALI SAE 50</t>
  </si>
  <si>
    <t>PT06900003</t>
  </si>
  <si>
    <t>3.800 L PROMO ROSHPACK HD HEAVY DUTY PLUS API SL SAE 40</t>
  </si>
  <si>
    <t>PT60500001</t>
  </si>
  <si>
    <t>3.800 L PROMO ROSHPACK LIQUIDO LIMPIAPARABRISAS ELIT CAR CARE</t>
  </si>
  <si>
    <t>COSMETICOS</t>
  </si>
  <si>
    <t>0.950 L ROSHPACK GEAR OIL API GL-1 SAE 140</t>
  </si>
  <si>
    <t>GEAR OIL</t>
  </si>
  <si>
    <t>PT12400006</t>
  </si>
  <si>
    <t>0.950 L ROSHPACK TRANSMISION AUTOMATICA ATF DEXRON II</t>
  </si>
  <si>
    <t>TRANSMISION AUTOMATICA ATF</t>
  </si>
  <si>
    <t>PT06900004</t>
  </si>
  <si>
    <t>3.800 L 4PACK ROSHPACK HEAVY DUTY PLUS SAE 20W-50</t>
  </si>
  <si>
    <t>0.950 L ROSHPACK GEAR OIL  API GL-1  SAE 90</t>
  </si>
  <si>
    <t>PT07400001</t>
  </si>
  <si>
    <t>0.950 L ROSHPACK MOTORMATIC RHF-15 SAE 40</t>
  </si>
  <si>
    <t>MOTORMATIC</t>
  </si>
  <si>
    <t>PT55200001</t>
  </si>
  <si>
    <t>0.950 L ROSHPACK ANTICONGELANTE CONCENTRADO</t>
  </si>
  <si>
    <t>CONCENTRADO</t>
  </si>
  <si>
    <t>PT10700001</t>
  </si>
  <si>
    <t>19.000 L CUBETA VOLTRO RAS SERIE 3 API CF SAE 40</t>
  </si>
  <si>
    <t>PT A. MOT SERV PES</t>
  </si>
  <si>
    <t>VOLTRO RAS SERIES 3</t>
  </si>
  <si>
    <t>PT09400001</t>
  </si>
  <si>
    <t>19.000 L CUBETA MOTORMATIC DIESEL RHF-20 SAE 40</t>
  </si>
  <si>
    <t>MOTORMATIC DIESEL</t>
  </si>
  <si>
    <t>PT10700002</t>
  </si>
  <si>
    <t>200.000 L TAMBOR VOLTRO RAS SERIES 3 API CF/CF-2 SAE 40</t>
  </si>
  <si>
    <t>PT12400001</t>
  </si>
  <si>
    <t>19.000 L CUBETA TRANSMISION AUTOMATICA ATF DEXRON II</t>
  </si>
  <si>
    <t>PT12400002</t>
  </si>
  <si>
    <t>200.000 L TAMBOR TRANSMISION AUTOMATICA ATF DEXRON II</t>
  </si>
  <si>
    <t>PT07600001</t>
  </si>
  <si>
    <t>0.950 L ROSHPACK TI-22 API SN SAE 50</t>
  </si>
  <si>
    <t>ROSHFRANS Ti-22</t>
  </si>
  <si>
    <t>19.000 L CUBETA MULTITRANS P TRANSMISION STD API GL-4 SAE 90</t>
  </si>
  <si>
    <t>MULTI TRANS STD</t>
  </si>
  <si>
    <t>19.000 L CUBETA MULTITRANS P TRANSMISION STD API GL-4 SAE 140</t>
  </si>
  <si>
    <t>19.000 L CUBETA MULTITRANS P TRANSMISION STD API GL-4 SAE 250</t>
  </si>
  <si>
    <t>PT60900001</t>
  </si>
  <si>
    <t>0.250 L  BOTELLA ADITIVO GAS CLEAN</t>
  </si>
  <si>
    <t>GAS CLEAN</t>
  </si>
  <si>
    <t>200.000 L TAMBOR MULTITRANS P TRANSMISION STD API GL-4 SAE 90</t>
  </si>
  <si>
    <t>200.000 L TAMBOR MULTITRANS P TRANSMISION STD API GL-4 SAE 140</t>
  </si>
  <si>
    <t>200.000 L TAMBOR MULTITRANS P TRANSMISION STD API GL-4 SAE 250</t>
  </si>
  <si>
    <t>PT07000001</t>
  </si>
  <si>
    <t>3.800 L ROSHPACK PROMO AAA FULL AK HI-ENERGY API SL SAE 25W-50</t>
  </si>
  <si>
    <t>PT07000002</t>
  </si>
  <si>
    <t>3.800 L ROSHPACK PROMO 2 AAA  FULL AK HI- ENERGY API SL SAE 25W-50</t>
  </si>
  <si>
    <t>PT07000003</t>
  </si>
  <si>
    <t>3.800 L ROSHPACK PROMO 3 AAA FULL AK HI-ENERGY API SL SAE 25W-50</t>
  </si>
  <si>
    <t>19.000 L CUBETA SUPER GEAR OIL API GL-5 SAE 90</t>
  </si>
  <si>
    <t>SUPER GEAR OIL</t>
  </si>
  <si>
    <t>19.000 L CUBETA SUPER GEAR OIL API GL-5 SAE 140</t>
  </si>
  <si>
    <t>19.000 L CUBETA SUPER GEAR OIL API GL-5 SAE 250</t>
  </si>
  <si>
    <t>200.000 L TAMBOR SUPER GEAR OIL API GL-5 SAE 90</t>
  </si>
  <si>
    <t>200.000 L TAMBOR SUPER GEAR OIL API GL-5 SAE 140</t>
  </si>
  <si>
    <t>200.000 L TAMBOR SUPER GEAR OIL API GL-5 SAE 250</t>
  </si>
  <si>
    <t>PT06800001</t>
  </si>
  <si>
    <t>0.950 L BOTELLA NAUTIC 4 TIEMPOS NMMA FC-W SAE 10W-30</t>
  </si>
  <si>
    <t>4 TIEMPOS NAUTIC</t>
  </si>
  <si>
    <t>PT06800002</t>
  </si>
  <si>
    <t>0.950 L BOTELLA NAUTIC 4 TIEMPOS NMMA FC-W SAE 25W-40</t>
  </si>
  <si>
    <t>PT07200001</t>
  </si>
  <si>
    <t>19.000 L CUBETA MOTONIC 2 TIEMPOS API TC</t>
  </si>
  <si>
    <t>MOTONIC 2 TIEMPOS</t>
  </si>
  <si>
    <t>PT07200002</t>
  </si>
  <si>
    <t>200.000 L TAMBOR MOTONIC 2 TIEMPOS API TC</t>
  </si>
  <si>
    <t>0.950 L BOTELLA SUPER GEAR OIL SAE 85W-140</t>
  </si>
  <si>
    <t>5.000 L GARRAFA SUPER GEAR OIL GL-5  SAE 85W-140</t>
  </si>
  <si>
    <t>0.950 L BOTELLA GEAR OIL API GL-1 SAE 90</t>
  </si>
  <si>
    <t>5.000 L GARRAFA GEAR OIL API GL-1 SAE 90</t>
  </si>
  <si>
    <t>19.000 L CUBETA GEAR OIL API GL-1 SAE 90</t>
  </si>
  <si>
    <t>200.000 L TAMBOR GEAR OIL API GL-1 SAE 90</t>
  </si>
  <si>
    <t>0.950 L BOTELLA GEAR OIL API GL-1 SAE 140</t>
  </si>
  <si>
    <t>5.000 L GARRAFA GEAR OIL API GL-1 SAE 140</t>
  </si>
  <si>
    <t>19.000 L CUBETA GEAR OIL API GL-1 SAE 140</t>
  </si>
  <si>
    <t>200.000 L TAMBOR GEAR OIL API GL-1 SAE 140</t>
  </si>
  <si>
    <t>0.950 L BOTELLA SUPER GEAR OIL API GL-5 SAE 80W-90</t>
  </si>
  <si>
    <t>5.000 L GARRAFA SUPER GEAR OIL GL-5 SAE 80W-90</t>
  </si>
  <si>
    <t>0.950 L BOTELLA GEAR OIL API GL-1 SAE 250</t>
  </si>
  <si>
    <t>5.000 L GARRAFA GEAR OIL API GL-1 SAE 250</t>
  </si>
  <si>
    <t>19.000 L CUBETA GEAR OIL API GL-1 SAE 250</t>
  </si>
  <si>
    <t>200.000 L TAMBOR GEAR OIL API GL-1 SAE 250</t>
  </si>
  <si>
    <t>19.000 L CUBETA SUPER TRACTOR MULTIPROPOSITO</t>
  </si>
  <si>
    <t>PT A.HIDRAULICOS</t>
  </si>
  <si>
    <t>TRACTOR</t>
  </si>
  <si>
    <t>PT00400001</t>
  </si>
  <si>
    <t>1.000 L GRANEL SUPER TRACTOR MULTIPROPOSITO</t>
  </si>
  <si>
    <t>HIDRAULICO MULTIUSOS</t>
  </si>
  <si>
    <t>200.000 L TAMBOR SUPER TRACTOR MULTIPROPOSITO</t>
  </si>
  <si>
    <t>PT00100002</t>
  </si>
  <si>
    <t>200.000 L TAMBOR ROSHFRANS DIELECTRIC</t>
  </si>
  <si>
    <t>PT A. DIELECTRICOS</t>
  </si>
  <si>
    <t>DIELECTRIC</t>
  </si>
  <si>
    <t>0.250 KG TARRO GRASA GRAFITADA FIBROSA CR</t>
  </si>
  <si>
    <t>PT GRASAS</t>
  </si>
  <si>
    <t>GRAFITADA FIBROSA CR</t>
  </si>
  <si>
    <t>0.425 KG TARRO GRASA GRAFITADA FIBROSA CR</t>
  </si>
  <si>
    <t>0.850 KG TARRO GSA GRAF FIBROSA CR</t>
  </si>
  <si>
    <t>16.000 KG CUBETA GRASA GRAFITADA FIBROSA CR</t>
  </si>
  <si>
    <t>170.000 KG TAMBOR GRASA GRAFITADA FIBROSA CR</t>
  </si>
  <si>
    <t>PT42800001</t>
  </si>
  <si>
    <t>16.000 KG CUBETA GRASA CHASIS 1 CR</t>
  </si>
  <si>
    <t>CHASIS</t>
  </si>
  <si>
    <t>16.000 KG CUBETA GRASA CHASIS 2 CR</t>
  </si>
  <si>
    <t>16.000 KG CUBETA GRASA CHASIS 3 CR</t>
  </si>
  <si>
    <t>PT42800004</t>
  </si>
  <si>
    <t>170.000 KG TAMBOR GRASA CHASIS 1 CR</t>
  </si>
  <si>
    <t>170.000 KG TAMBOR GRASA CHASIS 2 CR</t>
  </si>
  <si>
    <t>170.000 KG TAMBOR GRASA CHASIS 3 CR</t>
  </si>
  <si>
    <t>0.250 KG TARRO GRASA BAT 3</t>
  </si>
  <si>
    <t>BAT</t>
  </si>
  <si>
    <t>0.425 KG TARRO GRASA BAT 3</t>
  </si>
  <si>
    <t>0.850 KG TARRO GRASA BAT 3</t>
  </si>
  <si>
    <t>16.000 KG CUBETA GRASA BAT 3</t>
  </si>
  <si>
    <t>170.000 KG TAMBOR GRASA BAT 3</t>
  </si>
  <si>
    <t>16.000 KG CUBETA GRASA BALIT PLUS 2</t>
  </si>
  <si>
    <t>BALIT EP</t>
  </si>
  <si>
    <t>170.000 KG TAMBOR GRASA BALIT PLUS</t>
  </si>
  <si>
    <t>PT40000001</t>
  </si>
  <si>
    <t>3.500 KG CUBETA GRASA BALIT</t>
  </si>
  <si>
    <t>BALIT</t>
  </si>
  <si>
    <t>PT40000002</t>
  </si>
  <si>
    <t>7.000 KG CUBETA GRASA BALIT</t>
  </si>
  <si>
    <t>PT40000003</t>
  </si>
  <si>
    <t>16.000 KG CUBETA GRASA BALIT 2</t>
  </si>
  <si>
    <t>PT40000004</t>
  </si>
  <si>
    <t>170.000 KG TAMBOR GRASA BALIT</t>
  </si>
  <si>
    <t>16.000 KG CUBETA GRASA BALIT COMPLEX PLUS 2</t>
  </si>
  <si>
    <t>BALIT COMPLEX EP</t>
  </si>
  <si>
    <t>170.000 KG TAMBOR GRASA BALIT COMPLEX PLUS</t>
  </si>
  <si>
    <t>PT07200003</t>
  </si>
  <si>
    <t>0.950 L BOTELLA MOTONIC 2 TIEMPOS API TC.</t>
  </si>
  <si>
    <t>PT09800001</t>
  </si>
  <si>
    <t>1.000 L GRANEL ACEITE SINTETICO VOLTRO CNG SAE 10W-40</t>
  </si>
  <si>
    <t>SINTETICO VOLTRO</t>
  </si>
  <si>
    <t>PT09800003</t>
  </si>
  <si>
    <t>200.000 L TAMBOR ACEITE SINTETICO VOLTRO CNG SAE 10W-40</t>
  </si>
  <si>
    <t>PT07700001</t>
  </si>
  <si>
    <t>5.000 L GARRAFA Ti-22m API SN SAE 15W-40</t>
  </si>
  <si>
    <t>ROSHFRANS Ti-22m</t>
  </si>
  <si>
    <t>PT07700002</t>
  </si>
  <si>
    <t>19.000 L CUBETA Ti-22m API SN SAE 15W-40</t>
  </si>
  <si>
    <t>PT07700004</t>
  </si>
  <si>
    <t>19.000 L CUBETA Ti-22m API SN SAE 20W-50</t>
  </si>
  <si>
    <t>PT07700005</t>
  </si>
  <si>
    <t>200.000 L TAMBOR Ti-22m API SN SAE 20W-50</t>
  </si>
  <si>
    <t>PT08500001</t>
  </si>
  <si>
    <t>0.950 L BOTELLA  Ti-22 SINTETICO API SN ILSAC GF-5 SAE 10W-30</t>
  </si>
  <si>
    <t>SINTETICO ROSHFRANS Ti-22</t>
  </si>
  <si>
    <t>PT08500002</t>
  </si>
  <si>
    <t>19.000 L CUBETA Ti-22 SINTETICO API SN ILSAC GF-5 SAE 10W-30</t>
  </si>
  <si>
    <t>PT08500003</t>
  </si>
  <si>
    <t>200.000 L TAMBOR  Ti-22 SINTETICO API SN ILSAC GF-5 SAE 10W-30</t>
  </si>
  <si>
    <t>PT12100001</t>
  </si>
  <si>
    <t>19.000 L CUBETA ACEITE GEAR PLUS CD-50</t>
  </si>
  <si>
    <t>SINTETICO GEAR PLUS</t>
  </si>
  <si>
    <t>PT60500003</t>
  </si>
  <si>
    <t>0.950 L ROSHPACK LIQUIDO LIMPIAPARABRISAS USO DIRECTO</t>
  </si>
  <si>
    <t>0.443 L BOTE ADITIVO ROSHFRANS PREMIUM</t>
  </si>
  <si>
    <t>ROSHFRANS</t>
  </si>
  <si>
    <t>PT61700002</t>
  </si>
  <si>
    <t>0.443 L BOTE ADITIVO ROSHFRANS MEDIUM   6 PZAS</t>
  </si>
  <si>
    <t>PT61700003</t>
  </si>
  <si>
    <t>0.443 L BOTE ADITIVO ROSHFRANS HEAVY</t>
  </si>
  <si>
    <t>19.000 L CUBETA MOTONIC 4 TIEMPOS SAE 15W 40</t>
  </si>
  <si>
    <t>MOTONIC 4 TIEMPOS</t>
  </si>
  <si>
    <t>PT07300004</t>
  </si>
  <si>
    <t>19.000 L CUBETA MOTONIC 4 TIEMPOS SAE 20W 50</t>
  </si>
  <si>
    <t>0.950 L BOTELLA MOTONIC 4 TIEMPOS SAE 15W 40</t>
  </si>
  <si>
    <t>PT07400002</t>
  </si>
  <si>
    <t>200.000 L TAMBOR MOTORMATIC RHF-15 SAE 25W-60</t>
  </si>
  <si>
    <t>0.440 L BOTE ADITIVO MC-2</t>
  </si>
  <si>
    <t>MC-2</t>
  </si>
  <si>
    <t>PT61400004</t>
  </si>
  <si>
    <t>0.950 L BOTE ADITIVO MC-2</t>
  </si>
  <si>
    <t>19.000 L CUBETA ANTICONGELANTE VOLTRO CONCENTRADO</t>
  </si>
  <si>
    <t>VOLTRO CONCENTRADO</t>
  </si>
  <si>
    <t>200.000 L TAMBOR LIQUIDO PARA FRENOS DOT-3</t>
  </si>
  <si>
    <t>LPF 3</t>
  </si>
  <si>
    <t>PT55000002</t>
  </si>
  <si>
    <t>0.950 L GARRAFA REFRIGERANTE CLIMATIZADO</t>
  </si>
  <si>
    <t>PT55100001</t>
  </si>
  <si>
    <t>1.000 L GRANEL REFRIGERANTE ROSHFRANS CLIMATIZADO DIESEL</t>
  </si>
  <si>
    <t>CLIMATIZADO DIESEL</t>
  </si>
  <si>
    <t>PT55500001</t>
  </si>
  <si>
    <t>1.000 L GRANEL REFRIGERANTE ROSHFRANS COOLANT DIESEL LONG LIFE</t>
  </si>
  <si>
    <t>DIESEL LONG LIFE</t>
  </si>
  <si>
    <t>200.000 L TAMBOR REFRIGERANTE ROSHFRANS COOLANT DIESEL LONG LIFE</t>
  </si>
  <si>
    <t>19.000 L CUB REFRIGERANTE ROSHFRANS COOLANT DIESEL LONG LIFE</t>
  </si>
  <si>
    <t>3.785 L GARRAFA REFRIGERANTE ROSHFRANS COOLANT DIESEL LONG LIFE</t>
  </si>
  <si>
    <t>PT08500004</t>
  </si>
  <si>
    <t>0.950 L BOTELLA Ti-22 100 API SN/ILSAC GF-5 SAE 5W-30  EXPORTACION</t>
  </si>
  <si>
    <t>PT55200003</t>
  </si>
  <si>
    <t>200.000 L TAMBOR ANTICONGELANTE CONCENTRADO</t>
  </si>
  <si>
    <t>PT55200004</t>
  </si>
  <si>
    <t>3.785 L GARRAFA ANTICONGELANTE CONCENTRADO</t>
  </si>
  <si>
    <t>PT55400002</t>
  </si>
  <si>
    <t>3.785 L GARRAFA REFRIGERANTE COOLANT</t>
  </si>
  <si>
    <t>1.000 L GRANEL REFRIGERANTE COOLANT</t>
  </si>
  <si>
    <t>200.000 L TAMBOR ANTICONGELANTE VOLTRO CONCENTRADO</t>
  </si>
  <si>
    <t>1.000 L GRANEL VOLTRO EUROFLEET 3 SAE 10W-40</t>
  </si>
  <si>
    <t>VOLTRO EUROFLEET 3</t>
  </si>
  <si>
    <t>19.000 L CUBETA VOLTRO EUROFLEET 3 SAE 10W-40</t>
  </si>
  <si>
    <t>200.000 L TAMBOR VOLTRO EUROFLEET 3 SAE 10W-40</t>
  </si>
  <si>
    <t>PT10000001</t>
  </si>
  <si>
    <t>1.000 L GRANEL SINTETICO VOLTRO AMERICANFLEET API CJ-4/SN SAE 5W-40</t>
  </si>
  <si>
    <t>VOLTRO AMERICANFLEET</t>
  </si>
  <si>
    <t>PT10000002</t>
  </si>
  <si>
    <t>19.000 L CUBETA  SINTETICO VOLTRO AMERICANFLEET API CJ-4/SN SAE 5W-40</t>
  </si>
  <si>
    <t>PT10000003</t>
  </si>
  <si>
    <t>200.000 L TAMBOR  SINTETICO VOLTRO AMERICANFLEET API CJ-4/SN SAE 5W-40</t>
  </si>
  <si>
    <t>PT43100006</t>
  </si>
  <si>
    <t>7.000 KG CUBETA GRASA GRAFITADA FIBROSA CR</t>
  </si>
  <si>
    <t>PT42800007</t>
  </si>
  <si>
    <t>7.000 KG CUBETA GRASA CHASIS 2 CR</t>
  </si>
  <si>
    <t>PT40400006</t>
  </si>
  <si>
    <t>7.000 KG CUBETA GRASA BAT 3</t>
  </si>
  <si>
    <t>PT10400001</t>
  </si>
  <si>
    <t>5.000 L GARRAFA Ti-22 DSL API CF SAE 20W-50</t>
  </si>
  <si>
    <t>VOLTRO MAX POWER</t>
  </si>
  <si>
    <t>PT10400004</t>
  </si>
  <si>
    <t>200.000 L TAMBOR Ti-22 DSL API CF SAE 15W-40</t>
  </si>
  <si>
    <t>PT10300001</t>
  </si>
  <si>
    <t>1.000 L GRANEL VOLTRO DIESEL FORCE API CI-4/SL SAE 15W-40</t>
  </si>
  <si>
    <t>VOLTRO FORCE</t>
  </si>
  <si>
    <t>PT10300002</t>
  </si>
  <si>
    <t>200.000 L TAMBOR VOLTRO DIESEL FORCE API CI-4/SL SAE 15W-40</t>
  </si>
  <si>
    <t>PT10600001</t>
  </si>
  <si>
    <t>200.000 L TAMBOR  SEMISINTETICO VOLTRO PRO API CJ-4/SN SAE 15W-40</t>
  </si>
  <si>
    <t>VOLTRO PRO</t>
  </si>
  <si>
    <t>PT40300003</t>
  </si>
  <si>
    <t>7.000 KG CUBETA GRASA BALIT PLUS</t>
  </si>
  <si>
    <t>PT08500005</t>
  </si>
  <si>
    <t>19.000 L CUBETA ROSHFRANS Ti-22 API SM SAE 10W-40</t>
  </si>
  <si>
    <t>PT10300003</t>
  </si>
  <si>
    <t>200.000 L TAMBOR VOLTRO DIESEL FORCE API CI-4/SL SAE 20W-50</t>
  </si>
  <si>
    <t>5.000 L GARRAFA SUPER ATF DEX-III-MERC</t>
  </si>
  <si>
    <t>SUPER-ATF</t>
  </si>
  <si>
    <t>PT12400003</t>
  </si>
  <si>
    <t>0.950 L BOTELLA TRANSMISION AUTOMATICA ATF DEXRON II</t>
  </si>
  <si>
    <t>0.950 L BOTELLA ATF ALLPOWER MULTIVEHICULOS</t>
  </si>
  <si>
    <t>ATF ALL POWER MULTIVEHICULOS</t>
  </si>
  <si>
    <t>0.950 L BOTELLA SUPER ATF DEX-III-MERC</t>
  </si>
  <si>
    <t>19.000 L CUBETA SUPER ATF DEX-III-MERC</t>
  </si>
  <si>
    <t>200.000 L TAMBOR SUPER ATF DEX-III-MERC</t>
  </si>
  <si>
    <t>PT08300001</t>
  </si>
  <si>
    <t>0.950 L BOTELLA SPEED RACING GT SEMISINTETICO API SM SAE 10W-50</t>
  </si>
  <si>
    <t>SEMI SINTETICO SPEED RACING</t>
  </si>
  <si>
    <t>PT11200002</t>
  </si>
  <si>
    <t>200.000 L TAMBOR ATF ALLPOWER MULTIVEHICULOS</t>
  </si>
  <si>
    <t>PT11200003</t>
  </si>
  <si>
    <t>1.000 L GRANEL ATF ALLPOWER MULTIVEHICULOS</t>
  </si>
  <si>
    <t>0.950 L ROSHPACK TRANSMISION AUTOMATICA SUPER ATF DEXRON-III</t>
  </si>
  <si>
    <t>PT07000004</t>
  </si>
  <si>
    <t>4.000 L ROSHPACK  HI ENERGY API SL SAE 25W-50</t>
  </si>
  <si>
    <t>4.000 L ROSHPACK HI-ENERGY API SL SAE  20W-50</t>
  </si>
  <si>
    <t>4.000 L ROSHPACK SUPER HD API SL SAE 40</t>
  </si>
  <si>
    <t>4.000 L ROSHPACK SUPER HD API SL SAE 50</t>
  </si>
  <si>
    <t>4.000 L ROSHPACK SUPER HD API SL SAE 60</t>
  </si>
  <si>
    <t>PT12400004</t>
  </si>
  <si>
    <t>5.000 L GARRAFA TRANSMISION AUTOMATICA ATF DEXRON II</t>
  </si>
  <si>
    <t>PT11900007</t>
  </si>
  <si>
    <t>5.000 L GARRAFA MULTITRANS P TRANSMISION STD API GL-4 SAE 90</t>
  </si>
  <si>
    <t>PT11900008</t>
  </si>
  <si>
    <t>5.000 L GARRAFA MULTITRANS P TRANSMISION STD API GL-4 SAE 250</t>
  </si>
  <si>
    <t>PT12200011</t>
  </si>
  <si>
    <t>1.000 L GRANEL SUPER GEAR OIL API GL-5 SAE 90</t>
  </si>
  <si>
    <t>PT12200012</t>
  </si>
  <si>
    <t>1.000 L GRANEL SUPER GEAR OIL API GL-5 SAE 140</t>
  </si>
  <si>
    <t>PT07300006</t>
  </si>
  <si>
    <t>1.000 L GRANEL MOTONIC 4 TIEMPOS JASO MA2 SAE 20W-50</t>
  </si>
  <si>
    <t>PT06800003</t>
  </si>
  <si>
    <t>19.000 L CUBETA NAUTIC 4 TIEMPOS NMMA FC-W SAE 25W-40</t>
  </si>
  <si>
    <t>PT09900001</t>
  </si>
  <si>
    <t>1.000 L GRANEL VOLTRO + PLUS API CI-4 PLUS/SL SAE 15W-40</t>
  </si>
  <si>
    <t>VOLTRO + PLUS</t>
  </si>
  <si>
    <t>3.500 KG CUBETA GRASA GRAFITADA FIBROSA CR</t>
  </si>
  <si>
    <t>PT42800008</t>
  </si>
  <si>
    <t>3.500 KG CUBETA GRASA CHASIS 1 CR</t>
  </si>
  <si>
    <t>3.500 KG CUBETA GRASA CHASIS 2 CR</t>
  </si>
  <si>
    <t>3.500 KG CUBETA GRASA BAT 3</t>
  </si>
  <si>
    <t>3.500 KG CUBETA GRASA CHASIS 3 CR</t>
  </si>
  <si>
    <t>0.250 KG TARRO GRASA JUNTAS HOMOCINETICAS</t>
  </si>
  <si>
    <t>JUNTAS HOMOCINETICAS</t>
  </si>
  <si>
    <t>PT10700004</t>
  </si>
  <si>
    <t>19.000 L CUBETA VOLTRO RAS SERIES 3 API CF SAE 50</t>
  </si>
  <si>
    <t>PT55200005</t>
  </si>
  <si>
    <t>0.950 L GARRAFA ANTICONGELANTE CONCENTRADO</t>
  </si>
  <si>
    <t>19.000 L CUBETA VOLTRO FORCE API CI-4/SL SAE 15W-40</t>
  </si>
  <si>
    <t>200.000 L TAMBOR VOLTRO FORCE API CI-4/SL SAE 15W-40</t>
  </si>
  <si>
    <t>19.000 L CUBETA VOLTRO FORCE API CI-4/SL  SAE 20W-50</t>
  </si>
  <si>
    <t>200.000 L TAMBOR  VOLTRO FORCE API CI-4/SL SAE 20W-50</t>
  </si>
  <si>
    <t>PT10700005</t>
  </si>
  <si>
    <t>200.000 L TAMBOR VOLTRO RAS SERIES 3 API CF/CF-2 SAE 50</t>
  </si>
  <si>
    <t>PT10700006</t>
  </si>
  <si>
    <t>5.000 L GARRAFA VOLTRO RAS SERIES 3 API CF/CF-2 SAE 40</t>
  </si>
  <si>
    <t>19.000 L CUBETA REFRIGERANTE COOLANT</t>
  </si>
  <si>
    <t>PT12600001</t>
  </si>
  <si>
    <t>1.000 L GRANEL ACEITE VOLTRO GEAR API GL-5 SAE 80W-90</t>
  </si>
  <si>
    <t>VOLTRO GEAR</t>
  </si>
  <si>
    <t>PT12700001</t>
  </si>
  <si>
    <t>1.000 L GRANEL ACEITE VOLTRO SUPER GEAR API GL-5 SAE 85W-140</t>
  </si>
  <si>
    <t>VOLTRO SUPER GEAR</t>
  </si>
  <si>
    <t>PT11500016</t>
  </si>
  <si>
    <t>19.000 L CUBETA ACEITE VOLTRO SUPER GEAR API GL-5 SAE 85W-140</t>
  </si>
  <si>
    <t>PT12600002</t>
  </si>
  <si>
    <t>200.000 L TAMBOR ACEITE VOLTRO GEAR API GL-5 SAE 80W-90</t>
  </si>
  <si>
    <t>PT12700002</t>
  </si>
  <si>
    <t>200.000 L TAMBOR ACEITE VOLTRO SUPER GEAR API GL-5 SAE 85W-140</t>
  </si>
  <si>
    <t>200.000 L TAMBOR REFRIGERANTE COOLANT</t>
  </si>
  <si>
    <t>200.000 L TAMBOR REFRIGERANTE COOLANT FORCE NOAT</t>
  </si>
  <si>
    <t>COOLANT FORCE NOAT</t>
  </si>
  <si>
    <t>1.000 L GRANEL REFRIGERANTE COOLANT FORCE NOAT</t>
  </si>
  <si>
    <t>PT10700007</t>
  </si>
  <si>
    <t>5.000 L GARRAFA VOLTRO RAS SERIES 3 API CF/CF-2 SAE 50</t>
  </si>
  <si>
    <t>0.950 L BOTELLA HIDRAULICO ANTIDESGASTE AW ISO VG 68</t>
  </si>
  <si>
    <t>HIDRAULICO</t>
  </si>
  <si>
    <t>PT00400002</t>
  </si>
  <si>
    <t>0.950 L BOTELLA HIDRAULICO TRACTOR MULTIUSOS</t>
  </si>
  <si>
    <t>5.000 L GARRAFA HIDRAULICO ANTIDESGASTE AW ISO VG 68</t>
  </si>
  <si>
    <t>16.000 KG CUBETA GRASA JUNTAS HOMOCINETICAS</t>
  </si>
  <si>
    <t>PT60200001</t>
  </si>
  <si>
    <t>0.310 L BOTELLA ADITIVO ARRANCADOR PARA MOTORES</t>
  </si>
  <si>
    <t>ARRANCADOR</t>
  </si>
  <si>
    <t>INACTIVO</t>
  </si>
  <si>
    <t>0.350 L BOTELLA FLUIDO PARA DIRECCION HIDRAULICA</t>
  </si>
  <si>
    <t>DIRECCION HIDRAULICA</t>
  </si>
  <si>
    <t>19.000 L CUBETA REFRIGERANTE CLIMATIZADO</t>
  </si>
  <si>
    <t>PT00200001</t>
  </si>
  <si>
    <t>1.000 L GRANEL HIDRATEC H-300 ISO VG 68</t>
  </si>
  <si>
    <t>HIDRATEC</t>
  </si>
  <si>
    <t>200.000 L TAMBOR HIDRATEC H-300 ISO VG 68</t>
  </si>
  <si>
    <t>19.000 L CUBETA HIDRATEC H-300 ISO VG 68</t>
  </si>
  <si>
    <t>19.000 L CUBETA GEARTECH EUROFLEET SAE 75W-90</t>
  </si>
  <si>
    <t>PT11800002</t>
  </si>
  <si>
    <t>200.000 L TAMBOR ACEITE GEARTECH EUROFLEET SAE 75W-90</t>
  </si>
  <si>
    <t>19.000 L CUBETA ACEITE GEAR OIL EUROFLEET SAE 75W-80</t>
  </si>
  <si>
    <t>19.000 L CUBETA SUPER GEAR OIL API GL-5 SAE 85W-140</t>
  </si>
  <si>
    <t>200.000 L TAMBOR SUPER GEAR OIL API GL-5 SAE 85W-140</t>
  </si>
  <si>
    <t>3.500 KG CUBETA GRASA BALIT PLUS</t>
  </si>
  <si>
    <t>19.000 L CUBETA ATF ALLPOWER MULTIVEHICULOS</t>
  </si>
  <si>
    <t>0.425 KG TARRO GRASA JUNTAS HOMOCINETICAS</t>
  </si>
  <si>
    <t>PT40300005</t>
  </si>
  <si>
    <t>7.000 KG CUBETA GRASA BALIT EP 3</t>
  </si>
  <si>
    <t>PT40300006</t>
  </si>
  <si>
    <t>16.000 KG CUBETA GRASA BALIT EP 3</t>
  </si>
  <si>
    <t>PT11400001</t>
  </si>
  <si>
    <t>200.000 L TAMBOR ACEITE GEAR PLUS CD-50</t>
  </si>
  <si>
    <t>PT12000001</t>
  </si>
  <si>
    <t>200.000 L TAMBOR ACEITE GEAR MAX API GL-5 80W-140</t>
  </si>
  <si>
    <t>SINTETICO GEAR MAX</t>
  </si>
  <si>
    <t>19.000 L CUBETA GEAR MAX API GL-5 80W-140</t>
  </si>
  <si>
    <t>PT11700001</t>
  </si>
  <si>
    <t>19.000 L CUBETA GEAR PLUS CD-700</t>
  </si>
  <si>
    <t>GEAR PLUS</t>
  </si>
  <si>
    <t>PT11700002</t>
  </si>
  <si>
    <t>200.000 L TAMBOR ACEITE GEAR PLUS CD-700</t>
  </si>
  <si>
    <t>200.000 L TAMBOR SUPER GEAR OIL API GL-5 SAE 80W-90</t>
  </si>
  <si>
    <t>170.000 KG TAMBOR GRASA JUNTAS HOMOCINETICAS</t>
  </si>
  <si>
    <t>PT06900010</t>
  </si>
  <si>
    <t>0.950 L BOTELLA HD HEAVY DUTY PLUS API SL SAE 50</t>
  </si>
  <si>
    <t>PT06900011</t>
  </si>
  <si>
    <t>5.000 L GARRAFA HD HEAVY DUTY PLUS API SL SAE 50</t>
  </si>
  <si>
    <t>PT06900012</t>
  </si>
  <si>
    <t>0.950 L BOTELLA HD HEAVY DUTY PLUS API SL SAE 60</t>
  </si>
  <si>
    <t>PT06900013</t>
  </si>
  <si>
    <t>5.000 L GARRAFA HD HEAVY DUTY PLUS API SL SAE 60</t>
  </si>
  <si>
    <t>PT06900014</t>
  </si>
  <si>
    <t>19.000 L CUBETA HD HEAVY DUTY PLUS API SL SAE 50</t>
  </si>
  <si>
    <t>PT06900015</t>
  </si>
  <si>
    <t>200.000 L TAMBOR HD HEAVY DUTY PLUS API SL SAE 50</t>
  </si>
  <si>
    <t>PT06900016</t>
  </si>
  <si>
    <t>19.000 L CUBETA HD HEAVY DUTY PLUS API SL SAE 60</t>
  </si>
  <si>
    <t>PT07500001</t>
  </si>
  <si>
    <t>200.000 L TAMBOR ROSHFRANS RACING API SL SAE 20W-50 AMBAR</t>
  </si>
  <si>
    <t>ROSHFRANS RACING</t>
  </si>
  <si>
    <t>19.000 L CUBETA SUPER GEAR OIL API GL-5 SAE 80W-90</t>
  </si>
  <si>
    <t>PT06900017</t>
  </si>
  <si>
    <t>5.000 L GARRAFA HD HEAVY DUTY PLUS API SL SAE 40</t>
  </si>
  <si>
    <t>PT06900018</t>
  </si>
  <si>
    <t>0.950 L BOTELLA HD HEAVY DUTY PLUS API SL SAE 40</t>
  </si>
  <si>
    <t>PT07500002</t>
  </si>
  <si>
    <t>0.950 L BOTELLA ROSHFRANS RACING API SL SAE 15W-40</t>
  </si>
  <si>
    <t>PT60600001</t>
  </si>
  <si>
    <t>0.250 L BOTELLA ADITIVO DIESEL CLEAN YECTOR</t>
  </si>
  <si>
    <t>DIESEL CLEAN YECTOR</t>
  </si>
  <si>
    <t>PT06900019</t>
  </si>
  <si>
    <t>19.000 L CUBETA HD HEAVY DUTY PLUS API SL SAE 40</t>
  </si>
  <si>
    <t>PT07500003</t>
  </si>
  <si>
    <t>19.000 L CUBETA ROSHFRANS RACING API SL SAE 15W-40</t>
  </si>
  <si>
    <t>PT06900020</t>
  </si>
  <si>
    <t>19.000 L CUBETA HD+ HEAVY DUTY API SL SAE 20W-50</t>
  </si>
  <si>
    <t>PT06900021</t>
  </si>
  <si>
    <t>200.000 L TAMBOR HD+ HEAVY DUTY API SL SAE 20W-50</t>
  </si>
  <si>
    <t>PT10400005</t>
  </si>
  <si>
    <t>0.950 L ROSHPACK Ti-22 DSL API CF SAE 20W-50</t>
  </si>
  <si>
    <t>PT10500001</t>
  </si>
  <si>
    <t>1.000 L GRANEL VOLTRO MD API CI-4 SAE 10W-40</t>
  </si>
  <si>
    <t>VOLTRO MD</t>
  </si>
  <si>
    <t>PT06700001</t>
  </si>
  <si>
    <t>0.950 L BOTELLA 2 TIEMPOS NAUTIC PLUS NMMA TC-W3</t>
  </si>
  <si>
    <t>2 TIEMPOS NAUTIC PLUS</t>
  </si>
  <si>
    <t>PT06700002</t>
  </si>
  <si>
    <t>19.000 L CUBETA NAUTIC PLUS 2 TIEMPOS  NMMA TC-W3</t>
  </si>
  <si>
    <t>PT06700003</t>
  </si>
  <si>
    <t>200.000 L TAMBOR 2 TIEMPOS NAUTIC PLUS NMMA TC-W3</t>
  </si>
  <si>
    <t>19.000 L CUBETA HIDRAULICO TRACTOR MULTIUSOS</t>
  </si>
  <si>
    <t>200.000 L TAMBOR HIDRAULICO TRACTOR MULTIUSOS</t>
  </si>
  <si>
    <t>PT00400003</t>
  </si>
  <si>
    <t>1.000 L GRANEL HIDRAULICO TRACTOR MULTIUSOS</t>
  </si>
  <si>
    <t>19.000 L CUBETA HIDRAULICO ANTIDESGASTE AW ISO VG  68</t>
  </si>
  <si>
    <t>200.000 L TAMBOR HIDRAULICO ANTIDESGASTE AW ISO VG  68</t>
  </si>
  <si>
    <t>PT05500001</t>
  </si>
  <si>
    <t>19.000 L CUBETA INDUSTRIAL EP ISO VG 220</t>
  </si>
  <si>
    <t>PT A.INDUSTRIALES</t>
  </si>
  <si>
    <t>INDUSTRIAL EP</t>
  </si>
  <si>
    <t>PT42800011</t>
  </si>
  <si>
    <t>7.000 KG CUBETA GRASA CHASIS 1 CR</t>
  </si>
  <si>
    <t>PT42800012</t>
  </si>
  <si>
    <t>7.000 KG CUBETA GRASA CHASIS 3 CR</t>
  </si>
  <si>
    <t>200.000 L TAMBOR REFRIGERANTE CLIMATIZADO</t>
  </si>
  <si>
    <t>1.000 L GRANEL REFRIGERANTE CLIMATIZADO</t>
  </si>
  <si>
    <t>19.000 L CUBETA SINTETICO VOLTRO EUROFLEET SAE 10W-40</t>
  </si>
  <si>
    <t>PT10100005</t>
  </si>
  <si>
    <t>200.000 L TAMBOR SINTETICO VOLTRO EUROFLEET SAE 10W-40</t>
  </si>
  <si>
    <t>1.000 L GRANEL VOLTRO RAS SERIES 3 API CF/CF-2 SAE 40</t>
  </si>
  <si>
    <t>1.000 L GRANEL VOLTRO FORCE API CI-4/SL SAE 20W-50</t>
  </si>
  <si>
    <t>1.000 L GRANEL VOLTRO RAS SERIES 3 API CF SAE 50</t>
  </si>
  <si>
    <t>PT06700004</t>
  </si>
  <si>
    <t>1.000 L GRANEL ACEITE 2 TIEMPOS NAUTIC PLUS NMMA TCW-3</t>
  </si>
  <si>
    <t>1.000 L GRANEL VOLTRO SUPER PLUS API CJ-4/SN SAE 15W-40</t>
  </si>
  <si>
    <t>VOLTRO SUPER PLUS</t>
  </si>
  <si>
    <t>1.000 L GRANEL ACEITE GEAR OIL API GL-1 SAE 140</t>
  </si>
  <si>
    <t>PT12200018</t>
  </si>
  <si>
    <t>1.000 L GRANEL ACEITE SUPER GEAR OIL API GL-5 SAE 80W-90</t>
  </si>
  <si>
    <t>PT07300007</t>
  </si>
  <si>
    <t>200.000 L TAMBOR MOTONIC 4 TIEMPOS SAE 20W-50</t>
  </si>
  <si>
    <t>19.000 L CUBETA VOLTRO + PLUS API CI-4 PLUS/SL SAE 15W-40</t>
  </si>
  <si>
    <t>200.000 L TAMBOR VOLTRO + PLUS API CI-4 PLUS/SL SAE 15W-40</t>
  </si>
  <si>
    <t>1.000 L GRANEL HIDRAULICO ANTIDESGASTE AW ISO VG  68</t>
  </si>
  <si>
    <t>1.000 L GRANEL SUPER ATF DEX III MERCON</t>
  </si>
  <si>
    <t>PT55000006</t>
  </si>
  <si>
    <t>3.785 L GARRAFA REFRIGERANTE CLIMATIZADO</t>
  </si>
  <si>
    <t>200.000 L TAMBOR ACEITE TRANSMISION CAT ALI 10W</t>
  </si>
  <si>
    <t>200.000 L TAMBOR TRANSMISION CAT-ALI SAE 30</t>
  </si>
  <si>
    <t>200.000 L TAMBOR ACEITE TRANSMISION CAT ALI SAE 50</t>
  </si>
  <si>
    <t>PT09100001</t>
  </si>
  <si>
    <t>200.000 L TAMBOR DIESEL FERROCARRIL G-IV SAE 40</t>
  </si>
  <si>
    <t>DIESEL FERROCARRIL</t>
  </si>
  <si>
    <t>19.000 L CUBETA TRANSMISION CAT-ALI SAE 30</t>
  </si>
  <si>
    <t>1.000 L GRANEL SUPER GEAR OIL API GL-5 SAE 85W140</t>
  </si>
  <si>
    <t>0.400 KG TUBO DE GRASA BALIT COMPLEX PLUS</t>
  </si>
  <si>
    <t>PT40200004</t>
  </si>
  <si>
    <t>0.850 KG TARRO GRASA SUPER BALIT COMPLEX EP 2</t>
  </si>
  <si>
    <t>PT07000006</t>
  </si>
  <si>
    <t>0.950 L BOTELLA AK HI-ENERGY PLUS API SL SAE 25W-50</t>
  </si>
  <si>
    <t>PT10300010</t>
  </si>
  <si>
    <t>5.000 L GARRAFA VOLTRO DIESEL SERIES 3 API CI-4/SL SAE 15W-40</t>
  </si>
  <si>
    <t>1.000 PZA APLICADOR PARA TUBO DE GRASA</t>
  </si>
  <si>
    <t>DEFAULT</t>
  </si>
  <si>
    <t>PT10400006</t>
  </si>
  <si>
    <t>0.950 L BOTELLA DIESEL HI-ENERGY CF-4 SAE 25W-50</t>
  </si>
  <si>
    <t>PT10400007</t>
  </si>
  <si>
    <t>5.000 L GARRAFA DIESEL HI-ENERGY CF-4 SAE 25W-50</t>
  </si>
  <si>
    <t>PT10400009</t>
  </si>
  <si>
    <t>200.000 L TAMBOR  DIESEL HI-ENERGY CF-4 SAE 25W-50</t>
  </si>
  <si>
    <t>0.350 L BOTELLA LIQUIDO PARA FRENOS DOT 4</t>
  </si>
  <si>
    <t>LPF 4</t>
  </si>
  <si>
    <t>0.950 L BOTELLA LIQUIDO PARA FRENOS DOT 4</t>
  </si>
  <si>
    <t>3.500 KG CUBETA GRASA CHASIS e-LIT</t>
  </si>
  <si>
    <t>CHASIS E-LIT</t>
  </si>
  <si>
    <t>16.000 KG CUBETA GRASA CHASIS e-LIT</t>
  </si>
  <si>
    <t>170.000 KG TAMBOR GRASA CHASIS e-LIT</t>
  </si>
  <si>
    <t>0.850 KG TARRO GRASA CHASIS e-LIT</t>
  </si>
  <si>
    <t>PT42900005</t>
  </si>
  <si>
    <t>7.000 KG CUBETA GRASA CHASIS e-LIT</t>
  </si>
  <si>
    <t>0.425 KG TARRO GRASA CHASIS e-LIT</t>
  </si>
  <si>
    <t>0.250 KG TARRO GRASA CHASIS e-LIT</t>
  </si>
  <si>
    <t>PT10400011</t>
  </si>
  <si>
    <t>200.000 L TAMBOR  DIESEL MAX POWER SERIES 3 API CF SAE 20W-50</t>
  </si>
  <si>
    <t>200.000 L TAMBOR VOLTRO SUPER PLUS API CJ-4/SN SAE 15W-40</t>
  </si>
  <si>
    <t>19.000 L CUBETA DIESEL VOLTRO SUPER PLUS API CJ-4/SN SAE 15W-40</t>
  </si>
  <si>
    <t>0.250 L BOTELLA ADITIVO CLEAN YECTOR</t>
  </si>
  <si>
    <t>CLEAN YECTOR</t>
  </si>
  <si>
    <t>0.250 L BOTELLA ADITIVO OCTAN</t>
  </si>
  <si>
    <t xml:space="preserve"> +OCTAN</t>
  </si>
  <si>
    <t>0.250 L BOTELLA ADITIVO GAS CLEAN</t>
  </si>
  <si>
    <t>PT07200004</t>
  </si>
  <si>
    <t>0.250 L BOTELLA MOTONIC 2 TIEMPOS API TC</t>
  </si>
  <si>
    <t>0.350 L BOTELLA LIQUIDO PARA FRENOS DOT 3</t>
  </si>
  <si>
    <t>0.950 L BOTELLA LIQUIDO PARA FRENOS DOT 3</t>
  </si>
  <si>
    <t>PT60500004</t>
  </si>
  <si>
    <t>0.600 L DESENGRASANTE MULTIUSOS ELITE CAR CARE</t>
  </si>
  <si>
    <t>PT60500005</t>
  </si>
  <si>
    <t>0.600 L LIQUIDO LIMPIA PARABRISAS ELITE CAR CARE</t>
  </si>
  <si>
    <t>PT67000001</t>
  </si>
  <si>
    <t>0.600 L SHAMPOO PARA AUTOS ELITE CAR CARE</t>
  </si>
  <si>
    <t>PT60500006</t>
  </si>
  <si>
    <t>0.600 L ABRILLANTADOR VINIL ELITE CAR CARE</t>
  </si>
  <si>
    <t>PT60500007</t>
  </si>
  <si>
    <t>200.000 L DESENGRASANTE MULTIUSOS ELITE CAR CARE</t>
  </si>
  <si>
    <t>PT60500008</t>
  </si>
  <si>
    <t>20.000 L BIDON SHAMPOO PARA AUTOS ELIT CAR CARE</t>
  </si>
  <si>
    <t>PT60500009</t>
  </si>
  <si>
    <t>20.000 L BIDON DESENGRASANTE MULTIUSOS ELIT CAR CARE</t>
  </si>
  <si>
    <t>PT60500010</t>
  </si>
  <si>
    <t>20.000 L BIDON LIQUIDO LIMPIA PARABRISAS ELIT CAR CARE</t>
  </si>
  <si>
    <t>PT60500011</t>
  </si>
  <si>
    <t>20.000 L BIDON ABRILLANTADOR VINIL, PLASTICO,PIEL ETC. ELIT CAR CARE</t>
  </si>
  <si>
    <t>1.000 L GRANEL ACEITE BÄTRAK DESNA ISO VG 32</t>
  </si>
  <si>
    <t>BÄTRAK DESNA</t>
  </si>
  <si>
    <t>PT00800005</t>
  </si>
  <si>
    <t>1.000 L GRANEL ACEITE BÄTRAK DESNA ISO VG 46</t>
  </si>
  <si>
    <t>PT00800006</t>
  </si>
  <si>
    <t>1.000 L GRANEL ACEITE BÄTRAK DESNA ISO VG 68</t>
  </si>
  <si>
    <t>PT00800007</t>
  </si>
  <si>
    <t>1.000 L GRANEL ACEITE BÄTRAK DESNA ISO VG 100</t>
  </si>
  <si>
    <t>PT00800008</t>
  </si>
  <si>
    <t>1.000 L GRANEL ACEITE BÄTRAK DESNA ISO VG 150</t>
  </si>
  <si>
    <t>PT00800009</t>
  </si>
  <si>
    <t>1.000 L GRANEL ACEITE BÄTRAK DESNA ISO VG 220</t>
  </si>
  <si>
    <t>PT01000004</t>
  </si>
  <si>
    <t>1.000 L GRANEL ACEITE BÄTRAK DESNA HVI ISO VG 46</t>
  </si>
  <si>
    <t>BÄTRAK DESNA HVI</t>
  </si>
  <si>
    <t>PT01000005</t>
  </si>
  <si>
    <t>1.000 L GRANEL ACEITE BÄTRAK DESNA HVI ISO VG 68</t>
  </si>
  <si>
    <t>PT00900002</t>
  </si>
  <si>
    <t>1.000 L GRANEL ACEITE BÄTRAK DESNA FZ ISO VG 46</t>
  </si>
  <si>
    <t>BÄTRAK DESNA FZ</t>
  </si>
  <si>
    <t>PT01200001</t>
  </si>
  <si>
    <t>1.000 L GRANEL ACEITE BÄTRAK DESNA SYNTHEX ISO VG 32</t>
  </si>
  <si>
    <t>BÄTRAK DESNA SYNTEX</t>
  </si>
  <si>
    <t>PT01200003</t>
  </si>
  <si>
    <t>1.000 L GRANEL ACEITE BÄTRAK DESNA SYNTHEX ISO VG 68</t>
  </si>
  <si>
    <t>PT05300002</t>
  </si>
  <si>
    <t>1.000 L GRANEL ACEITE BÄTRAK ZOLOVIC ISO VG 68</t>
  </si>
  <si>
    <t>BÄTRAK ZOLOVIC</t>
  </si>
  <si>
    <t>PT02300004</t>
  </si>
  <si>
    <t>1.000 L GRANEL ACEITE BÄTRAK KHOROL ISO VG 68</t>
  </si>
  <si>
    <t>BÄTRAK KHOROL</t>
  </si>
  <si>
    <t>PT02300007</t>
  </si>
  <si>
    <t>1.000 L GRANEL ACEITE BÄTRAK KHOROL ISO VG 220</t>
  </si>
  <si>
    <t>PT05100003</t>
  </si>
  <si>
    <t>1.000 L GRANEL ACEITE BÄTRAK ZOLOVE ISO VG 22</t>
  </si>
  <si>
    <t>BÄTRAK ZOLOVE</t>
  </si>
  <si>
    <t>PT05100005</t>
  </si>
  <si>
    <t>1.000 L GRANEL ACEITE BÄTRAK ZOLOVE ISO VG 46</t>
  </si>
  <si>
    <t>PT05100006</t>
  </si>
  <si>
    <t>1.000 L GRANEL ACEITE BÄTRAK ZOLOVE ISO VG 68</t>
  </si>
  <si>
    <t>1.000 L GRANEL ACEITE BÄTRAK ZOLOVE ISO VG 150</t>
  </si>
  <si>
    <t>1.000 L GRANEL ACEITE BÄTRAK ZOLOVE ISO VG 220</t>
  </si>
  <si>
    <t>PT03100001</t>
  </si>
  <si>
    <t>1.000 L GRANEL ACEITE BÄTRAK KRASNE ISO VG 32</t>
  </si>
  <si>
    <t>BÄTRAK KRASNE</t>
  </si>
  <si>
    <t>PT03100002</t>
  </si>
  <si>
    <t>1.000 L GRANEL ACEITE BÄTRAK KRASNE ISO VG 46</t>
  </si>
  <si>
    <t>PT03100004</t>
  </si>
  <si>
    <t>1.000 L GRANEL ACEITE BÄTRAK KRASNE ISO VG 100</t>
  </si>
  <si>
    <t>PT03400001</t>
  </si>
  <si>
    <t>1.000 L GRANEL ACEITE BÄTRAK KRASNE SUPER PREMIUM ISO VG 32</t>
  </si>
  <si>
    <t>BÄTRAK KRASNE SUPER PREMIUM</t>
  </si>
  <si>
    <t>PT03400002</t>
  </si>
  <si>
    <t>1.000 L GRANEL ACEITE BÄTRAK KRASNE SUPER PREMIUM ISO VG 46</t>
  </si>
  <si>
    <t>PT03900001</t>
  </si>
  <si>
    <t>1.000 L GRANEL ACEITE BÄTRAK NHOPOL ISO VG 68</t>
  </si>
  <si>
    <t>BÄTRAK NHOPOL</t>
  </si>
  <si>
    <t>PT03900004</t>
  </si>
  <si>
    <t>1.000 L GRANEL ACEITE BÄTRAK NHOPOL ISO VG 220</t>
  </si>
  <si>
    <t>PT03900006</t>
  </si>
  <si>
    <t>1.000 L GRANEL ACEITE BÄTRAK NHOPOL ISO VG 460</t>
  </si>
  <si>
    <t>PT04000001</t>
  </si>
  <si>
    <t>1.000 L GRANEL ACEITE BÄTRAK NOVE LIGERO ISO VG 32</t>
  </si>
  <si>
    <t>BÄTRAK NOVE</t>
  </si>
  <si>
    <t>PT04000002</t>
  </si>
  <si>
    <t>1.000 L GRANEL ACEITE BÄTRAK NOVE MEDIANO ISO VG 32</t>
  </si>
  <si>
    <t>PT04000004</t>
  </si>
  <si>
    <t>1.000 L GRANEL ACEITE BÄTRAK NOVE EXTRAPESADO ISO VG 32</t>
  </si>
  <si>
    <t>1.000 L GRANEL ACEITE BÄTRAK SUPER NOVE</t>
  </si>
  <si>
    <t>BÄTRAK SUPER NOVE</t>
  </si>
  <si>
    <t>PT02100001</t>
  </si>
  <si>
    <t>1.000 L GRANEL ACEITE BÄTRAK KHERSON EP</t>
  </si>
  <si>
    <t>BÄTRAK KHERSON EP</t>
  </si>
  <si>
    <t>PT04800001</t>
  </si>
  <si>
    <t>1.000 L GRANEL ACEITE BÄTRAK SOLCOV ISO VG-32</t>
  </si>
  <si>
    <t>BÄTRAK SOLCOV</t>
  </si>
  <si>
    <t>PT04900001</t>
  </si>
  <si>
    <t>1.000 L GRANEL ACEITE BÄTRAK SOLCOV PREMIUM ISO VG-32</t>
  </si>
  <si>
    <t>BÄTRAK SOLCOV PREMIUM</t>
  </si>
  <si>
    <t>PT03600001</t>
  </si>
  <si>
    <t>1.000 L GRANEL ACEITE BÄTRAK LESK ISO VG 22</t>
  </si>
  <si>
    <t>BÄTRAK LESK</t>
  </si>
  <si>
    <t>PT03600002</t>
  </si>
  <si>
    <t>1.000 L GRANEL ACEITE BÄTRAK LESK ISO VG 32</t>
  </si>
  <si>
    <t>PT02200001</t>
  </si>
  <si>
    <t>1.000 L GRANEL ACEITE BÄTRAK KHOPIL SAE 40</t>
  </si>
  <si>
    <t>BÄTRAK KHOPIL</t>
  </si>
  <si>
    <t>PT02000001</t>
  </si>
  <si>
    <t>1.000 L GRANEL ACEITE BÄTRAK IVANO</t>
  </si>
  <si>
    <t>BÄTRAK IVANO</t>
  </si>
  <si>
    <t>PT01600001</t>
  </si>
  <si>
    <t>1.000 L GRANEL ACEITE BÄTRAK GULFSEA SUPERBEAR 3008</t>
  </si>
  <si>
    <t>BÄTRAK GULFSEA</t>
  </si>
  <si>
    <t>PT01600005</t>
  </si>
  <si>
    <t>1.000 L GRANEL ACEITE BÄTRAK GULFSEA POWER 4030</t>
  </si>
  <si>
    <t>PT01600006</t>
  </si>
  <si>
    <t>1.000 L GRANEL ACEITE BÄTRAK GULFSEA POWER 4040</t>
  </si>
  <si>
    <t>PT01600009</t>
  </si>
  <si>
    <t>1.000 L GRANEL ACEITE BÄTRAK GULFSEA CYLCARE DCA 5070H</t>
  </si>
  <si>
    <t>PT01600011</t>
  </si>
  <si>
    <t>1.000 L GRANEL ACEITE BÄTRAK GULFSEA POWER MDO 4012</t>
  </si>
  <si>
    <t>PT05000002</t>
  </si>
  <si>
    <t>1.000 L GRANEL ACEITE BÄTRAK SUPER NOVE ISO VG 60</t>
  </si>
  <si>
    <t>PT05400001</t>
  </si>
  <si>
    <t>1.000 L GRANEL ACEITE BÄTRAK RADOMISH B/E G-V SAE 40</t>
  </si>
  <si>
    <t>PT04400001</t>
  </si>
  <si>
    <t>1.000 L GRANEL ACEITE BÄTRAK RADOMISH G-V SAE 40</t>
  </si>
  <si>
    <t>BATRAK RADOMISH</t>
  </si>
  <si>
    <t>PT04400006</t>
  </si>
  <si>
    <t>1.000 L GRANEL ACEITE BATRAK RADOMISH G-V SAE 40 B2B</t>
  </si>
  <si>
    <t>PT04400007</t>
  </si>
  <si>
    <t>1.000 L GRANEL ACEITE BÄTRAK  KRASNE SUPER PREMIUM ISO VG 46 B2B</t>
  </si>
  <si>
    <t>1.000 L GRANEL VOLTRO + PLUS API CI-4 PLUS/SL SAE 15W-40 B2B</t>
  </si>
  <si>
    <t>1.000 L GRANEL VOLTRO DIESEL FORCE API CI-4/SL SAE 15W-40 B2B</t>
  </si>
  <si>
    <t>DIESEL VOLTRO PLUS</t>
  </si>
  <si>
    <t>PT00800013</t>
  </si>
  <si>
    <t>19.000 L CUBETA ACEITE BÄTRAK DESNA ISO VG  10</t>
  </si>
  <si>
    <t>PT00800014</t>
  </si>
  <si>
    <t>19.000 L CUBETA ACEITE BÄTRAK DESNA ISO VG  15</t>
  </si>
  <si>
    <t>PT00800015</t>
  </si>
  <si>
    <t>19.000 L CUBETA ACEITE BÄTRAK DESNA ISO VG  22</t>
  </si>
  <si>
    <t>PT00800016</t>
  </si>
  <si>
    <t>19.000 L CUBETA ACEITE BÄTRAK DESNA ISO VG  32</t>
  </si>
  <si>
    <t>PT00800017</t>
  </si>
  <si>
    <t>19.000 L CUBETA ACEITE BÄTRAK DESNA ISO VG  46</t>
  </si>
  <si>
    <t>PT00800018</t>
  </si>
  <si>
    <t>19.000 L CUBETA ACEITE BÄTRAK DESNA ISO VG  68</t>
  </si>
  <si>
    <t>PT00800019</t>
  </si>
  <si>
    <t>19.000 L CUBETA ACEITE BÄTRAK DESNA ISO VG  100</t>
  </si>
  <si>
    <t>PT00800020</t>
  </si>
  <si>
    <t>19.000 L CUBETA ACEITE BÄTRAK DESNA ISO VG  150</t>
  </si>
  <si>
    <t>PT00800021</t>
  </si>
  <si>
    <t>19.000 L CUBETA ACEITE BÄTRAK DESNA ISO VG  220</t>
  </si>
  <si>
    <t>PT00800022</t>
  </si>
  <si>
    <t>19.000 L CUBETA ACEITE BÄTRAK DESNA ISO VG  320</t>
  </si>
  <si>
    <t>PT00800023</t>
  </si>
  <si>
    <t>19.000 L CUBETA ACEITE BÄTRAK DESNA ISO VG  460</t>
  </si>
  <si>
    <t>PT00800024</t>
  </si>
  <si>
    <t>19.000 L CUBETA ACEITE BÄTRAK DESNA ISO VG  680</t>
  </si>
  <si>
    <t>PT01000007</t>
  </si>
  <si>
    <t>19.000 L CUBETA ACEITE BÄTRAK DESNA HVI ISO VG  15</t>
  </si>
  <si>
    <t>PT01000008</t>
  </si>
  <si>
    <t>19.000 L CUBETA ACEITE BÄTRAK DESNA HVI ISO VG  22</t>
  </si>
  <si>
    <t>PT01000009</t>
  </si>
  <si>
    <t>19.000 L CUBETA ACEITE BÄTRAK DESNA HVI ISO VG 32</t>
  </si>
  <si>
    <t>PT01000010</t>
  </si>
  <si>
    <t>19.000 L CUBETA ACEITE BÄTRAK DESNA HVI ISO VG 46</t>
  </si>
  <si>
    <t>PT01000011</t>
  </si>
  <si>
    <t>19.000 L CUBETA ACEITE BÄTRAK DESNA HVI ISO VG 68</t>
  </si>
  <si>
    <t>PT01000012</t>
  </si>
  <si>
    <t>19.000 L CUBETA ACEITE BÄTRAK DESNA HVI ISO VG 100</t>
  </si>
  <si>
    <t>PT00900005</t>
  </si>
  <si>
    <t>19.000 L CUBETA ACEITE BÄTRAK DESNA FZ ISO VG 32</t>
  </si>
  <si>
    <t>PT00900006</t>
  </si>
  <si>
    <t>19.000 L CUBETA ACEITE BÄTRAK DESNA FZ ISO VG 46</t>
  </si>
  <si>
    <t>PT00900007</t>
  </si>
  <si>
    <t>19.000 L CUBETA ACEITE BÄTRAK DESNA FZ ISO VG 68</t>
  </si>
  <si>
    <t>PT00900008</t>
  </si>
  <si>
    <t>19.000 L CUBETA ACEITE BÄTRAK DESNA FZ ISO VG 100</t>
  </si>
  <si>
    <t>PT01200004</t>
  </si>
  <si>
    <t>19.000 L CUBETA ACEITE BÄTRAK DESNA SYNTHEX ISO VG 32</t>
  </si>
  <si>
    <t>PT01200005</t>
  </si>
  <si>
    <t>19.000 L CUBETA ACEITE BÄTRAK DESNA SYNTHEX ISO VG 46</t>
  </si>
  <si>
    <t>PT01200006</t>
  </si>
  <si>
    <t>19.000 L CUBETA ACEITE BÄTRAK DESNA SYNTHEX ISO VG 68</t>
  </si>
  <si>
    <t>PT01300002</t>
  </si>
  <si>
    <t>19.000 L CUBETA ACEITE BÄTRAK DESNOVE</t>
  </si>
  <si>
    <t>BÄTRAK DESNOVE</t>
  </si>
  <si>
    <t>PT05300010</t>
  </si>
  <si>
    <t>19.000 L CUBETA ACEITE BÄTRAK ZOLOVIC ISO VG 46</t>
  </si>
  <si>
    <t>PT05300011</t>
  </si>
  <si>
    <t>19.000 L CUBETA ACEITE BÄTRAK ZOLOVIC ISO VG 68</t>
  </si>
  <si>
    <t>PT05300012</t>
  </si>
  <si>
    <t>19.000 L CUBETA ACEITE BÄTRAK ZOLOVIC ISO VG 100</t>
  </si>
  <si>
    <t>PT05300013</t>
  </si>
  <si>
    <t>19.000 L CUBETA ACEITE BÄTRAK ZOLOVIC ISO VG 150</t>
  </si>
  <si>
    <t>PT05300014</t>
  </si>
  <si>
    <t>19.000 L CUBETA ACEITE BÄTRAK ZOLOVIC ISO VG 220</t>
  </si>
  <si>
    <t>PT05300015</t>
  </si>
  <si>
    <t>19.000 L CUBETA ACEITE BÄTRAK ZOLOVIC ISO VG 320</t>
  </si>
  <si>
    <t>PT05300016</t>
  </si>
  <si>
    <t>19.000 L CUBETA ACEITE BÄTRAK ZOLOVIC ISO VG 460</t>
  </si>
  <si>
    <t>PT05300017</t>
  </si>
  <si>
    <t>19.000 L CUBETA ACEITE BÄTRAK ZOLOVIC ISO VG 680</t>
  </si>
  <si>
    <t>PT05300018</t>
  </si>
  <si>
    <t>19.000 L CUBETA ACEITE BÄTRAK ZOLOVIC ISO VG 1000</t>
  </si>
  <si>
    <t>PT02300012</t>
  </si>
  <si>
    <t>19.000 L CUBETA ACEITE BÄTRAK KHOROL ISO VG 32</t>
  </si>
  <si>
    <t>PT02300013</t>
  </si>
  <si>
    <t>19.000 L CUBETA ACEITE BÄTRAK KHOROL ISO VG 46</t>
  </si>
  <si>
    <t>PT02300014</t>
  </si>
  <si>
    <t>19.000 L CUBETA ACEITE BÄTRAK KHOROL ISO VG 68</t>
  </si>
  <si>
    <t>PT02300015</t>
  </si>
  <si>
    <t>19.000 L CUBETA ACEITE BÄTRAK KHOROL ISO VG 100</t>
  </si>
  <si>
    <t>PT02300016</t>
  </si>
  <si>
    <t>19.000 L CUBETA ACEITE BÄTRAK KHOROL ISO VG 150</t>
  </si>
  <si>
    <t>PT02300017</t>
  </si>
  <si>
    <t>19.000 L CUBETA ACEITE BÄTRAK KHOROL ISO VG 220</t>
  </si>
  <si>
    <t>PT02300018</t>
  </si>
  <si>
    <t>19.000 L CUBETA ACEITE BÄTRAK KHOROL ISO VG 320</t>
  </si>
  <si>
    <t>PT02300019</t>
  </si>
  <si>
    <t>19.000 L CUBETA ACEITE BÄTRAK KHOROL ISO VG 460</t>
  </si>
  <si>
    <t>PT02300020</t>
  </si>
  <si>
    <t>19.000 L CUBETA ACEITE BÄTRAK KHOROL ISO VG 680</t>
  </si>
  <si>
    <t>PT02300021</t>
  </si>
  <si>
    <t>19.000 L CUBETA ACEITE BÄTRAK KHOROL ISO VG1000</t>
  </si>
  <si>
    <t>PT05100014</t>
  </si>
  <si>
    <t>19.000 L CUBETA ACEITE BÄTRAK ZOLOVE ISO VG 10</t>
  </si>
  <si>
    <t>PT05100015</t>
  </si>
  <si>
    <t>19.000 L CUBETA ACEITE BÄTRAK ZOLOVE ISO VG 15</t>
  </si>
  <si>
    <t>PT05100016</t>
  </si>
  <si>
    <t>19.000 L CUBETA ACEITE BÄTRAK ZOLOVE ISO VG 22</t>
  </si>
  <si>
    <t>PT05100017</t>
  </si>
  <si>
    <t>19.000 L CUBETA ACEITE BÄTRAK ZOLOVE ISO VG 32</t>
  </si>
  <si>
    <t>PT05100018</t>
  </si>
  <si>
    <t>19.000 L CUBETA ACEITE BÄTRAK ZOLOVE ISO VG 46</t>
  </si>
  <si>
    <t>PT05100019</t>
  </si>
  <si>
    <t>19.000 L CUBETA ACEITE BÄTRAK ZOLOVE ISO VG 68</t>
  </si>
  <si>
    <t>PT05100020</t>
  </si>
  <si>
    <t>19.000 L CUBETA ACEITE BÄTRAK ZOLOVE ISO VG 100</t>
  </si>
  <si>
    <t>PT05100021</t>
  </si>
  <si>
    <t>19.000 L CUBETA ACEITE BÄTRAK ZOLOVE ISO VG 150</t>
  </si>
  <si>
    <t>PT05100022</t>
  </si>
  <si>
    <t>19.000 L CUBETA ACEITE BÄTRAK ZOLOVE ISO VG 220</t>
  </si>
  <si>
    <t>PT05100023</t>
  </si>
  <si>
    <t>19.000 L CUBETA ACEITE BÄTRAK ZOLOVE ISO VG 320</t>
  </si>
  <si>
    <t>PT05100025</t>
  </si>
  <si>
    <t>19.000 L CUBETA ACEITE BÄTRAK ZOLOVE ISO VG 680</t>
  </si>
  <si>
    <t>PT05200001</t>
  </si>
  <si>
    <t>19.000 L CUBETA ACEITE BÄTRAK ZOLOVE 100 N</t>
  </si>
  <si>
    <t>BATRAK ZOLOVE 100 N</t>
  </si>
  <si>
    <t>PT04100004</t>
  </si>
  <si>
    <t>19.000 L CUBETA ACEITE BÄTRAK ODESSA ISO VG 460</t>
  </si>
  <si>
    <t>BÄTRAK ODESSA</t>
  </si>
  <si>
    <t>PT04100005</t>
  </si>
  <si>
    <t>19.000 L CUBETA ACEITE BÄTRAK ODESSA ISO VG 680</t>
  </si>
  <si>
    <t>PT04100006</t>
  </si>
  <si>
    <t>19.000 L CUBETA ACEITE BÄTRAK ODESSA ISO VG 1000</t>
  </si>
  <si>
    <t>PT03100009</t>
  </si>
  <si>
    <t>19.000 L CUBETA ACEITE BÄTRAK KRASNE ISO VG 32</t>
  </si>
  <si>
    <t>PT03100010</t>
  </si>
  <si>
    <t>19.000 L CUBETA ACEITE BÄTRAK KRASNE ISO VG 46</t>
  </si>
  <si>
    <t>PT03100011</t>
  </si>
  <si>
    <t>19.000 L CUBETA ACEITE BÄTRAK KRASNE ISO VG 68</t>
  </si>
  <si>
    <t>PT03100012</t>
  </si>
  <si>
    <t>19.000 L CUBETA ACEITE BÄTRAK KRASNE ISO VG 100</t>
  </si>
  <si>
    <t>PT03100013</t>
  </si>
  <si>
    <t>19.000 L CUBETA ACEITE BÄTRAK KRASNE ISO VG 150</t>
  </si>
  <si>
    <t>PT03100014</t>
  </si>
  <si>
    <t>19.000 L CUBETA ACEITE BÄTRAK KRASNE ISO VG 220</t>
  </si>
  <si>
    <t>PT03100015</t>
  </si>
  <si>
    <t>19.000 L CUBETA ACEITE BÄTRAK KRASNE ISO VG 320</t>
  </si>
  <si>
    <t>PT03200005</t>
  </si>
  <si>
    <t>19.000 L CUBETA ACEITE BÄTRAK KRASNE PLUS AW ISO VG 32</t>
  </si>
  <si>
    <t>BÄTRAK KRASNE PLUS AW</t>
  </si>
  <si>
    <t>PT03200006</t>
  </si>
  <si>
    <t>19.000 L CUBETA ACEITE BÄTRAK KRASNE PLUS AW ISO VG 46</t>
  </si>
  <si>
    <t>PT03200007</t>
  </si>
  <si>
    <t>19.000 L CUBETA ACEITE BÄTRAK KRASNE PLUS AW ISO VG 68</t>
  </si>
  <si>
    <t>PT03200008</t>
  </si>
  <si>
    <t>19.000 L CUBETA ACEITE BÄTRAK KRASNE PLUS AW ISO VG 100</t>
  </si>
  <si>
    <t>PT03300005</t>
  </si>
  <si>
    <t>19.000 L CUBETA ACEITE BÄTRAK KRASNE PREMIUM ISO VG 32</t>
  </si>
  <si>
    <t>BÄTRAK KRASNE PREMIUM</t>
  </si>
  <si>
    <t>PT03300006</t>
  </si>
  <si>
    <t>19.000 L CUBETA ACEITE BÄTRAK KRASNE PREMIUM ISO VG 46</t>
  </si>
  <si>
    <t>PT03300007</t>
  </si>
  <si>
    <t>19.000 L CUBETA ACEITE BÄTRAK KRASNE PREMIUM ISO VG 68</t>
  </si>
  <si>
    <t>PT03300008</t>
  </si>
  <si>
    <t>19.000 L CUBETA ACEITE BÄTRAK KRASNE PREMIUM ISO VG 100</t>
  </si>
  <si>
    <t>PT03400005</t>
  </si>
  <si>
    <t>19.000 L CUBETA ACEITE BÄTRAK KRASNE SUPER PREMIUM ISO VG 32</t>
  </si>
  <si>
    <t>PT03400006</t>
  </si>
  <si>
    <t>19.000 L CUBETA ACEITE BÄTRAK KRASNE SUPER PREMIUM ISO VG 46</t>
  </si>
  <si>
    <t>PT03400007</t>
  </si>
  <si>
    <t>19.000 L CUBETA ACEITE BÄTRAK KRASNE SUPER PREMIUM ISO VG 68</t>
  </si>
  <si>
    <t>PT03400008</t>
  </si>
  <si>
    <t>19.000 L CUBETA ACEITE BÄTRAK KRASNE SUPER PREMIUM ISO VG 100</t>
  </si>
  <si>
    <t>PT03900009</t>
  </si>
  <si>
    <t>19.000 L CUBETA ACEITE BÄTRAK NHOPOL ISO VG 68</t>
  </si>
  <si>
    <t>PT03900010</t>
  </si>
  <si>
    <t>19.000 L CUBETA ACEITE BÄTRAK NHOPOL ISO VG 100</t>
  </si>
  <si>
    <t>PT03900011</t>
  </si>
  <si>
    <t>19.000 L CUBETA ACEITE BÄTRAK NHOPOL ISO VG 150</t>
  </si>
  <si>
    <t>PT03900012</t>
  </si>
  <si>
    <t>19.000 L CUBETA ACEITE BÄTRAK NHOPOL ISO VG 220</t>
  </si>
  <si>
    <t>PT03900013</t>
  </si>
  <si>
    <t>19.000 L CUBETA ACEITE BÄTRAK NHOPOL ISO VG 320</t>
  </si>
  <si>
    <t>PT03900014</t>
  </si>
  <si>
    <t>19.000 L CUBETA ACEITE BÄTRAK NHOPOL ISO VG 460</t>
  </si>
  <si>
    <t>PT03900015</t>
  </si>
  <si>
    <t>19.000 L CUBETA ACEITE BÄTRAK NHOPOL ISO VG 680</t>
  </si>
  <si>
    <t>PT03900016</t>
  </si>
  <si>
    <t>19.000 L CUBETA ACEITE BÄTRAK NHOPOL ISO VG 1000</t>
  </si>
  <si>
    <t>PT04500007</t>
  </si>
  <si>
    <t>19.000 L CUBETA ACEITE BÄTRAK RHODAR SYNTHEX ISO VG 100</t>
  </si>
  <si>
    <t>BÄTRAK RHODAR SYNTEX</t>
  </si>
  <si>
    <t>PT04500008</t>
  </si>
  <si>
    <t>19.000 L CUBETA ACEITE BÄTRAK RHODAR SYNTHEX ISO VG 150</t>
  </si>
  <si>
    <t>PT04500009</t>
  </si>
  <si>
    <t>19.000 L CUBETA ACEITE BÄTRAK RHODAR SYNTHEX ISO VG 220</t>
  </si>
  <si>
    <t>PT04500010</t>
  </si>
  <si>
    <t>19.000 L CUBETA ACEITE BÄTRAK RHODAR SYNTHEX ISO VG 320</t>
  </si>
  <si>
    <t>PT04500011</t>
  </si>
  <si>
    <t>19.000 L CUBETA ACEITE BÄTRAK RHODAR SYNTHEX ISO VG 460</t>
  </si>
  <si>
    <t>PT04500012</t>
  </si>
  <si>
    <t>19.000 L CUBETA ACEITE BÄTRAK RHODAR SYNTHEX ISO VG 680</t>
  </si>
  <si>
    <t>PT02800005</t>
  </si>
  <si>
    <t>19.000 L CUBETA ACEITE BÄTRAK KOROB ISO VG 46</t>
  </si>
  <si>
    <t>BÄTRAK KOROB</t>
  </si>
  <si>
    <t>PT02800006</t>
  </si>
  <si>
    <t>19.000 L CUBETA ACEITE BÄTRAK KOROB ISO VG 68</t>
  </si>
  <si>
    <t>PT02800007</t>
  </si>
  <si>
    <t>19.000 L CUBETA ACEITE BÄTRAK KOROB ISO VG 100</t>
  </si>
  <si>
    <t>PT02800008</t>
  </si>
  <si>
    <t>19.000 L CUBETA ACEITE BÄTRAK KOROB ISO VG 150</t>
  </si>
  <si>
    <t>PT02500004</t>
  </si>
  <si>
    <t>19.000 L CUBETA ACEITE BÄTRAK KOBEL SYNTHEX ISO VG 68</t>
  </si>
  <si>
    <t>BÄTRAK KOBEL SYNTEX</t>
  </si>
  <si>
    <t>PT02500005</t>
  </si>
  <si>
    <t>19.000 L CUBETA ACEITE BÄTRAK KOBEL SYNTHEX ISO VG 100</t>
  </si>
  <si>
    <t>PT02500006</t>
  </si>
  <si>
    <t>19.000 L CUBETA ACEITE BÄTRAK KOBEL SYNTHEX ISO VG 150</t>
  </si>
  <si>
    <t>PT02900003</t>
  </si>
  <si>
    <t>19.000 L CUBETA ACEITE BÄTRAK KORSUN SYNTHEX ISO VG 38</t>
  </si>
  <si>
    <t>BÄTRAK KORSUN SYNTEX</t>
  </si>
  <si>
    <t>PT02900004</t>
  </si>
  <si>
    <t>19.000 L CUBETA ACEITE BÄTRAK KORSUN SYNTHEX ISO VG 55</t>
  </si>
  <si>
    <t>PT04200004</t>
  </si>
  <si>
    <t>19.000 L CUBETA ACEITE BÄTRAK PARHOVE SYNTHEX ISO VG 46</t>
  </si>
  <si>
    <t>BÄTRAK PARHOVE SYNTEX</t>
  </si>
  <si>
    <t>PT04200005</t>
  </si>
  <si>
    <t>19.000 L CUBETA ACEITE BÄTRAK PARHOVE SYNTHEX ISO VG 68</t>
  </si>
  <si>
    <t>PT04200006</t>
  </si>
  <si>
    <t>19.000 L CUBETA ACEITE BÄTRAK PARHOVE SYNTHEX ISO VG 100</t>
  </si>
  <si>
    <t>PT04000005</t>
  </si>
  <si>
    <t>19.000 L CUBETA ACEITE BÄTRAK NOVE LIGERO ISO VG 32</t>
  </si>
  <si>
    <t>PT04000006</t>
  </si>
  <si>
    <t>19.000 L CUBETA ACEITE BÄTRAK NOVE MEDIANO ISO VG 32</t>
  </si>
  <si>
    <t>PT04000007</t>
  </si>
  <si>
    <t>19.000 L CUBETA ACEITE BÄTRAK NOVE PESADO ISO VG 32</t>
  </si>
  <si>
    <t>PT04000008</t>
  </si>
  <si>
    <t>19.000 L CUBETA ACEITE BÄTRAK NOVE EXTRA PESADO ISO VG 32</t>
  </si>
  <si>
    <t>PT05000003</t>
  </si>
  <si>
    <t>19.000 L CUBETA ACEITE BÄTRAK SUPER NOVE</t>
  </si>
  <si>
    <t>PT03500004</t>
  </si>
  <si>
    <t>19.000 L CUBETA ACEITE BÄTRAK KUTY LIGERO</t>
  </si>
  <si>
    <t>BÄTRAK KUTY</t>
  </si>
  <si>
    <t>PT03500005</t>
  </si>
  <si>
    <t>19.000 L CUBETA ACEITE BÄTRAK KUTY MEDIANO</t>
  </si>
  <si>
    <t>PT03500006</t>
  </si>
  <si>
    <t>19.000 L CUBETA ACEITE BÄTRAK KUTY PESADO</t>
  </si>
  <si>
    <t>PT01700006</t>
  </si>
  <si>
    <t>19.000 L CUBETA ACEITE BÄTRAK HOLESKO ISO VG 46</t>
  </si>
  <si>
    <t>BÄTRAK HOLESKO</t>
  </si>
  <si>
    <t>PT01700007</t>
  </si>
  <si>
    <t>19.000 L CUBETA ACEITE BÄTRAK HOLESKO ISO VG 68</t>
  </si>
  <si>
    <t>PT01700008</t>
  </si>
  <si>
    <t>19.000 L CUBETA ACEITE BÄTRAK HOLESKO ISO VG 100</t>
  </si>
  <si>
    <t>PT01700009</t>
  </si>
  <si>
    <t>19.000 L CUBETA ACEITE BÄTRAK HOLESKO ISO VG 150</t>
  </si>
  <si>
    <t>PT01700010</t>
  </si>
  <si>
    <t>19.000 L CUBETA ACEITE BÄTRAK HOLESKO ISO VG 220</t>
  </si>
  <si>
    <t>PT04700004</t>
  </si>
  <si>
    <t>19.000 L CUBETA ACEITE BÄTRAK ROMODAN ISO VG 32</t>
  </si>
  <si>
    <t>BÄTRAK ROMODAN</t>
  </si>
  <si>
    <t>PT04700005</t>
  </si>
  <si>
    <t>19.000 L CUBETA ACEITE BÄTRAK ROMODAN ISO VG 46</t>
  </si>
  <si>
    <t>PT04700006</t>
  </si>
  <si>
    <t>19.000 L CUBETA ACEITE BÄTRAK ROMODAN ISO VG 68</t>
  </si>
  <si>
    <t>PT02400004</t>
  </si>
  <si>
    <t>19.000 L CUBETA ACEITE BÄTRAK KHOSTU ISO VG 15</t>
  </si>
  <si>
    <t>BÄTRAK KHOSTU</t>
  </si>
  <si>
    <t>PT02400005</t>
  </si>
  <si>
    <t>19.000 L CUBETA ACEITE BÄTRAK KHOSTU ISO VG 22</t>
  </si>
  <si>
    <t>PT02400006</t>
  </si>
  <si>
    <t>19.000 L CUBETA ACEITE BÄTRAK KHOSTU ISO VG 32</t>
  </si>
  <si>
    <t>PT01800001</t>
  </si>
  <si>
    <t>19.000 L CUBETA ACEITE BÄTRAK HORLIKA</t>
  </si>
  <si>
    <t>BÄTRAK HORLIKA</t>
  </si>
  <si>
    <t>PT03800001</t>
  </si>
  <si>
    <t>19.000 L CUBETA ACEITE BÄTRAK MILOVE FDA ISO VG 15</t>
  </si>
  <si>
    <t>BÄTRAK MILOVE FDA</t>
  </si>
  <si>
    <t>PT04300002</t>
  </si>
  <si>
    <t>19.000 L CUBETA ACEITE BÄTRAK POLTAVE</t>
  </si>
  <si>
    <t>BÄTRAK POLTAVE</t>
  </si>
  <si>
    <t>PT02100002</t>
  </si>
  <si>
    <t>19.000 L CUBETA ACEITE BÄTRAK KHERSON EP</t>
  </si>
  <si>
    <t>PT02600001</t>
  </si>
  <si>
    <t>19.000 L CUBETA ACEITE BÄTRAK KORLEVO SYNTHEX EP</t>
  </si>
  <si>
    <t>BÄTRAK KORLEVO SYNTEX EP</t>
  </si>
  <si>
    <t>PT04600003</t>
  </si>
  <si>
    <t>19.000 L CUBETA ACEITE BÄTRAK RODKY</t>
  </si>
  <si>
    <t>BÄTRAK RODKY</t>
  </si>
  <si>
    <t>PT01400002</t>
  </si>
  <si>
    <t>19.000 L CUBETA ACEITE BÄTRAK DOLYN ISO VG 32</t>
  </si>
  <si>
    <t>BÄTRAK DOLYN</t>
  </si>
  <si>
    <t>PT04800002</t>
  </si>
  <si>
    <t>19.000 L CUBETA ACEITE BÄTRAK SOLCOV ISO VG 32</t>
  </si>
  <si>
    <t>PT04900002</t>
  </si>
  <si>
    <t>19.000 L CUBETA ACEITE BÄTRAK SOLCOV PREMIUM ISO VG 32</t>
  </si>
  <si>
    <t>PT03600003</t>
  </si>
  <si>
    <t>19.000 L CUBETA ACEITE BÄTRAK LESK ISO VG 22</t>
  </si>
  <si>
    <t>PT03600004</t>
  </si>
  <si>
    <t>19.000 L CUBETA ACEITE BÄTRAK LESK ISO VG 32</t>
  </si>
  <si>
    <t>PT00700002</t>
  </si>
  <si>
    <t>19.000 L CUBETA ACEITE BÄTRAK COPLAN ISO VG 22</t>
  </si>
  <si>
    <t>BÄTRAK COPLAN</t>
  </si>
  <si>
    <t>PT02200002</t>
  </si>
  <si>
    <t>19.000 L CUBETA ACEITE BÄTRAK KHOPIL SAE 40</t>
  </si>
  <si>
    <t>PT02000002</t>
  </si>
  <si>
    <t>19.000 L CUBETA ACEITE BÄTRAK IVANO</t>
  </si>
  <si>
    <t>PT04600004</t>
  </si>
  <si>
    <t>19.000 L CUBETA ACEITE BÄTRAK RODKI ISO VG 32</t>
  </si>
  <si>
    <t>PT00700003</t>
  </si>
  <si>
    <t>19.000 L CUBETA ACEITE BÄTRAK COPLAN ISO VG 32</t>
  </si>
  <si>
    <t>PT01600017</t>
  </si>
  <si>
    <t>19.000 L CUBETA ACEITE BÄTRAK GULFSEA SUPERBEAR 3008</t>
  </si>
  <si>
    <t>PT01600022</t>
  </si>
  <si>
    <t>19.000 L CUBETA ACEITE BÄTRAK GULFSEA POWER 4040</t>
  </si>
  <si>
    <t>PT01600025</t>
  </si>
  <si>
    <t>19.000 L CUBETA ACEITE BÄTRAK GULFSEA CYLCARE DCA 5070H</t>
  </si>
  <si>
    <t>PT01600026</t>
  </si>
  <si>
    <t>19.000 L CUBETA ACEITE BÄTRAK GULFSEA POWER MDO 3012</t>
  </si>
  <si>
    <t>PT01600027</t>
  </si>
  <si>
    <t>19.000 L CUBETA ACEITE BÄTRAK GULFSEA POWER MDO 4012</t>
  </si>
  <si>
    <t>PT01100008</t>
  </si>
  <si>
    <t>19.000 L CUBETA ACEITE BÄTRAK DESNA PREMIUM HVI ISO VG 15</t>
  </si>
  <si>
    <t>BATRAK DESNA PREMIUM HVI</t>
  </si>
  <si>
    <t>PT01100010</t>
  </si>
  <si>
    <t>19.000 L CUBETA ACEITE BÄTRAK DESNA PREMIUM HVI ISO VG 32</t>
  </si>
  <si>
    <t>PT01100011</t>
  </si>
  <si>
    <t>19.000 L CUBETA ACEITE BÄTRAK DESNA PREMIUM HVI ISO VG 46</t>
  </si>
  <si>
    <t>PT01100012</t>
  </si>
  <si>
    <t>19.000 L CUBETA ACEITE BÄTRAK DESNA PREMIUM HVI ISO VG 68</t>
  </si>
  <si>
    <t>PT01100013</t>
  </si>
  <si>
    <t>19.000 L CUBETA ACEITE BÄTRAK DESNA PREMIUM HVI ISO VG 100</t>
  </si>
  <si>
    <t>PT01100014</t>
  </si>
  <si>
    <t>19.000 L CUBETA ACEITE BÄTRAK DESNA PREMIUM HVI ISO VG 150</t>
  </si>
  <si>
    <t>PT00800025</t>
  </si>
  <si>
    <t>200.000 L TAMBOR  ACEITE BÄTRAK DESNA ISO VG  10</t>
  </si>
  <si>
    <t>PT00800026</t>
  </si>
  <si>
    <t>200.000 L TAMBOR  ACEITE BÄTRAK DESNA ISO VG  15</t>
  </si>
  <si>
    <t>PT00800027</t>
  </si>
  <si>
    <t>200.000 L TAMBOR  ACEITE BÄTRAK DESNA ISO VG  22</t>
  </si>
  <si>
    <t>PT00800028</t>
  </si>
  <si>
    <t>200.000 L TAMBOR  ACEITE BÄTRAK DESNA ISO VG  32</t>
  </si>
  <si>
    <t>PT00800029</t>
  </si>
  <si>
    <t>200.000 L TAMBOR  ACEITE BÄTRAK DESNA ISO VG  46</t>
  </si>
  <si>
    <t>PT00800030</t>
  </si>
  <si>
    <t>200.000 L TAMBOR  ACEITE BÄTRAK DESNA ISO VG  68</t>
  </si>
  <si>
    <t>PT00800031</t>
  </si>
  <si>
    <t>200.000 L TAMBOR  ACEITE BÄTRAK DESNA ISO VG  100</t>
  </si>
  <si>
    <t>PT00800032</t>
  </si>
  <si>
    <t>200.000 L TAMBOR  ACEITE BÄTRAK DESNA ISO VG  150</t>
  </si>
  <si>
    <t>PT00800033</t>
  </si>
  <si>
    <t>200.000 L TAMBOR  ACEITE BÄTRAK DESNA ISO VG  220</t>
  </si>
  <si>
    <t>PT00800034</t>
  </si>
  <si>
    <t>200.000 L TAMBOR  ACEITE BÄTRAK DESNA ISO VG  320</t>
  </si>
  <si>
    <t>PT00800035</t>
  </si>
  <si>
    <t>200.000 L TAMBOR  ACEITE BÄTRAK DESNA ISO VG  460</t>
  </si>
  <si>
    <t>PT00800036</t>
  </si>
  <si>
    <t>200.000 L TAMBOR  ACEITE BÄTRAK DESNA ISO VG  680</t>
  </si>
  <si>
    <t>PT01000013</t>
  </si>
  <si>
    <t>200.000 L TAMBOR  ACEITE BÄTRAK DESNA HVI ISO VG 15</t>
  </si>
  <si>
    <t>PT01000014</t>
  </si>
  <si>
    <t>200.000 L TAMBOR  ACEITE BÄTRAK DESNA HVI ISO VG 22</t>
  </si>
  <si>
    <t>PT01000015</t>
  </si>
  <si>
    <t>200.000 L TAMBOR  ACEITE BÄTRAK DESNA HVI ISO VG 32</t>
  </si>
  <si>
    <t>PT01000016</t>
  </si>
  <si>
    <t>200.000 L TAMBOR  ACEITE BÄTRAK DESNA HVI ISO VG 46</t>
  </si>
  <si>
    <t>PT01000017</t>
  </si>
  <si>
    <t>200.000 L TAMBOR  ACEITE BÄTRAK DESNA HVI ISO VG 68</t>
  </si>
  <si>
    <t>PT01000018</t>
  </si>
  <si>
    <t>200.000 L TAMBOR  ACEITE BÄTRAK DESNA HVI ISO VG 100</t>
  </si>
  <si>
    <t>PT00900009</t>
  </si>
  <si>
    <t>200.000 L TAMBOR  ACEITE BÄTRAK DESNA FZ ISO VG 32</t>
  </si>
  <si>
    <t>PT00900010</t>
  </si>
  <si>
    <t>200.000 L TAMBOR  ACEITE BÄTRAK DESNA FZ ISO VG 46</t>
  </si>
  <si>
    <t>PT00900011</t>
  </si>
  <si>
    <t>200.000 L TAMBOR  ACEITE BÄTRAK DESNA FZ ISO VG 68</t>
  </si>
  <si>
    <t>PT00900012</t>
  </si>
  <si>
    <t>200.000 L TAMBOR  ACEITE BÄTRAK DESNA FZ ISO VG 100</t>
  </si>
  <si>
    <t>PT01200007</t>
  </si>
  <si>
    <t>200.000 L TAMBOR  ACEITE BÄTRAK DESNA SYNTHEX ISO VG 32</t>
  </si>
  <si>
    <t>PT01200008</t>
  </si>
  <si>
    <t>200.000 L TAMBOR  ACEITE BÄTRAK DESNA SYNTHEX ISO VG 46</t>
  </si>
  <si>
    <t>PT01200009</t>
  </si>
  <si>
    <t>200.000 L TAMBOR  ACEITE BÄTRAK DESNA SYNTHEX ISO VG 68</t>
  </si>
  <si>
    <t>PT01300003</t>
  </si>
  <si>
    <t>200.000 L TAMBOR  ACEITE BÄTRAK DESNOVE</t>
  </si>
  <si>
    <t>PT05300019</t>
  </si>
  <si>
    <t>200.000 L TAMBOR  ACEITE BÄTRAK ZOLOVIC ISO VG 46</t>
  </si>
  <si>
    <t>PT05300020</t>
  </si>
  <si>
    <t>200.000 L TAMBOR  ACEITE BÄTRAK ZOLOVIC ISO VG 68</t>
  </si>
  <si>
    <t>PT05300021</t>
  </si>
  <si>
    <t>200.000 L TAMBOR  ACEITE BÄTRAK ZOLOVIC ISO VG 100</t>
  </si>
  <si>
    <t>PT05300022</t>
  </si>
  <si>
    <t>200.000 L TAMBOR  ACEITE BÄTRAK ZOLOVIC ISO VG 150</t>
  </si>
  <si>
    <t>PT05300023</t>
  </si>
  <si>
    <t>200.000 L TAMBOR  ACEITE BÄTRAK ZOLOVIC ISO VG 220</t>
  </si>
  <si>
    <t>PT05300024</t>
  </si>
  <si>
    <t>200.000 L TAMBOR  ACEITE BÄTRAK ZOLOVIC ISO VG 320</t>
  </si>
  <si>
    <t>PT05300026</t>
  </si>
  <si>
    <t>200.000 L TAMBOR  ACEITE BÄTRAK ZOLOVIC ISO VG 680</t>
  </si>
  <si>
    <t>PT05300027</t>
  </si>
  <si>
    <t>200.000 L TAMBOR  ACEITE BÄTRAK ZOLOVIC ISO VG 1000</t>
  </si>
  <si>
    <t>PT02300022</t>
  </si>
  <si>
    <t>200.000 L TAMBOR  ACEITE BÄTRAK KHOROL ISO VG 32</t>
  </si>
  <si>
    <t>PT02300024</t>
  </si>
  <si>
    <t>200.000 L TAMBOR  ACEITE BÄTRAK KHOROL ISO VG 68</t>
  </si>
  <si>
    <t>PT02300025</t>
  </si>
  <si>
    <t>200.000 L TAMBOR  ACEITE BÄTRAK KHOROL ISO VG 100</t>
  </si>
  <si>
    <t>PT02300026</t>
  </si>
  <si>
    <t>200.000 L TAMBOR  ACEITE BÄTRAK KHOROL ISO VG 150</t>
  </si>
  <si>
    <t>PT02300027</t>
  </si>
  <si>
    <t>200.000 L TAMBOR  ACEITE BÄTRAK KHOROL ISO VG 220</t>
  </si>
  <si>
    <t>PT02300028</t>
  </si>
  <si>
    <t>200.000 L TAMBOR  ACEITE BÄTRAK KHOROL ISO VG 320</t>
  </si>
  <si>
    <t>PT02300029</t>
  </si>
  <si>
    <t>200.000 L TAMBOR  ACEITE BÄTRAK KHOROL ISO VG 460</t>
  </si>
  <si>
    <t>PT02300030</t>
  </si>
  <si>
    <t>200.000 L TAMBOR  ACEITE BÄTRAK KHOROL ISO VG 680</t>
  </si>
  <si>
    <t>PT02300031</t>
  </si>
  <si>
    <t>200.000 L TAMBOR  ACEITE BÄTRAK KHOROL ISO VG 1000</t>
  </si>
  <si>
    <t>PT05100026</t>
  </si>
  <si>
    <t>200.000 L TAMBOR  ACEITE BÄTRAK ZOLOVE ISO VG 10</t>
  </si>
  <si>
    <t>PT05100027</t>
  </si>
  <si>
    <t>200.000 L TAMBOR  ACEITE BÄTRAK ZOLOVE ISO VG 15</t>
  </si>
  <si>
    <t>PT05100028</t>
  </si>
  <si>
    <t>200.000 L TAMBOR  ACEITE BÄTRAK ZOLOVE ISO VG 22</t>
  </si>
  <si>
    <t>PT05100029</t>
  </si>
  <si>
    <t>200.000 L TAMBOR  ACEITE BÄTRAK ZOLOVE ISO VG 32</t>
  </si>
  <si>
    <t>PT05100031</t>
  </si>
  <si>
    <t>200.000 L TAMBOR  ACEITE BÄTRAK ZOLOVE ISO VG 68</t>
  </si>
  <si>
    <t>PT05100032</t>
  </si>
  <si>
    <t>200.000 L TAMBOR  ACEITE BÄTRAK ZOLOVE ISO VG 100</t>
  </si>
  <si>
    <t>PT05100033</t>
  </si>
  <si>
    <t>200.000 L TAMBOR  ACEITE BÄTRAK ZOLOVE ISO VG 150</t>
  </si>
  <si>
    <t>PT05100034</t>
  </si>
  <si>
    <t>200.000 L TAMBOR  ACEITE BÄTRAK ZOLOVE ISO VG 220</t>
  </si>
  <si>
    <t>PT05100038</t>
  </si>
  <si>
    <t>200.000 L TAMBOR  ACEITE BÄTRAK ZOLOVE 100 N</t>
  </si>
  <si>
    <t>PT04100007</t>
  </si>
  <si>
    <t>200.000 L TAMBOR  ACEITE BÄTRAK ODESSA ISO VG 460</t>
  </si>
  <si>
    <t>PT04100008</t>
  </si>
  <si>
    <t>200.000 L TAMBOR  ACEITE BÄTRAK ODESSA ISO VG 680</t>
  </si>
  <si>
    <t>PT03100017</t>
  </si>
  <si>
    <t>200.000 L TAMBOR  ACEITE BÄTRAK KRASNE ISO VG 32</t>
  </si>
  <si>
    <t>PT03100018</t>
  </si>
  <si>
    <t>200.000 L TAMBOR  ACEITE BÄTRAK KRASNE ISO VG 46</t>
  </si>
  <si>
    <t>PT03100019</t>
  </si>
  <si>
    <t>200.000 L TAMBOR  ACEITE BÄTRAK KRASNE ISO VG 68</t>
  </si>
  <si>
    <t>PT03100020</t>
  </si>
  <si>
    <t>200.000 L TAMBOR  ACEITE BÄTRAK KRASNE ISO VG 100</t>
  </si>
  <si>
    <t>PT03100021</t>
  </si>
  <si>
    <t>200.000 L TAMBOR  ACEITE BÄTRAK KRASNE ISO VG 150</t>
  </si>
  <si>
    <t>PT03100022</t>
  </si>
  <si>
    <t>200.000 L TAMBOR  ACEITE BÄTRAK KRASNE ISO VG 220</t>
  </si>
  <si>
    <t>PT03100023</t>
  </si>
  <si>
    <t>200.000 L TAMBOR  ACEITE BÄTRAK KRASNE ISO VG 320</t>
  </si>
  <si>
    <t>PT03200009</t>
  </si>
  <si>
    <t>200.000 L TAMBOR  ACEITE BÄTRAK KRASNE PLUS AW ISO VG 32</t>
  </si>
  <si>
    <t>PT03200010</t>
  </si>
  <si>
    <t>200.000 L TAMBOR  ACEITE BÄTRAK KRASNE PLUS AW ISO VG 46</t>
  </si>
  <si>
    <t>PT03200011</t>
  </si>
  <si>
    <t>200.000 L TAMBOR  ACEITE BÄTRAK KRASNE PLUS AW ISO VG 68</t>
  </si>
  <si>
    <t>PT03300009</t>
  </si>
  <si>
    <t>200.000 L TAMBOR  ACEITE BÄTRAK KRASNE PREMIUM ISO VG 32</t>
  </si>
  <si>
    <t>PT03300010</t>
  </si>
  <si>
    <t>200.000 L TAMBOR  ACEITE BÄTRAK KRASNE PREMIUM ISO VG 46</t>
  </si>
  <si>
    <t>PT03300011</t>
  </si>
  <si>
    <t>200.000 L TAMBOR  ACEITE BÄTRAK KRASNE PREMIUM ISO VG 68</t>
  </si>
  <si>
    <t>PT03300012</t>
  </si>
  <si>
    <t>200.000 L TAMBOR  ACEITE BÄTRAK KRASNE PREMIUM ISO VG 100</t>
  </si>
  <si>
    <t>PT03400009</t>
  </si>
  <si>
    <t>200.000 L TAMBOR  ACEITE BÄTRAK KRASNE SUPER PREMIUM ISO VG 32</t>
  </si>
  <si>
    <t>PT03400010</t>
  </si>
  <si>
    <t>200.000 L TAMBOR  ACEITE BÄTRAK KRASNE SUPER PREMIUM ISO VG 46</t>
  </si>
  <si>
    <t>PT03400011</t>
  </si>
  <si>
    <t>200.000 L TAMBOR  ACEITE BÄTRAK KRASNE SUPER PREMIUM ISO VG 68</t>
  </si>
  <si>
    <t>PT03900017</t>
  </si>
  <si>
    <t>200.000 L TAMBOR  ACEITE BÄTRAK NHOPOL ISO VG 68</t>
  </si>
  <si>
    <t>PT03900018</t>
  </si>
  <si>
    <t>200.000 L TAMBOR  ACEITE BÄTRAK NHOPOL ISO VG 100</t>
  </si>
  <si>
    <t>PT03900019</t>
  </si>
  <si>
    <t>200.000 L TAMBOR  ACEITE BÄTRAK NHOPOL ISO VG 150</t>
  </si>
  <si>
    <t>PT03900020</t>
  </si>
  <si>
    <t>200.000 L TAMBOR  ACEITE BÄTRAK NHOPOL ISO VG 220</t>
  </si>
  <si>
    <t>PT03900021</t>
  </si>
  <si>
    <t>200.000 L TAMBOR  ACEITE BÄTRAK NHOPOL ISO VG 320</t>
  </si>
  <si>
    <t>PT03900022</t>
  </si>
  <si>
    <t>200.000 L TAMBOR  ACEITE BÄTRAK NHOPOL ISO VG 460</t>
  </si>
  <si>
    <t>PT03900023</t>
  </si>
  <si>
    <t>200.000 L TAMBOR  ACEITE BÄTRAK NHOPOL ISO VG 680</t>
  </si>
  <si>
    <t>PT03900024</t>
  </si>
  <si>
    <t>200.000 L TAMBOR  ACEITE BÄTRAK NHOPOL ISO VG 1000</t>
  </si>
  <si>
    <t>PT04500013</t>
  </si>
  <si>
    <t>200.000 L TAMBOR  ACEITE BÄTRAK RHODAR SYNTHEX ISO VG 100</t>
  </si>
  <si>
    <t>PT04500014</t>
  </si>
  <si>
    <t>200.000 L TAMBOR  ACEITE BÄTRAK RHODAR SYNTHEX ISO VG 150</t>
  </si>
  <si>
    <t>PT04500015</t>
  </si>
  <si>
    <t>200.000 L TAMBOR  ACEITE BÄTRAK RHODAR SYNTHEX ISO VG 220</t>
  </si>
  <si>
    <t>PT04500016</t>
  </si>
  <si>
    <t>200.000 L TAMBOR  ACEITE BÄTRAK RHODAR SYNTHEX ISO VG 320</t>
  </si>
  <si>
    <t>PT04500017</t>
  </si>
  <si>
    <t>200.000 L TAMBOR  ACEITE BÄTRAK RHODAR SYNTHEX ISO VG 460</t>
  </si>
  <si>
    <t>PT02800009</t>
  </si>
  <si>
    <t>200.000 L TAMBOR  ACEITE BÄTRAK KOROB ISO VG 46</t>
  </si>
  <si>
    <t>PT02800010</t>
  </si>
  <si>
    <t>200.000 L TAMBOR  ACEITE BÄTRAK KOROB ISO VG 68</t>
  </si>
  <si>
    <t>PT02800011</t>
  </si>
  <si>
    <t>200.000 L TAMBOR  ACEITE BÄTRAK KOROB ISO VG 100</t>
  </si>
  <si>
    <t>PT02800012</t>
  </si>
  <si>
    <t>200.000 L TAMBOR  ACEITE BÄTRAK KOROB ISO VG 150</t>
  </si>
  <si>
    <t>PT02500007</t>
  </si>
  <si>
    <t>200.000 L TAMBOR  ACEITE BÄTRAK KOBEL SYNTHEX ISO VG 68</t>
  </si>
  <si>
    <t>PT02500009</t>
  </si>
  <si>
    <t>200.000 L TAMBOR  ACEITE BÄTRAK KOBEL SYNTHEX ISO VG 150</t>
  </si>
  <si>
    <t>PT02900005</t>
  </si>
  <si>
    <t>200.000 L TAMBOR  ACEITE BÄTRAK KORSUN SYNTHEX ISO VG 38</t>
  </si>
  <si>
    <t>PT02900006</t>
  </si>
  <si>
    <t>200.000 L TAMBOR  ACEITE BÄTRAK KORSUN SYNTHEX ISO VG 55</t>
  </si>
  <si>
    <t>PT04200007</t>
  </si>
  <si>
    <t>200.000 L TAMBOR  ACEITE BÄTRAK PARHOVE SYNTHEX ISO VG 46</t>
  </si>
  <si>
    <t>PT04200008</t>
  </si>
  <si>
    <t>200.000 L TAMBOR  ACEITE BÄTRAK PARHOVE SYNTHEX ISO VG 68</t>
  </si>
  <si>
    <t>PT04000009</t>
  </si>
  <si>
    <t>200.000 L TAMBOR ACEITE BÄTRAK NOVE LIGERO ISO VG 32</t>
  </si>
  <si>
    <t>PT04000010</t>
  </si>
  <si>
    <t>200.000 L TAMBOR ACEITE BÄTRAK NOVE MEDIANO ISO VG 32</t>
  </si>
  <si>
    <t>PT04000011</t>
  </si>
  <si>
    <t>200.000 L TAMBOR ACEITE BÄTRAK NOVE PESADO ISO VG 32</t>
  </si>
  <si>
    <t>PT04000012</t>
  </si>
  <si>
    <t>200.000 L TAMBOR ACEITE BÄTRAK NOVE EXTRA PESADO ISO VG 32</t>
  </si>
  <si>
    <t>PT05000005</t>
  </si>
  <si>
    <t>200.000 L TAMBOR ACEITE BÄTRAK SUPER NOVE</t>
  </si>
  <si>
    <t>PT03500007</t>
  </si>
  <si>
    <t>200.000 L TAMBOR ACEITE BÄTRAK KUTY LIGERO</t>
  </si>
  <si>
    <t>PT03500008</t>
  </si>
  <si>
    <t>200.000 L TAMBOR ACEITE BÄTRAK KUTY MEDIANO</t>
  </si>
  <si>
    <t>PT03500009</t>
  </si>
  <si>
    <t>200.000 L TAMBOR ACEITE BÄTRAK KUTY PESADO</t>
  </si>
  <si>
    <t>PT01700011</t>
  </si>
  <si>
    <t>200.000 L TAMBOR ACEITE BÄTRAK HOLESKO VG 46</t>
  </si>
  <si>
    <t>PT01700012</t>
  </si>
  <si>
    <t>200.000 L TAMBOR ACEITE BÄTRAK HOLESKO VG 68</t>
  </si>
  <si>
    <t>PT01700013</t>
  </si>
  <si>
    <t>200.000 L TAMBOR ACEITE BÄTRAK HOLESKO VG 100</t>
  </si>
  <si>
    <t>PT01700014</t>
  </si>
  <si>
    <t>200.000 L TAMBOR ACEITE BÄTRAK HOLESKO VG 150</t>
  </si>
  <si>
    <t>PT01700015</t>
  </si>
  <si>
    <t>200.000 L TAMBOR ACEITE BÄTRAK HOLESKO VG 220</t>
  </si>
  <si>
    <t>PT04700007</t>
  </si>
  <si>
    <t>200.000 L TAMBOR ACEITE BÄTRAK ROMODAN ISO VG 32</t>
  </si>
  <si>
    <t>PT04700008</t>
  </si>
  <si>
    <t>200.000 L TAMBOR ACEITE BÄTRAK ROMODAN ISO VG 46</t>
  </si>
  <si>
    <t>PT04700009</t>
  </si>
  <si>
    <t>200.000 L TAMBOR ACEITE BÄTRAK ROMODAN ISO VG 68</t>
  </si>
  <si>
    <t>PT02400007</t>
  </si>
  <si>
    <t>200.000 L TAMBOR ACEITE BÄTRAK KHOSTU ISO VG 15</t>
  </si>
  <si>
    <t>PT02400008</t>
  </si>
  <si>
    <t>200.000 L TAMBOR ACEITE BÄTRAK KHOSTU ISO VG 22</t>
  </si>
  <si>
    <t>PT02400009</t>
  </si>
  <si>
    <t>200.000 L TAMBOR ACEITE BÄTRAK KHOSTU ISO VG 32</t>
  </si>
  <si>
    <t>PT01800002</t>
  </si>
  <si>
    <t>200.000 L TAMBOR ACEITE BÄTRAK HORLIKA</t>
  </si>
  <si>
    <t>PT03800002</t>
  </si>
  <si>
    <t>200.000 L TAMBOR ACEITE BÄTRAK MILOVE FDA ISO VG 15</t>
  </si>
  <si>
    <t>PT03000002</t>
  </si>
  <si>
    <t>200.000 L TAMBOR ACEITE BÄTRAK KOSMACH</t>
  </si>
  <si>
    <t>BÄTRAK KOSMACH</t>
  </si>
  <si>
    <t>PT04300003</t>
  </si>
  <si>
    <t>200.000 L TAMBOR ACEITE BÄTRAK POLTAVE</t>
  </si>
  <si>
    <t>PT02100003</t>
  </si>
  <si>
    <t>200.000 L TAMBOR ACEITE BÄTRAK KHERSON EP</t>
  </si>
  <si>
    <t>PT02700001</t>
  </si>
  <si>
    <t>200.000 L TAMBOR ACEITE BÄTRAK KORLEVO SYNTHEX EP</t>
  </si>
  <si>
    <t>BÄTRAK KORLEVO SYNTHEX</t>
  </si>
  <si>
    <t>PT04600005</t>
  </si>
  <si>
    <t>200.000 L TAMBOR ACEITE BÄTRAK RODKY</t>
  </si>
  <si>
    <t>PT01400003</t>
  </si>
  <si>
    <t>200.000 L TAMBOR ACEITE BÄTRAK DOLYN ISO VG 32</t>
  </si>
  <si>
    <t>PT04800003</t>
  </si>
  <si>
    <t>200.000 L TAMBOR ACEITE BÄTRAK SOLCOV ISO VG 32</t>
  </si>
  <si>
    <t>PT04900003</t>
  </si>
  <si>
    <t>200.000 L TAMBOR ACEITE BÄTRAK SOLCOV PREMIUM ISO VG 32</t>
  </si>
  <si>
    <t>PT03600005</t>
  </si>
  <si>
    <t>200.000 L TAMBOR ACEITE BÄTRAK LESK ISO VG 22</t>
  </si>
  <si>
    <t>PT03600006</t>
  </si>
  <si>
    <t>200.000 L TAMBOR ACEITE BÄTRAK LESK ISO VG 32</t>
  </si>
  <si>
    <t>PT00700004</t>
  </si>
  <si>
    <t>200.000 L TAMBOR ACEITE BÄTRAK COPLAN ISO VG 22</t>
  </si>
  <si>
    <t>PT02200003</t>
  </si>
  <si>
    <t>200.000 L TAMBOR ACEITE BÄTRAK KHOPIL SAE 40</t>
  </si>
  <si>
    <t>PT01500001</t>
  </si>
  <si>
    <t>200.000 L TAMBOR ACEITE BÄTRAK DONSKE TIPO II</t>
  </si>
  <si>
    <t>BÄTRAK DONSKE</t>
  </si>
  <si>
    <t>PT02000003</t>
  </si>
  <si>
    <t>200.000 L TAMBOR ACEITE BÄTRAK IVANO</t>
  </si>
  <si>
    <t>PT01600032</t>
  </si>
  <si>
    <t>200.000 L TAMBOR ACEITE BÄTRAK GULFSEA SUPERBEAR 3008</t>
  </si>
  <si>
    <t>PT01600033</t>
  </si>
  <si>
    <t>200.000 L TAMBOR ACEITE BÄTRAK GULFSEA POWER 3030</t>
  </si>
  <si>
    <t>PT01600037</t>
  </si>
  <si>
    <t>200.000 L TAMBOR ACEITE BÄTRAK GULFSEA POWER 4040</t>
  </si>
  <si>
    <t>PT01600039</t>
  </si>
  <si>
    <t>200.000 L TAMBOR ACEITE BÄTRAK GULFSEA CYLCARE DCA 5040H</t>
  </si>
  <si>
    <t>PT01600040</t>
  </si>
  <si>
    <t>200.000 L TAMBOR ACEITE BÄTRAK GULFSEA CYLCARE DCA 5070H</t>
  </si>
  <si>
    <t>PT01600041</t>
  </si>
  <si>
    <t>200.000 L TAMBOR ACEITE BÄTRAK GULFSEA POWER MDO 3012</t>
  </si>
  <si>
    <t>PT01600042</t>
  </si>
  <si>
    <t>200.000 L TAMBOR ACEITE BÄTRAK GULFSEA POWER MDO 4012</t>
  </si>
  <si>
    <t>PT01600043</t>
  </si>
  <si>
    <t>200.000 L TAMBOR ACEITE BÄTRAK GULFSEA POWER MDO 3015</t>
  </si>
  <si>
    <t>PT01600045</t>
  </si>
  <si>
    <t>200.000 L TAMBOR ACEITE BÄTRAK GULFSEA POWER MDO 4015</t>
  </si>
  <si>
    <t>PT01600046</t>
  </si>
  <si>
    <t>200.000 L TAMBOR ACEITE BÄTRAK GULFSEA POWER MDO 4020</t>
  </si>
  <si>
    <t>PT01100017</t>
  </si>
  <si>
    <t>200.000 L TAMBOR ACEITE BÄTRAK DESNA PREMIUM HVI ISO VG 32</t>
  </si>
  <si>
    <t>PT01100018</t>
  </si>
  <si>
    <t>200.000 L TAMBOR ACEITE BÄTRAK DESNA PREMIUM HVI ISO VG 46</t>
  </si>
  <si>
    <t>PT01100019</t>
  </si>
  <si>
    <t>200.000 L TAMBOR ACEITE BÄTRAK DESNA PREMIUM HVI ISO VG 68</t>
  </si>
  <si>
    <t>PT01100021</t>
  </si>
  <si>
    <t>200.000 L TAMBOR ACEITE BÄTRAK DESNA PREMIUM HVI ISO VG 150</t>
  </si>
  <si>
    <t>PT04400003</t>
  </si>
  <si>
    <t>200.000 L TAMBOR ACEITE BÄTRAK RADOMISH B/E G-V SAE 40</t>
  </si>
  <si>
    <t>PT01500002</t>
  </si>
  <si>
    <t>200.000 L TAMBOR ACEITE BÄTRAK DONSKE TIPO II INHIBIDO</t>
  </si>
  <si>
    <t>PT40900001</t>
  </si>
  <si>
    <t>16.000 KG GRASA BÄTRAK BAT 1</t>
  </si>
  <si>
    <t>BÄTRAK BAT</t>
  </si>
  <si>
    <t>PT40900002</t>
  </si>
  <si>
    <t>16.000 KG GRASA BÄTRAK BAT 2</t>
  </si>
  <si>
    <t>PT40900003</t>
  </si>
  <si>
    <t>16.000 KG GRASA BÄTRAK BAT 3</t>
  </si>
  <si>
    <t>PT41000001</t>
  </si>
  <si>
    <t>16.000 KG GRASA BÄTRAK BAT EP 2</t>
  </si>
  <si>
    <t>BÄTRAK BAT EP</t>
  </si>
  <si>
    <t>PT41000002</t>
  </si>
  <si>
    <t>16.000 KG GRASA BÄTRAK BAT EP 3</t>
  </si>
  <si>
    <t>PT41100001</t>
  </si>
  <si>
    <t>16.000 KG GRASA BÄTRAK BAT EP G 2</t>
  </si>
  <si>
    <t>BÄTRAK BAT EP G</t>
  </si>
  <si>
    <t>PT41100002</t>
  </si>
  <si>
    <t>16.000 KG GRASA BÄTRAK BAT EP G 3</t>
  </si>
  <si>
    <t>PT40500001</t>
  </si>
  <si>
    <t>16.000 KG GRASA BÄTRAK BALTA OOO</t>
  </si>
  <si>
    <t>BÄTRAK BALTA</t>
  </si>
  <si>
    <t>PT40500002</t>
  </si>
  <si>
    <t>16.000 KG GRASA BÄTRAK BALTA OO</t>
  </si>
  <si>
    <t>PT40500003</t>
  </si>
  <si>
    <t>16.000 KG GRASA BÄTRAK BALTA O</t>
  </si>
  <si>
    <t>PT40500004</t>
  </si>
  <si>
    <t>16.000 KG GRASA BÄTRAK BALTA 1</t>
  </si>
  <si>
    <t>PT40500005</t>
  </si>
  <si>
    <t>16.000 KG GRASA BÄTRAK BALTA 2</t>
  </si>
  <si>
    <t>PT40500006</t>
  </si>
  <si>
    <t>16.000 KG GRASA BÄTRAK BALTA 3</t>
  </si>
  <si>
    <t>PT40600001</t>
  </si>
  <si>
    <t>16.000 KG GRASA BÄTRAK BALTA EP OOO</t>
  </si>
  <si>
    <t>BÄTRAK BALTA EP</t>
  </si>
  <si>
    <t>PT40600002</t>
  </si>
  <si>
    <t>16.000 KG GRASA BÄTRAK BALTA EP OO</t>
  </si>
  <si>
    <t>PT40600003</t>
  </si>
  <si>
    <t>16.000 KG GRASA BÄTRAK BALTA EP O</t>
  </si>
  <si>
    <t>PT40600004</t>
  </si>
  <si>
    <t>16.000 KG GRASA BÄTRAK BALTA EP 1</t>
  </si>
  <si>
    <t>PT40600005</t>
  </si>
  <si>
    <t>16.000 KG GRASA BÄTRAK BALTA EP 2</t>
  </si>
  <si>
    <t>PT40600006</t>
  </si>
  <si>
    <t>16.000 KG GRASA BÄTRAK BALTA EP 3</t>
  </si>
  <si>
    <t>PT40700001</t>
  </si>
  <si>
    <t>16.000 KG GRASA BÄTRAK BALTA EP G 1</t>
  </si>
  <si>
    <t>BÄTRAK BALTA EP G</t>
  </si>
  <si>
    <t>PT40700002</t>
  </si>
  <si>
    <t>16.000 KG GRASA BÄTRAK BALTA EP G 2</t>
  </si>
  <si>
    <t>PT40700003</t>
  </si>
  <si>
    <t>16.000 KG GRASA BÄTRAK BALTA EP G 3</t>
  </si>
  <si>
    <t>PT40800001</t>
  </si>
  <si>
    <t>16.000 KG GRASA BÄTRAK BALTA MOLY EP 1</t>
  </si>
  <si>
    <t>BÄTRAK BALTA MOLY EP</t>
  </si>
  <si>
    <t>PT40800002</t>
  </si>
  <si>
    <t>16.000 KG GRASA BÄTRAK BALTA MOLY EP 2</t>
  </si>
  <si>
    <t>PT40800003</t>
  </si>
  <si>
    <t>16.000 KG GRASA BÄTRAK BALTA MOLY EP 3</t>
  </si>
  <si>
    <t>PT41700001</t>
  </si>
  <si>
    <t>16.000 KG GRASA BÄTRAK OLYKA 1</t>
  </si>
  <si>
    <t>BÄTRAK OLYKA</t>
  </si>
  <si>
    <t>PT41700002</t>
  </si>
  <si>
    <t>16.000 KG GRASA BÄTRAK OLYKA 2</t>
  </si>
  <si>
    <t>PT41700003</t>
  </si>
  <si>
    <t>16.000 KG GRASA BÄTRAK OLYKA 3</t>
  </si>
  <si>
    <t>PT41800001</t>
  </si>
  <si>
    <t>16.000 KG GRASA BÄTRAK OLYKA EP 1</t>
  </si>
  <si>
    <t>BÄTRAK OLYKA EP</t>
  </si>
  <si>
    <t>PT41800002</t>
  </si>
  <si>
    <t>16.000 KG GRASA BÄTRAK OLYKA EP 2</t>
  </si>
  <si>
    <t>PT41800003</t>
  </si>
  <si>
    <t>16.000 KG GRASA BÄTRAK OLYKA EP 3</t>
  </si>
  <si>
    <t>PT41900001</t>
  </si>
  <si>
    <t>16.000 KG GRASA BÄTRAK OLYKA EP G 2</t>
  </si>
  <si>
    <t>BÄTRAK OLYKA EP G</t>
  </si>
  <si>
    <t>PT42000001</t>
  </si>
  <si>
    <t>16.000 KG GRASA BÄTRAK OLYKA MOLY EP   2</t>
  </si>
  <si>
    <t>BÄTRAK OLYKA MOLY EP</t>
  </si>
  <si>
    <t>PT42100001</t>
  </si>
  <si>
    <t>16.000 KG GRASA BÄTRAK OLYKA MOLY EP G 2</t>
  </si>
  <si>
    <t>BÄTRAK OLYKA MOLY EP G</t>
  </si>
  <si>
    <t>PT42200001</t>
  </si>
  <si>
    <t>16.000 KG GRASA BÄTRAK OLYKA SYNTHEX EP 2</t>
  </si>
  <si>
    <t>BÄTRAK OLYKA SYNTEX EP</t>
  </si>
  <si>
    <t>PT41300001</t>
  </si>
  <si>
    <t>16.000 KG GRASA BÄTRAK HOLUBA OOO</t>
  </si>
  <si>
    <t>BÄTRAK HOLUBA</t>
  </si>
  <si>
    <t>PT41300002</t>
  </si>
  <si>
    <t>16.000 KG GRASA BÄTRAK HOLUBA OO</t>
  </si>
  <si>
    <t>PT42500001</t>
  </si>
  <si>
    <t>16.000 KG GRASA BÄTRAK ROHAN SYNTHEX</t>
  </si>
  <si>
    <t>BÄTRAK ROHAN SYNTEX</t>
  </si>
  <si>
    <t>PT41600001</t>
  </si>
  <si>
    <t>16.000 KG GRASA BÄTRAK LUSTIK 2</t>
  </si>
  <si>
    <t>BÄTRAK LUSTIK</t>
  </si>
  <si>
    <t>PT41600002</t>
  </si>
  <si>
    <t>16.000 KG GRASA BÄTRAK LUSTIK 3</t>
  </si>
  <si>
    <t>PT42700001</t>
  </si>
  <si>
    <t>16.000 KG GRASA BÄTRAK WAXTA DRILLLL</t>
  </si>
  <si>
    <t>BÄTRAK WAXTA DRILL</t>
  </si>
  <si>
    <t>PT41400001</t>
  </si>
  <si>
    <t>16.000 KG GRASA BÄTRAK KRYVA FDA 2</t>
  </si>
  <si>
    <t>BÄTRAK KRYVA FDA 2</t>
  </si>
  <si>
    <t>PT41500001</t>
  </si>
  <si>
    <t>16.000 KG GRASA BÄTRAK LUBNY</t>
  </si>
  <si>
    <t>BÄTRAK LUBNY</t>
  </si>
  <si>
    <t>PT42300001</t>
  </si>
  <si>
    <t>16.000 KG GRASA BÄTRAK RODAKOVE</t>
  </si>
  <si>
    <t>BÄTRAK RODAKOVE</t>
  </si>
  <si>
    <t>PT40900005</t>
  </si>
  <si>
    <t>170.000 KG GRASA BÄTRAK BAT 2</t>
  </si>
  <si>
    <t>PT40900006</t>
  </si>
  <si>
    <t>170.000 KG GRASA BÄTRAK BAT 3</t>
  </si>
  <si>
    <t>PT41000003</t>
  </si>
  <si>
    <t>170.000 KG GRASA BÄTRAK BAT EP 2</t>
  </si>
  <si>
    <t>PT41000004</t>
  </si>
  <si>
    <t>170.000 KG GRASA BÄTRAK BAT EP 3</t>
  </si>
  <si>
    <t>PT41100003</t>
  </si>
  <si>
    <t>170.000 KG GRASA BÄTRAK BAT EP G 2</t>
  </si>
  <si>
    <t>PT41100004</t>
  </si>
  <si>
    <t>170.000 KG GRASA BÄTRAK BAT EP G 3</t>
  </si>
  <si>
    <t>PT40500007</t>
  </si>
  <si>
    <t>170.000 KG GRASA BÄTRAK BALTA OOO</t>
  </si>
  <si>
    <t>PT40500008</t>
  </si>
  <si>
    <t>170.000 KG GRASA BÄTRAK BALTA OO</t>
  </si>
  <si>
    <t>PT40500010</t>
  </si>
  <si>
    <t>170.000 KG GRASA BÄTRAK BALTA 1</t>
  </si>
  <si>
    <t>PT40500011</t>
  </si>
  <si>
    <t>170.000 KG GRASA BÄTRAK BALTA 2</t>
  </si>
  <si>
    <t>PT40500012</t>
  </si>
  <si>
    <t>170.000 KG GRASA BÄTRAK BALTA 3</t>
  </si>
  <si>
    <t>PT40600007</t>
  </si>
  <si>
    <t>170.000 KG GRASA BÄTRAK BALTA EP OOO</t>
  </si>
  <si>
    <t>PT40600008</t>
  </si>
  <si>
    <t>170.000 KG GRASA BÄTRAK BALTA EP OO</t>
  </si>
  <si>
    <t>PT40600009</t>
  </si>
  <si>
    <t>170.000 KG GRASA BÄTRAK BALTA EP O</t>
  </si>
  <si>
    <t>PT40600010</t>
  </si>
  <si>
    <t>170.000 KG GRASA BÄTRAK BALTA EP 1</t>
  </si>
  <si>
    <t>PT40600011</t>
  </si>
  <si>
    <t>170.000 KG GRASA BÄTRAK BALTA EP 2</t>
  </si>
  <si>
    <t>PT40600012</t>
  </si>
  <si>
    <t>170.000 KG GRASA BÄTRAK BALTA EP 3</t>
  </si>
  <si>
    <t>PT40700005</t>
  </si>
  <si>
    <t>170.000 KG GRASA BÄTRAK BALTA EP G 2</t>
  </si>
  <si>
    <t>PT40800006</t>
  </si>
  <si>
    <t>170.000 KG GRASA BÄTRAK BALTA MOLY EP 2</t>
  </si>
  <si>
    <t>PT41700005</t>
  </si>
  <si>
    <t>170.000 KG GRASA BÄTRAK OLYKA 2</t>
  </si>
  <si>
    <t>PT41800004</t>
  </si>
  <si>
    <t>170.000 KG GRASA BÄTRAK OLYKA EP 1</t>
  </si>
  <si>
    <t>PT41800005</t>
  </si>
  <si>
    <t>170.000 KG GRASA BÄTRAK OLYKA EP 2</t>
  </si>
  <si>
    <t>PT41800006</t>
  </si>
  <si>
    <t>170.000 KG GRASA BÄTRAK OLYKA EP 3</t>
  </si>
  <si>
    <t>PT41800007</t>
  </si>
  <si>
    <t>170.000 KG GRASA BÄTRAK OLYKA EP G 2</t>
  </si>
  <si>
    <t>PT42000002</t>
  </si>
  <si>
    <t>170.000 KG GRASA BÄTRAK OLYKA MOLY EP   2</t>
  </si>
  <si>
    <t>PT42100002</t>
  </si>
  <si>
    <t>170.000 KG GRASA BÄTRAK OLYKA MOLY EP G 2</t>
  </si>
  <si>
    <t>PT42200002</t>
  </si>
  <si>
    <t>170.000 KG GRASA BÄTRAK OLYKA SYNTHEX EP 2</t>
  </si>
  <si>
    <t>PT41300004</t>
  </si>
  <si>
    <t>170.000 KG GRASA BÄTRAK HOLUBA OO</t>
  </si>
  <si>
    <t>PT41600004</t>
  </si>
  <si>
    <t>170.000 KG GRASA BÄTRAK LUSTIK 3</t>
  </si>
  <si>
    <t>PT42700002</t>
  </si>
  <si>
    <t>170.000 KG GRASA BÄTRAK WAXTA DRILLLL</t>
  </si>
  <si>
    <t>PT41400002</t>
  </si>
  <si>
    <t>170.000 KG GRASA BÄTRAK KRYVA FDA 2</t>
  </si>
  <si>
    <t>PT41500002</t>
  </si>
  <si>
    <t>170.000 KG GRASA BÄTRAK LUBNY</t>
  </si>
  <si>
    <t>PT42600001</t>
  </si>
  <si>
    <t>170.000 KG TAMBOR GRASA BÄTRAK SUDAK-EP</t>
  </si>
  <si>
    <t>BÄTRAK SUDAK-EP</t>
  </si>
  <si>
    <t>PT61600001</t>
  </si>
  <si>
    <t>200.000 L TAMBOR CLEAR UREA SC</t>
  </si>
  <si>
    <t>PURE SKY</t>
  </si>
  <si>
    <t>PT13900001</t>
  </si>
  <si>
    <t>200.000 L FLUIDO PARA DILUCIÓN DE ANTICONGELANTE</t>
  </si>
  <si>
    <t>PT MAQUILA</t>
  </si>
  <si>
    <t>FLUIDO PARA BATERIA</t>
  </si>
  <si>
    <t>0.950 L BOTELLA HI-ENERGY API SL SAE 25W-50</t>
  </si>
  <si>
    <t>PT07000008</t>
  </si>
  <si>
    <t>0.950 L ROSHPACK FULL AK HI-ENERGY API SL SAE 25W-50</t>
  </si>
  <si>
    <t>5.000 L GARRAFA HI-ENERGY API SL SAE 25W-50</t>
  </si>
  <si>
    <t>PT07000010</t>
  </si>
  <si>
    <t>19.000 L CUBETA FULL AK HI-ENERGY API SL SAE 25W-50</t>
  </si>
  <si>
    <t>PT07000011</t>
  </si>
  <si>
    <t>200.000 L TAMBOR FULL AK HI-ENERGY API SL SAE 25W-50</t>
  </si>
  <si>
    <t>PT07000012</t>
  </si>
  <si>
    <t>1.000 L GRANEL FULL AK HI-ENERGY API SL SAE 25W-50</t>
  </si>
  <si>
    <t>0.950 L ROSHPACK HI-ENERGY API SL SAE 20W-50</t>
  </si>
  <si>
    <t>19.000 L CUBETA HI-ENERGY API SL SAE 20W-50</t>
  </si>
  <si>
    <t>200.000 L TAMBOR HI-ENERGY API SL SAE 20W-50</t>
  </si>
  <si>
    <t>PT07000016</t>
  </si>
  <si>
    <t>1.000 L GRANEL HI-ENERGY API SL SAE 20W-50</t>
  </si>
  <si>
    <t>0.950 L BOTELLA SUPER HD API SL SAE 40</t>
  </si>
  <si>
    <t>0.950 L ROSHPACK SUPER HD API SL SAE 40</t>
  </si>
  <si>
    <t>PT06900024</t>
  </si>
  <si>
    <t>5.000 L GARRAFA FULL HD HEAVY DUTY API SL SAE 40</t>
  </si>
  <si>
    <t>19.000 L CUBETA SUPER HD API SL SAE 40</t>
  </si>
  <si>
    <t>200.000 L TAMBOR SUPER HD API SL SAE 40</t>
  </si>
  <si>
    <t>PT06900027</t>
  </si>
  <si>
    <t>1.000 L GRANEL SUPER HD API SL SAE 40</t>
  </si>
  <si>
    <t>0.950 L ROSHPACK SUPER HD API SL SAE 50</t>
  </si>
  <si>
    <t>PT06900029</t>
  </si>
  <si>
    <t>5.000 L GARRAFA FULL HD HEAVY DUTY API SL SAE 50</t>
  </si>
  <si>
    <t>19.000 L CUBETA SUPER HD API SL SAE 50</t>
  </si>
  <si>
    <t>200.000 L TAMBOR SUPER HD API SL SAE 50</t>
  </si>
  <si>
    <t>PT06900032</t>
  </si>
  <si>
    <t>1.000 L GRANEL SUPER HD API SL SAE 50</t>
  </si>
  <si>
    <t>0.950 L ROSHPACK SUPER HD API SL SAE 60</t>
  </si>
  <si>
    <t>PT06900034</t>
  </si>
  <si>
    <t>5.000 L GARRAFA FULL HD HEAVY DUTY API SL SAE 60</t>
  </si>
  <si>
    <t>19.000 L CUBETA SUPER HD API SL SAE 60</t>
  </si>
  <si>
    <t>200.000 L TAMBOR SUPER HD API SL SAE 60</t>
  </si>
  <si>
    <t>PT55600001</t>
  </si>
  <si>
    <t>1.000 L GRANEL ANTICONGELANTE ROSHFRANS SUPER CONCENTRADO</t>
  </si>
  <si>
    <t>SUPER CONCENTRADO</t>
  </si>
  <si>
    <t>PT55600002</t>
  </si>
  <si>
    <t>3.785 L GARRAFA ANTICONGELANTE ROSHFRANS SUPER CONCENTRADO</t>
  </si>
  <si>
    <t>200.000 L TAMBOR ANTICONGELANTE ROSHFRANS SUPER CONCENTRADO</t>
  </si>
  <si>
    <t>PT55200006</t>
  </si>
  <si>
    <t>1.000 L GRANEL ANTICONGELANTE ROSHFRANS CONCENTRADO</t>
  </si>
  <si>
    <t>0.950 L ROSHPACK ANTICONGELANTE ROSHFRANS CONCENTRADO</t>
  </si>
  <si>
    <t>PT55200008</t>
  </si>
  <si>
    <t>3.785 L GARRAFA ANTICONGELANTE ROSHFRANS CONCENTRADO</t>
  </si>
  <si>
    <t>19.000 L CUBETA ANTICONGELANTE ROSHFRANS CONCENTRADO</t>
  </si>
  <si>
    <t>200.000 L TAMBOR ANTICONGELANTE ROSHFRANS CONCENTRADO</t>
  </si>
  <si>
    <t>PT08600001</t>
  </si>
  <si>
    <t>0.950 L BOTELLA ACEITE SPEED RACING API SN / ILSAC GF-5 SAE 0W-20</t>
  </si>
  <si>
    <t>SINTETICO SPEED RACING</t>
  </si>
  <si>
    <t>PT08600002</t>
  </si>
  <si>
    <t>19.000 L CUBETA ACEITE SPEED RACING API SN / ILSAC GF-5 SAE 0W-20</t>
  </si>
  <si>
    <t>PT08600003</t>
  </si>
  <si>
    <t>200.000 L TAMBOR ACEITE SPEED RACING API SN / ILSAC GF-5 SAE 0W-20</t>
  </si>
  <si>
    <t>PT08100003</t>
  </si>
  <si>
    <t>0.950 L BOTELLA ACEITE RUN-PWR SINTETICO  API SN SAE 5W-40</t>
  </si>
  <si>
    <t>RUN-PWR SINTETICO</t>
  </si>
  <si>
    <t>PT08600004</t>
  </si>
  <si>
    <t>19.000 L CUBETA ACEITE SPEED RACING API SN SAE 5W-40</t>
  </si>
  <si>
    <t>PT08600005</t>
  </si>
  <si>
    <t>200.000 L TAMBOR ACEITE SPEED RACING API SN SAE 5W-40</t>
  </si>
  <si>
    <t>PT08600006</t>
  </si>
  <si>
    <t>0.950 L BOTELLA ACEITE SPEED RACING API SN SAE 5W-50</t>
  </si>
  <si>
    <t>PT08600007</t>
  </si>
  <si>
    <t>19.000 L CUBETA ACEITE SPEED RACING API SN SAE 5W-50</t>
  </si>
  <si>
    <t>PT08600008</t>
  </si>
  <si>
    <t>200.000 L TAMBOR ACEITE SPEED RACING API SN SAE 5W-50</t>
  </si>
  <si>
    <t>PT07600004</t>
  </si>
  <si>
    <t>0.950 L BOTELLA ACEITE TI-22 API SN SAE 20W-50</t>
  </si>
  <si>
    <t>PT07600005</t>
  </si>
  <si>
    <t>5.000 L GARRAFA ACEITE TI-22 API SN SAE 20W-50</t>
  </si>
  <si>
    <t>PT07600006</t>
  </si>
  <si>
    <t>19.000 L CUBETA ACEITE TI-22 API SN SAE 20W-50</t>
  </si>
  <si>
    <t>PT07600007</t>
  </si>
  <si>
    <t>200.000 L TAMBOR ACEITE TI-22 API SN SAE 20W-50</t>
  </si>
  <si>
    <t>PT07600008</t>
  </si>
  <si>
    <t>0.950 L BOTELLA ACEITE TI-22 API SN SAE 15W-40</t>
  </si>
  <si>
    <t>PT07600009</t>
  </si>
  <si>
    <t>5.000 L GARRAFA ACEITE TI-22 API SN SAE 15W-40</t>
  </si>
  <si>
    <t>PT07600012</t>
  </si>
  <si>
    <t>0.950 L BOTELLA ACEITE TI-22 API SN/ILSAC GF-5 SAE 10W-30</t>
  </si>
  <si>
    <t>PT07600013</t>
  </si>
  <si>
    <t>5.000 L GARRAFA ACEITE TI-22 API SN/ILSAC GF-5 SAE 10W-30</t>
  </si>
  <si>
    <t>PT07600015</t>
  </si>
  <si>
    <t>200.000 L TAMBOR ACEITE TI-22 API SN/ILSAC GF-5 SAE 10W-30</t>
  </si>
  <si>
    <t>PT07600016</t>
  </si>
  <si>
    <t>0.950 L BOTELLA ACEITE TI-22 API SN/ILSAC GF-5 SAE 5W-30</t>
  </si>
  <si>
    <t>PT07600017</t>
  </si>
  <si>
    <t>5.000 L GARRAFA ACEITE TI-22 API SN/ILSAC GF-5 SAE 5W-30</t>
  </si>
  <si>
    <t>PT08500006</t>
  </si>
  <si>
    <t>19.000 L CUBETA ACEITE TI-22 API SN/ILSAC GF-5 SAE 5W-30</t>
  </si>
  <si>
    <t>PT07800002</t>
  </si>
  <si>
    <t>5.000 L GARRAFA ACEITE ZN-30 API SN SAE 25W-50</t>
  </si>
  <si>
    <t>ROSHFRANS ZN-30</t>
  </si>
  <si>
    <t>PT07800003</t>
  </si>
  <si>
    <t>19.000 L CUBETA ACEITE ZN-30 API SN SAE 25W-50</t>
  </si>
  <si>
    <t>PT07800004</t>
  </si>
  <si>
    <t>200.000 L TAMBOR ACEITE ZN-30 API SN SAE 25W-50</t>
  </si>
  <si>
    <t>PT10400012</t>
  </si>
  <si>
    <t>0.950 L ROSHPACK DIESEL HI-ENERGY CF-4 SAE 25W-50</t>
  </si>
  <si>
    <t>PT10700010</t>
  </si>
  <si>
    <t>0.950 L ROSHPACK VOLTRO RAS SERIES 3 API CF/CF-2 SAE 50</t>
  </si>
  <si>
    <t>PT10700011</t>
  </si>
  <si>
    <t>0.950 L ROSHPACK DIESEL RAS SERIES 3 API CF SAE 40</t>
  </si>
  <si>
    <t>3.785 L ROSHPACK REFRIGERANTE CONCENTRADO</t>
  </si>
  <si>
    <t>3.785 L ROSHPACK REFRIGERANTE COOLANT</t>
  </si>
  <si>
    <t>3.785 L ROSHPACK REFRIGERANTE CLIMATIZADO</t>
  </si>
  <si>
    <t>PT08600009</t>
  </si>
  <si>
    <t>0.950 L BOTELLA ACEITE SPEED RACING API SN / ILSAC GF-5 SAE 0W-20 6 PZAS</t>
  </si>
  <si>
    <t>PT10400014</t>
  </si>
  <si>
    <t>4.000 L ROSHPACK DIESEL HI- ENERGY CF-4 SAE 25W-50 NL</t>
  </si>
  <si>
    <t>PT10700012</t>
  </si>
  <si>
    <t>4.000 L ROSHPACK VOLTRO RAS SERIE 3 API CF SAE 40 NL</t>
  </si>
  <si>
    <t>PT07300008</t>
  </si>
  <si>
    <t>0.950 L BOTELLA MOTONIC 4 TIEMPOS SAE 10W-40 JASO MA2</t>
  </si>
  <si>
    <t>PT07300009</t>
  </si>
  <si>
    <t>0.950 BOTELLA MOTONIC 4 TIEMPOS SINTETICO SAE 10W-50 JASO MA2</t>
  </si>
  <si>
    <t>PT07300010</t>
  </si>
  <si>
    <t>0.950 L BOTELLA MOTONIC 4 TIEMPOS SAE 20W-50 JASO MA2</t>
  </si>
  <si>
    <t>PT07200005</t>
  </si>
  <si>
    <t>0.950 L BOTELLA MOTONIC 2 TIEMPOS API TC</t>
  </si>
  <si>
    <t>PT07300011</t>
  </si>
  <si>
    <t>200.000 L TAMBOR MOTONIC 4 TIEMPOS SAE 10W-40 JASO MA2</t>
  </si>
  <si>
    <t>PT07300012</t>
  </si>
  <si>
    <t>19.000 L CUBETA MOTONIC 4 TIEMPOS SINTETICO SAE 10W-50 JASO MA2</t>
  </si>
  <si>
    <t>PT07300013</t>
  </si>
  <si>
    <t>200.000 L TAMBOR MOTONIC 4 TIEMPOS SINTETICO SAE 10W-50 JASO MA2</t>
  </si>
  <si>
    <t>PT07300014</t>
  </si>
  <si>
    <t>19.000 L CUBETA  MOTONIC 4 TIEMPOS SAE 10W-40</t>
  </si>
  <si>
    <t>19.000 L CUBETA  MOTONIC 4 TIEMPOS SAE 20W-50</t>
  </si>
  <si>
    <t>PT07300016</t>
  </si>
  <si>
    <t>200.000 L TAMBOR MOTONIC 4 TIEMPOS SAE 20W-50 JASO MA2</t>
  </si>
  <si>
    <t>PT10600002</t>
  </si>
  <si>
    <t>19.000 L CUBETA VOLTRO® MAGNUM API CK-4/SN SAE 15W-40</t>
  </si>
  <si>
    <t>PT10600003</t>
  </si>
  <si>
    <t>200.000 L TAMBOR VOLTRO® MAGNUM API CK-4/SN SAE 15W-40</t>
  </si>
  <si>
    <t>PT10600004</t>
  </si>
  <si>
    <t>1.000 L GRANEL VOLTRO® MAGNUM API CK-4/SN SAE 15W-40</t>
  </si>
  <si>
    <t>PT08900001</t>
  </si>
  <si>
    <t>0.950 L ROSHPACK DIESEL VOLTRO SAE 15W-40</t>
  </si>
  <si>
    <t>VOLTRO RACING</t>
  </si>
  <si>
    <t>PT08900002</t>
  </si>
  <si>
    <t>4.000 L ROSHPACK DIESEL VOLTRO SAE 15W-40</t>
  </si>
  <si>
    <t>PT08900003</t>
  </si>
  <si>
    <t>0.950 L ROSHFRANS VOLTRO RACING SEMISINTETICO SAE 15W-40</t>
  </si>
  <si>
    <t>4.000 L ROSHPACK VOLTRO RACING SEMISINTETICO SAE 15W-40</t>
  </si>
  <si>
    <t>PT08900005</t>
  </si>
  <si>
    <t>0.950 L ROSHPACK VOLTRO RACING FULL SYNTHETIC SAE 5W-40</t>
  </si>
  <si>
    <t>PT08900006</t>
  </si>
  <si>
    <t>4.000 L ROSHPACK VOLTRO RACING FULL SYNTHETIC SAE 5W-40</t>
  </si>
  <si>
    <t>PT08600011</t>
  </si>
  <si>
    <t>0.950 L BOTELLA ACEITE SPEED RACING API SN  / ILSAC GF-5  SAE 0W-20 6 PIEZAS</t>
  </si>
  <si>
    <t>PT08600012</t>
  </si>
  <si>
    <t>0.950 L BOTELLA ACEITE SPEED RACING API SN   SAE 5W-40 6 PIEZAS</t>
  </si>
  <si>
    <t>PT08600013</t>
  </si>
  <si>
    <t>0.950 L BOTELLA ACEITE SPEED RACING API SN  SAE 5W-50 6 PIEZAS</t>
  </si>
  <si>
    <t>1.000 L GRANEL ROSHFRANS PURE SKY</t>
  </si>
  <si>
    <t>19.000 L CUBETA ROSHFRANS PURE SKY</t>
  </si>
  <si>
    <t>200.000 L TAMBOR ROSHFRANS PURE SKY</t>
  </si>
  <si>
    <t>1.000 L GRANEL VOLTRO® SUPER GAS CNG SAE 15W-40</t>
  </si>
  <si>
    <t>VOLTRO SUPER GAS</t>
  </si>
  <si>
    <t>200.000 L TAMBOR VOLTRO SUPER GAS CNG SAE 15W-40</t>
  </si>
  <si>
    <t>PT55000008</t>
  </si>
  <si>
    <t>0.950 L ROSHPACK REFRIGERANTE CLIMATIZADO WM</t>
  </si>
  <si>
    <t>PT07000017</t>
  </si>
  <si>
    <t>0.950 L ROSHPACK HI-ENERGY  API SL SAE 20W-50  4 PIEZAS</t>
  </si>
  <si>
    <t>4.000 L ROSHPACK VOLTRO MAX POWER API CH-4/SJ SAE 25W-50</t>
  </si>
  <si>
    <t>PT10700014</t>
  </si>
  <si>
    <t>4.000 L ROSHPACK VOLTRO RAS SERIES 3 API CF SAE 50</t>
  </si>
  <si>
    <t>3.785 L ROSHPACK SHAMPOO PARA AUTOS</t>
  </si>
  <si>
    <t>PT60500014</t>
  </si>
  <si>
    <t>3.785 L ROSHPACK LIQUIDO LIMPIA PARABRISAS</t>
  </si>
  <si>
    <t>4.000 L ROSHPACK VOLTRO RAS SERIES 3 DF/DF-2 SAE 40</t>
  </si>
  <si>
    <t>4.000 L ROSHPACK VOLTRO RAS SERIES 3 DF/DF-2 SAE 50</t>
  </si>
  <si>
    <t>5.000 L GARRAFA VOLTRO FORCE API CI-4/SL SAE 20W-50</t>
  </si>
  <si>
    <t>5.000 L GARRAFA VOLTRO + PLUS API CI-4PLUS/SL SAE 15W-40</t>
  </si>
  <si>
    <t>3.785 L GARRAFA ANTICONGELANTE DIESEL SUPER CONCENTRADO</t>
  </si>
  <si>
    <t>PT07900005</t>
  </si>
  <si>
    <t>5.000 L GARRAFA ACEITE RUN-PWR API SN SAE 20W-50</t>
  </si>
  <si>
    <t>RUN-PWR</t>
  </si>
  <si>
    <t>PT07900006</t>
  </si>
  <si>
    <t>5.000 L GARRAFA ACEITE RUN-PWR API SN SAE 10W-40</t>
  </si>
  <si>
    <t>PT07900007</t>
  </si>
  <si>
    <t>5.000 L  GARRAFA ACEITE RUN-PWR API SN/ILSAC GF-5 SAE 5W-30</t>
  </si>
  <si>
    <t>5.000 L  GARRAFA VOLTRO MAX POWER API CH-4/SJ SAE 15W-40</t>
  </si>
  <si>
    <t>5.000 L  GARRAFA VOLTRO MAX POWER API CH-4/SJ SAE 25W-50</t>
  </si>
  <si>
    <t>PT07900008</t>
  </si>
  <si>
    <t>5.000 L GARRAFA ACEITE RUN-PWR API SN SAE 15W-40</t>
  </si>
  <si>
    <t>5.000 L GARRAFA HI-ENERGY API SL SAE 25W-60</t>
  </si>
  <si>
    <t>5.000L GARRAFA ACEITE RUN-PWR API SP SAE 20W-50</t>
  </si>
  <si>
    <t>5.000 L GARRAFA ACEITE RUN-PWR API SP/ILSAC GF-6A SAE 5W-30</t>
  </si>
  <si>
    <t>5.000 L GARRAFA  ACEITE RUN-PWR API SP SAE 10W-40</t>
  </si>
  <si>
    <t>5.000 L GARRAFA  ACEITE RUN-PWR API SP SAE 15W-40</t>
  </si>
  <si>
    <t>5.000 L GARRAFA VOLTRO RAS SERIES 3 DF/DF-2 SAE 40</t>
  </si>
  <si>
    <t>5.000 L GARRAFA VOLTRO RAS SERIES 3 DF/DF-2 SAE 50</t>
  </si>
  <si>
    <t>PT08200002</t>
  </si>
  <si>
    <t>5.000 L GARRAFA ACEITE RUN-PWR TRI-SINTÉTICO API SP/ILSAC GF-6A SAE 5W-30</t>
  </si>
  <si>
    <t>RUN-PWR TRI-SINTÉTICO</t>
  </si>
  <si>
    <t>0.500 L BOTELLA ADITIVO R-27 DIESEL CLEAN YECTOR</t>
  </si>
  <si>
    <t>0.500 L BOTELLA ADITIVO R-27 FULL TREATMENT</t>
  </si>
  <si>
    <t>FULL TREATMENT</t>
  </si>
  <si>
    <t>0.500 L BOTELLA ADITIVO R-27 KEEP CLEAN</t>
  </si>
  <si>
    <t>KEEP CLEAN</t>
  </si>
  <si>
    <t>0.500 L BOTELLA ADITIVO R-27 CLEAN UP</t>
  </si>
  <si>
    <t>CLEAN -UP</t>
  </si>
  <si>
    <t>PT60500015</t>
  </si>
  <si>
    <t>0.600 L ATOMIZADOR ABRILLANTADOR VINIL,ABRILLANTADOR HULE</t>
  </si>
  <si>
    <t>PT60500016</t>
  </si>
  <si>
    <t>0.600 L ATOMIZADOR DESENGRASANTE MULTIUSOS</t>
  </si>
  <si>
    <t>20.000 L BIDON SHAMPOO PARA AUTOS</t>
  </si>
  <si>
    <t>20.000 L BIDON DESENGRASANTE MULTIUSOS</t>
  </si>
  <si>
    <t>20.000 L BIDON ABRILLANTADOR PARA VINIL</t>
  </si>
  <si>
    <t>20.000 L BIDON LIQUIDO LIMPIA PARABRISAS</t>
  </si>
  <si>
    <t>0.250L  BOTELLA MOTONIC 2 TIEMPOS API TC</t>
  </si>
  <si>
    <t>PT08200003</t>
  </si>
  <si>
    <t>3.800 L PAQUETE PATROCINIO RAYADOS RUN PWR TRI-SINTÉTICO API SP/ILSAC GF-6 SAE 0W-20</t>
  </si>
  <si>
    <t>PT07900013</t>
  </si>
  <si>
    <t>3.800 L PAQUETE PATROCINIO RAYADOS RUN-PWR API SP SAE 15W-40</t>
  </si>
  <si>
    <t>PT07900014</t>
  </si>
  <si>
    <t>3.800 L PAQUETE PATROCINIO RAYADOS RUN-PWR API SP SAE 20W-50</t>
  </si>
  <si>
    <t>PT07900015</t>
  </si>
  <si>
    <t>3.800 L PAQUETE PATROCINIO RAYADOS RUN-PWR SINTÉTICO API SP SAE 5W-40</t>
  </si>
  <si>
    <t>RUN-PWR SINTÉTICO</t>
  </si>
  <si>
    <t>PT07900016</t>
  </si>
  <si>
    <t>3.800 L PAQUETE PATROCINIO RAYADOS RUN-PWR SINTÉTICO API SP SAE 5W-50</t>
  </si>
  <si>
    <t>PT08200004</t>
  </si>
  <si>
    <t>3.800 L PAQUETE PATROCINIO RAYADOS RUN-PWR TRI-SINTÉTICO API SP/ILSAC GF-6A SAE 5W-30</t>
  </si>
  <si>
    <t>PT07900001</t>
  </si>
  <si>
    <t>3.800 L PPT DIABLOS RUN-PWR API SP SAE 15W-40</t>
  </si>
  <si>
    <t>PT07900002</t>
  </si>
  <si>
    <t>3.800 L PPT DIABLOS RUN-PWR API SP SAE 20W-50</t>
  </si>
  <si>
    <t>PT A. MOTOR A GAS</t>
  </si>
  <si>
    <t>PT08100002</t>
  </si>
  <si>
    <t>3.800 L PP DIABLOS RUN-PWR SINTÉTICO API SP/ILSAC GF-6A SAE 5W-30</t>
  </si>
  <si>
    <t>0.950 L ROSHPACK LIQUIDO LIMPIA PARABRISAS</t>
  </si>
  <si>
    <t>PT60500022</t>
  </si>
  <si>
    <t>0.950 L ROSHPACK SHAMPOO PARA AUTOS</t>
  </si>
  <si>
    <t>0.950L ROSHPACK VOLTRO RAS SERIES 3 DF/DF-2  SAE 50</t>
  </si>
  <si>
    <t>19.000 L CUBETA VOLTRO AMERICANFLEET API CK-4 /SN SAE 5W-40</t>
  </si>
  <si>
    <t>19.000 L CUBETA VOLTRO MAX POWER API CH-4/SJ SAE 15W-40</t>
  </si>
  <si>
    <t>19.000 L CUBETA VOLTRO MAX POWER API CH-4/SJ SAE 25W-50</t>
  </si>
  <si>
    <t>19.000 L CUBETA VOLTRO PRO API CK-4 /SN SAE 15W-40</t>
  </si>
  <si>
    <t>19.000 L CUBETA ANTICONGELANTE DIESEL SUPER CONCENTRADO</t>
  </si>
  <si>
    <t>19.000 L CUBETA ACEITE RUN-PWR TRI-SINTETICO API SN PLUS/ILSAC GF-5 SAE 0W-20</t>
  </si>
  <si>
    <t>RUN-PWR TRI SINTETICO</t>
  </si>
  <si>
    <t>PT08200006</t>
  </si>
  <si>
    <t>19.000 L CUBETA ACEITE RUN-PWR TRI-SINTETICO API SN PLUS/ILSAC GF-5 SAE 5W-30</t>
  </si>
  <si>
    <t>PT08200007</t>
  </si>
  <si>
    <t>19.000 L CUBETA ACEITE RUN-PWR TRI-SINTETICO API SN PLUS SAE 5W-50</t>
  </si>
  <si>
    <t>PT08100007</t>
  </si>
  <si>
    <t>19.000 L CUBETA ACEITE RUN-PWR SINTETICO API SN PLUS/ILSAC GF-5 SAE 5W-30</t>
  </si>
  <si>
    <t>PT07900017</t>
  </si>
  <si>
    <t>19.000 L CUBETA ACEITE RUN-PWR API SN SAE 10W-40</t>
  </si>
  <si>
    <t>PT07900018</t>
  </si>
  <si>
    <t>19.000 L CUBETA ACEITE RUN-PWR API SN SAE 20W-50</t>
  </si>
  <si>
    <t>19.000 L CUBETA ACEITE RUN-PWR API SN /ILSAC GF-5 SAE 5W-30</t>
  </si>
  <si>
    <t>19.000 L CUBETA ACEITE RUN-PWR SINTETICO API SN SAE 5W-50</t>
  </si>
  <si>
    <t>19.000 L CUBETA ACEITE RUN-PWR SINTETICO API SN SAE 5W-40</t>
  </si>
  <si>
    <t>19.000 L CUBETA  CVTF PARA TRANSMISION CONTINUAMENTE VARIABLE</t>
  </si>
  <si>
    <t>CVTF</t>
  </si>
  <si>
    <t>19.000L CUBETA VOLTRO RAS SERIES 3 DF/DF-2 SAE 40</t>
  </si>
  <si>
    <t>19.000L CUBETA VOLTRO RAS SERIES 3 DF/DF-2 SAE 50</t>
  </si>
  <si>
    <t>19.000L CUBETA VOLTRO MAX POWER API CH-4/SJ SAE 25W-60</t>
  </si>
  <si>
    <t>200.000 L TAMBOR VOLTRO AMERICANFLEET API CK/4/SN SAE 5W-40</t>
  </si>
  <si>
    <t>200.000 L TAMBOR VOLTRO MAX POWER API CH-4/SJ SAE 15W-40</t>
  </si>
  <si>
    <t>200.000 L TAMBOR VOLTRO PRO API CK-4/SN SAE 15W-40</t>
  </si>
  <si>
    <t>200.000 L TAMBOR VOLTRO MAX POWER API CH-4/SJ SAE 25W-50</t>
  </si>
  <si>
    <t>200.000 L TAMBOR ANTICONGELANTE DIESEL SUPER CONCENTRADO</t>
  </si>
  <si>
    <t>PT08200012</t>
  </si>
  <si>
    <t>200.000 L TAMBOR ACEITE RUN-PWR TRI-SINTETICO API SN PLUS/ILSAC GF-5 SAE 5W-30</t>
  </si>
  <si>
    <t>PT08100012</t>
  </si>
  <si>
    <t>200.000 L TAMBOR ACEITE RUN-PWR SINTETICO API SN/ILSAC GF-5 SAE 5W-30</t>
  </si>
  <si>
    <t>PT07900021</t>
  </si>
  <si>
    <t>200.000 L TAMBOR ACEITE RUN-PWR API SN SAE 20W-50</t>
  </si>
  <si>
    <t>PT07900022</t>
  </si>
  <si>
    <t>200.000 L TAMBOR ACEITE RUN-PWR API SN/ILSAC GF-5 SAE 5W-30</t>
  </si>
  <si>
    <t>200.000 L TAMBOR CVTF PARA TRANSMISION CONTINUAMENTE VARIABLE</t>
  </si>
  <si>
    <t>PT07900023</t>
  </si>
  <si>
    <t>200.000 L TAMBOR ACEITE RUN-PWR  API SN  SAE 15W-40</t>
  </si>
  <si>
    <t>PT60500023</t>
  </si>
  <si>
    <t>200.000 L TAMBOR LIQUIDO LIMPIA PARABRISAS USO DIRECTO</t>
  </si>
  <si>
    <t>PT60500024</t>
  </si>
  <si>
    <t>200.000 L TAMBOR DESENGRASANTE MULTIUSOS</t>
  </si>
  <si>
    <t>200.000 L TAMBOR ABRILLANTADOR PARA VINIL</t>
  </si>
  <si>
    <t>200.000 L TAMBOR SHAMPOO PARA AUTOS</t>
  </si>
  <si>
    <t>PT08100015</t>
  </si>
  <si>
    <t>200.000 L TAMBOR ACEITE RUN-PWR SINTÉTICO API SN PLUS/ILSAC GF-5 SAE 10W-30</t>
  </si>
  <si>
    <t>PT07000019</t>
  </si>
  <si>
    <t>200.000 L TAMBOR HI-ENERGY API SL SAE 25W-50</t>
  </si>
  <si>
    <t>200.000 L TAMBOR HI-ENERGY API SL SAE 25W-60</t>
  </si>
  <si>
    <t>200.000 L TAMBOR ACEITE RUN-PWR API SP/ILSAC GF-6A SAE 5W-30</t>
  </si>
  <si>
    <t>200.000 L TAMBOR ACEITE RUN-PWR API SP SAE 10W-40</t>
  </si>
  <si>
    <t>200.000 L TAMBOR ACEITE RUN-PWR API SP SAE 15W-40</t>
  </si>
  <si>
    <t>200.000 L TAMBOR ACEITE RUN-PWR API SP SAE 20W-50</t>
  </si>
  <si>
    <t>200.000 L TAMBOR  ACEITE RUN-PWR SINTÉTICO API SP/ILSAC GF-6A SAE 5W-30</t>
  </si>
  <si>
    <t>200.000 L TAMBOR ACEITE RUN-PWR SINTÉTICO API SP SAE 5W-50</t>
  </si>
  <si>
    <t>PT08100018</t>
  </si>
  <si>
    <t>200.000 L TAMBOR ACEITE RUN-PWR SINTÉTICO API SP/ILSAC GF-6A SAE 10W-30</t>
  </si>
  <si>
    <t>200.000 L TAMBOR ACEITE RUN-PWR SINTÉTICO API SP SAE 5W-40</t>
  </si>
  <si>
    <t>200.000 L TAMBOR ACEITE RUN-PWR TRI-SINTETICO API SP/ILSAC GF-6A SAE 5W-30</t>
  </si>
  <si>
    <t>200.000 L TAMBOR ACEITE RUN-PWR TRI-SINTÉTICO API SP/ILSAC GF-6A SAE 0W-20</t>
  </si>
  <si>
    <t>200.000 L TAMBOR ACEITE RUN-PWR TRI-SINTÉTICO API SP SAE 5W-50</t>
  </si>
  <si>
    <t>200.000L TAMBOR VOLTRO RAS SERIES 3 DF/DF-2 SAE 50</t>
  </si>
  <si>
    <t>  200.000L TAMBOR VOLTRO RAS SERIES 3 DF/DF-2 SAE 40</t>
  </si>
  <si>
    <t>200.000 L TAMBOR VOLTRO MAX POWER API CH-4/SJ SAE 25W-60</t>
  </si>
  <si>
    <t>200.000L TAMBOR VOLTRO FA-4 API FA-4 SAE 10W-30</t>
  </si>
  <si>
    <t xml:space="preserve">VOLTRO </t>
  </si>
  <si>
    <t>PT10500002</t>
  </si>
  <si>
    <t>200.000 L TAMBOR VOLTRO MD API CK-4 SAE 10W-40</t>
  </si>
  <si>
    <t>1.000 L GRANEL VOLTRO AMERICANFLEET API CK/4 /SN SAE 5W-40</t>
  </si>
  <si>
    <t>1.000 L GRANEL VOLTRO PRO API CK/4 /SN SAE 15W-40</t>
  </si>
  <si>
    <t>1.000 L GRANEL VOLTRO MAX POWER API CH/4/SJ SAE 15W-40</t>
  </si>
  <si>
    <t>1.000 L GRANEL VOLTRO MAX POWER API CH/4/SJ SAE 25W-50</t>
  </si>
  <si>
    <t>PT55600007</t>
  </si>
  <si>
    <t>1.000 L GRANEL ANTICONGELANTE DIESEL SUPER CONCENTRADO</t>
  </si>
  <si>
    <t>PT60500027</t>
  </si>
  <si>
    <t>1.000 L GRANEL ABRILLANTADOR PARA VINIL</t>
  </si>
  <si>
    <t>PT07900032</t>
  </si>
  <si>
    <t>1.000 L GRANEL ACEITE RUN-PWR API SP/ILSAC GF-6A SAE 5W-30</t>
  </si>
  <si>
    <t>PT07900033</t>
  </si>
  <si>
    <t>1.000 L GRANEL ACEITE RUN-PWR API SP SAE 10W-40</t>
  </si>
  <si>
    <t>PT07900034</t>
  </si>
  <si>
    <t>1.000 L GRANEL ACEITE RUN-PWR API SP SAE 15W-40</t>
  </si>
  <si>
    <t>PT07900035</t>
  </si>
  <si>
    <t>1.000L GRANEL ACEITE RUN-PWR API SP SAE 20W-50</t>
  </si>
  <si>
    <t>PT08100022</t>
  </si>
  <si>
    <t>1.000 L GRANEL ACEITE RUN-PWR SINTÉTICO API SP/ILSAC GF-6A SAE 5W-30</t>
  </si>
  <si>
    <t>PT08100023</t>
  </si>
  <si>
    <t>1.000 L GRANEL ACEITE RUN-PWR SINTÉTICO API SP SAE 5W-50</t>
  </si>
  <si>
    <t>PT08100024</t>
  </si>
  <si>
    <t>1.000 GRANEL ACEITE RUN-PWR SINTETICO API SP/ILSAC GF-6A SAE 10W-30</t>
  </si>
  <si>
    <t>PT08100025</t>
  </si>
  <si>
    <t>1.000 L GRANEL ACEITE RUN-PWR SINTÉTICO API SP SAE 5W-40</t>
  </si>
  <si>
    <t>PT08200020</t>
  </si>
  <si>
    <t>1.000 L GRANEL ACEITE RUN-PWR TRI-SINTÉTICO API SP/ILSAC GF-6A SAE 5W-30</t>
  </si>
  <si>
    <t>PT08200021</t>
  </si>
  <si>
    <t>1.000 L GRANEL ACEITE RUN-PWR TRI-SINTÉTICO API SP/ILSAC GF-6A SAE 0W-20</t>
  </si>
  <si>
    <t>PT08200022</t>
  </si>
  <si>
    <t>1.000 L GRANEL ACEITE RUN-PWR TRI-SINTÉTICO API SP SAE 5W-50</t>
  </si>
  <si>
    <t>PT07300023</t>
  </si>
  <si>
    <t>1.000 L  GRANEL MOTONIC SEMISINTETICO 4T JASO MA2  API SN SAE 10W-40</t>
  </si>
  <si>
    <t>PT10700024</t>
  </si>
  <si>
    <t>1.000 L GRANEL VOLTRO RAS SERIES 3 DF/DF-2  SAE 40</t>
  </si>
  <si>
    <t>1.000L GRANEL  VOLTRO MAX POWER API CH-4/SJ SAE 25W-60</t>
  </si>
  <si>
    <t>PT08100039</t>
  </si>
  <si>
    <t>1.000 L  GRANEL ACEITE RUN-PWR SINTÉTICO API SP/ILSAC GF-6A SAE 5W-20</t>
  </si>
  <si>
    <t>PT10200002</t>
  </si>
  <si>
    <t>1.000L GRANEL VOLTRO FA-4 API FA-4 SAE 10W-30</t>
  </si>
  <si>
    <t>PT08200001</t>
  </si>
  <si>
    <t>1.000 L  GRANEL  ACEITE RUN-PWR TRI SINTÉTICO API SP / ILSAC GF-6B SAE 0W-16</t>
  </si>
  <si>
    <t>PT09600002</t>
  </si>
  <si>
    <t>1.000 L GRANEL ACEITE VOLTRO SUPER PLUS SYNTHETIC API CJ-4 SAE 5W-30</t>
  </si>
  <si>
    <t>200.000 L TAMBOR ACEITE VOLTRO SUPER PLUS SYNTHETIC API CJ-4 SAE 5W-30</t>
  </si>
  <si>
    <t>PT10500003</t>
  </si>
  <si>
    <t>1.000 L GRANEL VOLTRO MD API CK-4 SAE 10W-40</t>
  </si>
  <si>
    <t>0.950 L BOTELLA ACEITE RUN-PWR TRI-SINTETICO API SN PLUS/ILSAC GF-5 SAE 0W-20</t>
  </si>
  <si>
    <t>PT08200024</t>
  </si>
  <si>
    <t>0.950 L BOTELLA ACEITE RUN-PWR TRI-SINTETICO API SN PLUS/ILSAC GF-5 SAE 5W-30</t>
  </si>
  <si>
    <t>0.950 L BOTELLA ACEITE RUN-PWR TRI-SINTETICO API SN PLUS SAE 5W-50</t>
  </si>
  <si>
    <t>PT08100026</t>
  </si>
  <si>
    <t>0.950 L BOTELLA ACEITE RUN-PWR SINTETICO API SN/ILSAC GF-5 SAE 5W-30</t>
  </si>
  <si>
    <t>PT07900036</t>
  </si>
  <si>
    <t>0.950 L BOTELLA ACEITE RUN-PWR API SN SAE 10W-40</t>
  </si>
  <si>
    <t>PT07900037</t>
  </si>
  <si>
    <t>0.950 L BOTELLA ACEITE RUN-PWR API SN SAE 20W-50</t>
  </si>
  <si>
    <t>0.950 L BOTELLA ACEITE RUN-PWR API SN/ILSAC GF-5 SAE 5W-30</t>
  </si>
  <si>
    <t>0.950 L BOTELLA ACEITE RUN-PWR SINTETICO API SN SAE 5W-50</t>
  </si>
  <si>
    <t>PT06700005</t>
  </si>
  <si>
    <t>0.950 L BOTELLA 2 TIEMPOS NAUTIC PLUS NMMA TC-W3 ND</t>
  </si>
  <si>
    <t>PT06800004</t>
  </si>
  <si>
    <t>0.950 L BOTELLA  NAUTIC 4 TIEMPOS NMMA FC-W SAE 25W-40 ND</t>
  </si>
  <si>
    <t>2 TIEMPOS NAUTIC</t>
  </si>
  <si>
    <t>PT06600001</t>
  </si>
  <si>
    <t>0.950 L BOTELLA  NAUTIC 4 TIEMPOS NMMA FC-W SAE 10W-30 ND</t>
  </si>
  <si>
    <t>0.950 L BOTELLA CVTF PARA TRANSMISION CONTINUAMENTE VARIABLE</t>
  </si>
  <si>
    <t>PT07900039</t>
  </si>
  <si>
    <t>0.950 L BOTELLA ACEITE RUN-PWR API SN SAE 15W-40</t>
  </si>
  <si>
    <t>0.950 L BOTELLA ACEITE RUN-PWR SINTETICO API SN PLUS/ILSAC GF-5 SAE 10W-30</t>
  </si>
  <si>
    <t>0.950 L BOTELLA HI-ENERGY API SL SAE 25W-60</t>
  </si>
  <si>
    <t>0.950 L BOTELLA SUPER HD API SL SAE 50</t>
  </si>
  <si>
    <t>0.950 L BOTELLA SUPER HD API SL SAE 60</t>
  </si>
  <si>
    <t>0.950 L BOTELLA ACEITE RUN-PWR TRI-SINTÉTICO API SP/ILSAC GF-6A SAE 0W-20</t>
  </si>
  <si>
    <t>0.950 L BOTELLA ACEITE RUN-PWR TRI-SINTÉTICO API SP/ILSAC GF-6A SAE 5W-30</t>
  </si>
  <si>
    <t>0.950 L BOTELLA ACEITE RUN-PWR TRI-SINTÉTICO API SP SAE 5W-50</t>
  </si>
  <si>
    <t>0.950 L BOTELLA ACEITE RUN-PWR SINTÉTICO API SP/ILSAC GF-6A SAE 10W-30</t>
  </si>
  <si>
    <t>0.950 L BOTELLA ACEITE RUN-PWR SINTÉTICO API SP/ILSAC GF-6A SAE 5W-30</t>
  </si>
  <si>
    <t>0.950 L BOTELLA ACEITE RUN-PWR SINTÉTICO API SP SAE 5W-40</t>
  </si>
  <si>
    <t>0.950 L BOTELLA ACEITE RUN-PWR SINTÉTICO API SP SAE 5W-50</t>
  </si>
  <si>
    <t>0.950 L BOTELLA ACEITE RUN-PWR API SP/ILSAC GF-6A SAE 5W-30</t>
  </si>
  <si>
    <t>0.950 L BOTELLA ACEITE RUN-PWR API SP SAE 10W-40</t>
  </si>
  <si>
    <t>0.950 L BOTELLA ACEITE RUN-PWR API SP SAE 15W-40</t>
  </si>
  <si>
    <t>0.950 L BOTELLA ACEITE RUN-PWR API SP SAE 20W-50</t>
  </si>
  <si>
    <t>0.950 L  BOTELLA MOTONIC 2 TIEMPOS API TC</t>
  </si>
  <si>
    <t>0.950 L  BOTELLA MOTONIC SEMISINTETICO 4T JASO MA2 / API SN SAE 10W-40</t>
  </si>
  <si>
    <t>0.950 L  BOTELLA MOTONIC SINTÉTICO 4T JASO MA2 / API SN SAE 10W-50</t>
  </si>
  <si>
    <t>0.950 L  BOTELLA MOTONIC 4T JASO MA2 / API SN SAE 20W-50</t>
  </si>
  <si>
    <t>0.950 L  BOTELLA MOTONIC 4T JASO MB / API SN SAE 10W-40</t>
  </si>
  <si>
    <t>0.950 L  BOTELLA MOTONIC 4T JASO MA2/API SN SAE 10W-30</t>
  </si>
  <si>
    <t>0.950 L  BOTELLA MOTONIC 4T JASO MB / API SN SAE 20W-50</t>
  </si>
  <si>
    <t>0.950 L BOTELLA ACEITE RUN-PWR DSL API CI-4 PLUS SAE 15W-40</t>
  </si>
  <si>
    <t>PT08000002</t>
  </si>
  <si>
    <t>0.950 L BOTELLA ACEITE RUN-PWR DSL 100% SINTÉTICO SAE 5W-40</t>
  </si>
  <si>
    <t>NA</t>
  </si>
  <si>
    <t>PT10900007</t>
  </si>
  <si>
    <t>1000L IBC VLT SPR PL SYN APICJ4 SAE 5W30</t>
  </si>
  <si>
    <t>PT00400004</t>
  </si>
  <si>
    <t>1000L IBC TRACTOR MULTIPROPOSITO</t>
  </si>
  <si>
    <t>PT10200003</t>
  </si>
  <si>
    <t>1000L IBC VLT FA-4 API FA-4 SAE 10W30</t>
  </si>
  <si>
    <t>PT00300007</t>
  </si>
  <si>
    <t>1000L IBC HIDRAULICO ANTIDSGTE AW ISO68</t>
  </si>
  <si>
    <t>PT00400005</t>
  </si>
  <si>
    <t>1000L IBC TRACTOR MULTIUSOS</t>
  </si>
  <si>
    <t>PT10400026</t>
  </si>
  <si>
    <t>1000L IBC VLT MXPWR API CH4/SJ SAE15W40</t>
  </si>
  <si>
    <t>DIESEL VOLTRO</t>
  </si>
  <si>
    <t>PT10700029</t>
  </si>
  <si>
    <t>1000L IBC VLT RAS DF/DF-2 SAE 50</t>
  </si>
  <si>
    <t>PT10400028</t>
  </si>
  <si>
    <t>1000L IBC VLT MXPWR API CH4/SJ SAE25W60</t>
  </si>
  <si>
    <t>PT10700028</t>
  </si>
  <si>
    <t>1000L IBC VLT RAS DF/DF-2 SAE 40</t>
  </si>
  <si>
    <t>PT10400027</t>
  </si>
  <si>
    <t>1000L IBC VLT MXPWR API CH4/SJ SAE25W50</t>
  </si>
  <si>
    <t>PT10100007</t>
  </si>
  <si>
    <t>1000L IBC VLT EUROFLEET 3 SAE 10W-40</t>
  </si>
  <si>
    <t>PT10500005</t>
  </si>
  <si>
    <t>1000L IBC VLT MD API CK-4 SAE 10W-40</t>
  </si>
  <si>
    <t>PT10300016</t>
  </si>
  <si>
    <t>1000L IBC VLT FORCE APICI4/SL SAE 20W50</t>
  </si>
  <si>
    <t>PT10600008</t>
  </si>
  <si>
    <t>1000L IBC VLT PRO API CK4/SN SAE 15W-40</t>
  </si>
  <si>
    <t>PT10900006</t>
  </si>
  <si>
    <t>1000L IBC VLT SPR PLUS API CJ-4/SN 15W40</t>
  </si>
  <si>
    <t>PT10900005</t>
  </si>
  <si>
    <t>1000L IBC VLT SUPER GAS CNG SAE 15W-40</t>
  </si>
  <si>
    <t>PT10000007</t>
  </si>
  <si>
    <t>1000L IBC VLT AMFLT APICK4/SN SAE 5W-40</t>
  </si>
  <si>
    <t>PT15300001</t>
  </si>
  <si>
    <t>200 L TMB CAT-HEAVYMACH FD1 SAE 60</t>
  </si>
  <si>
    <t>HEAVY MACH</t>
  </si>
  <si>
    <t>PT08100040</t>
  </si>
  <si>
    <t>TMB R-PWR SINT API SP GF-6A SAE 5W-20</t>
  </si>
  <si>
    <t>0.950 L RSHPCK HI-ENGY API SL SAE 25W50</t>
  </si>
  <si>
    <t>5 L GARRAFA HI-ENERGY API SL SAE 20W-50</t>
  </si>
  <si>
    <t>PT07000029</t>
  </si>
  <si>
    <t>0.950 L RSHPCK HI-ENEGY API SL SAE 25W60</t>
  </si>
  <si>
    <t>PT10700027</t>
  </si>
  <si>
    <t>1 L GNL VOLTRO RAS S-3 DF/DF-2SAE 50</t>
  </si>
  <si>
    <t>PT12500008</t>
  </si>
  <si>
    <t>1 L GRANEL ATE TRANS CAT ALI SAE 10W</t>
  </si>
  <si>
    <t>PT42600002</t>
  </si>
  <si>
    <t>16.000 KG CUBETA GRASA BÄTRAK SUDAK-EP</t>
  </si>
  <si>
    <t>PT02200004</t>
  </si>
  <si>
    <t>200 L TMB ATE BÄTRAK KHOPIL SAE15W40</t>
  </si>
  <si>
    <t>4 L RSHPCKHI ENERGY API SL SAE 25W50</t>
  </si>
  <si>
    <t>PT12500007</t>
  </si>
  <si>
    <t>1 L GRANEL ATE TRANS CAT ALI SAE 30</t>
  </si>
  <si>
    <t>PT07000028</t>
  </si>
  <si>
    <t>4 L RSHPCK HI-ENEGY API SL SAE 25W60</t>
  </si>
  <si>
    <t>PT61300003</t>
  </si>
  <si>
    <t>200 L TAMBOR LIQUIDO P/ FRENOS DOT-4</t>
  </si>
  <si>
    <t>PT00800037</t>
  </si>
  <si>
    <t>1 L GRANEL ACE BÄTRAK DESNA HJ ISO VG 68</t>
  </si>
  <si>
    <t>BÄTRAK DENSA</t>
  </si>
  <si>
    <t>SIN DATOS</t>
  </si>
  <si>
    <t>P ANT</t>
  </si>
  <si>
    <t>BOT RUN PWR TRI SINT API SN SAE 0W-20</t>
  </si>
  <si>
    <t>P. ANT</t>
  </si>
  <si>
    <t>NO EXISTE</t>
  </si>
  <si>
    <t>BASE02</t>
  </si>
  <si>
    <t>BASE03</t>
  </si>
  <si>
    <t>BASE04</t>
  </si>
  <si>
    <t>BASE05</t>
  </si>
  <si>
    <t>BASE06</t>
  </si>
  <si>
    <t>BASE07</t>
  </si>
  <si>
    <t>NUEVO</t>
  </si>
  <si>
    <t>ESPECIFICACION</t>
  </si>
  <si>
    <t>DESC.</t>
  </si>
  <si>
    <t>P. LISTA</t>
  </si>
  <si>
    <t>ACEITES INDUSTRIALES</t>
  </si>
  <si>
    <t>ISO VG 46</t>
  </si>
  <si>
    <t>ACEITES A TODA PERDIDA</t>
  </si>
  <si>
    <t>LINEA BÄTRAK ZOLOVE</t>
  </si>
  <si>
    <t>ISO VG 68</t>
  </si>
  <si>
    <t>ISO VG 10</t>
  </si>
  <si>
    <t>ISO VG 100</t>
  </si>
  <si>
    <t>ISO VG 15</t>
  </si>
  <si>
    <t>PT03400012</t>
  </si>
  <si>
    <t>LINEA BÄTRAK KRASNE PLUS AW</t>
  </si>
  <si>
    <t>ISO VG 22</t>
  </si>
  <si>
    <t>ISO VG 32</t>
  </si>
  <si>
    <t>PT05100030</t>
  </si>
  <si>
    <t>PT03200012</t>
  </si>
  <si>
    <t>LINEA BÄTRAK DESNA</t>
  </si>
  <si>
    <t>ISO VG 150</t>
  </si>
  <si>
    <t>ISO VG 220</t>
  </si>
  <si>
    <t>ISO VG 320</t>
  </si>
  <si>
    <t>PT05100035</t>
  </si>
  <si>
    <t>PT05100024</t>
  </si>
  <si>
    <t>ISO VG 460</t>
  </si>
  <si>
    <t>PT05100036</t>
  </si>
  <si>
    <t>ISO VG 680</t>
  </si>
  <si>
    <t>PT05100037</t>
  </si>
  <si>
    <t>LINEA BÄTRAK ZOLOVE 100 N</t>
  </si>
  <si>
    <t>ACEITE PARA TURBINAS INDUSTRIALES</t>
  </si>
  <si>
    <t>LINEA BÄTRAK KRASNE</t>
  </si>
  <si>
    <t>LINEA BÄTRAK DESNA FZ</t>
  </si>
  <si>
    <t>LINEA BÄTRAK KRASNE PREMIUM</t>
  </si>
  <si>
    <t>LINEA BÄTRAK DESNA HVI</t>
  </si>
  <si>
    <t>LINEA BÄTRAK KRASNE SUPER PREMIUM</t>
  </si>
  <si>
    <t>PRECIOS NO INCLUYEN IVA</t>
  </si>
  <si>
    <t>SUJETOS A CAMBIO SIN PREVIO AVISO</t>
  </si>
  <si>
    <t>SIN SATOS</t>
  </si>
  <si>
    <t>BASE08</t>
  </si>
  <si>
    <t>BASE09</t>
  </si>
  <si>
    <t>BASE10</t>
  </si>
  <si>
    <t>BASE11</t>
  </si>
  <si>
    <t>BASE12</t>
  </si>
  <si>
    <t>BASE13</t>
  </si>
  <si>
    <t>BASE14</t>
  </si>
  <si>
    <t>BASE15</t>
  </si>
  <si>
    <t>NOTAS DE REMISION BLOCK 100</t>
  </si>
  <si>
    <t>PP40500122</t>
  </si>
  <si>
    <t>VOLTRO FORCE API CI4/SL SAE</t>
  </si>
  <si>
    <t>HIDRATEC H-300 ISO VG 68 19 LTS</t>
  </si>
  <si>
    <t>VOLTRO RAS SERIES 3 DF/DF-2 SAE</t>
  </si>
  <si>
    <t>DIABLOS R-PWR API SP SAE 15W40</t>
  </si>
  <si>
    <t>PT07900051PP</t>
  </si>
  <si>
    <t>VOLTRO FORCE API CI-4/SL SAE 20W-</t>
  </si>
  <si>
    <t>VOLTRO MAX POWER API CH4 SJ SAE</t>
  </si>
  <si>
    <t>R-PWR SINT API SP SAE 5W50 .950 ML</t>
  </si>
  <si>
    <t>PT08100035P</t>
  </si>
  <si>
    <t>VOLT+PLUS API CI4 PLUS/SL SAE</t>
  </si>
  <si>
    <t>HIDRAULICO ANTIDESGASTE AW ISO</t>
  </si>
  <si>
    <t>GRASA CHASIS 2  3.500 KGS</t>
  </si>
  <si>
    <t>GRASS CHASIS E-LITE 3.5 KGS</t>
  </si>
  <si>
    <t>GRASA BAT 3   3.500 KGS</t>
  </si>
  <si>
    <t>ROSH HI-ENERGY API SL SAE 25W60</t>
  </si>
  <si>
    <t>GRAFITADA FIBROSA CR 3.5 KGS</t>
  </si>
  <si>
    <t>V AMERICA FLEET API CK4/SN SAE</t>
  </si>
  <si>
    <t>ROSHPACK HI ENERGY API SL SAE</t>
  </si>
  <si>
    <t>ROSHPACK SUPER HD API SL SAE 50</t>
  </si>
  <si>
    <t>ROSHPACK HI-ENERGY API SL SAE</t>
  </si>
  <si>
    <t>ROSHPACK SUPER HD API SL SA 40</t>
  </si>
  <si>
    <t>VOLTRO PRO API CK-4/SN SAE</t>
  </si>
  <si>
    <t>PROMO ROSHPACK 25W50 950/4</t>
  </si>
  <si>
    <t>VOLTRO MAX POWER A CH-4  SJ</t>
  </si>
  <si>
    <t>GEAR OIL API GL-1 SAE 140 CUBETA</t>
  </si>
  <si>
    <t>ROSHPACK VOLT RAS S3 DF/DF2</t>
  </si>
  <si>
    <t>GEAR OIL API GL-1 SAE 250 19 LTS</t>
  </si>
  <si>
    <t>SUPER GEAR OIL API GL-5 SAE</t>
  </si>
  <si>
    <t>D VOLTRO PLUS API CJ-4 SM SAE</t>
  </si>
  <si>
    <t>HI-ENERGY API SL SAE 25W60 4/5</t>
  </si>
  <si>
    <t>MINI HIELERA S QT</t>
  </si>
  <si>
    <t>PP40500171</t>
  </si>
  <si>
    <t>ACEITE RUN-PWR API SAE 15W40 4/5</t>
  </si>
  <si>
    <t>ROSH VOL MAX PWR API CH4 SJ</t>
  </si>
  <si>
    <t>JUNTAS HOMOCINETICAS 250/24</t>
  </si>
  <si>
    <t>ROSHP HI-ENERGY API SL SAE 20W50</t>
  </si>
  <si>
    <t>PLAYERA NEGRA NVO LOGO</t>
  </si>
  <si>
    <t>PP00000107</t>
  </si>
  <si>
    <t>TUBO DE GRASA BALIT COMPLEX</t>
  </si>
  <si>
    <t>GRASA BAT 3  250/24</t>
  </si>
  <si>
    <t>ANTICONGELANTE ROSHFRANS</t>
  </si>
  <si>
    <t>HIDRAULICO ANTIDES AW ISO VG 68</t>
  </si>
  <si>
    <t>POSTER DUO PACK ENERGY</t>
  </si>
  <si>
    <t>PP20900049</t>
  </si>
  <si>
    <t>ROSHPACK SUPER HD API SL SAE 60</t>
  </si>
  <si>
    <t>GEAR OIL API GL-1 SAE 250 4/5</t>
  </si>
  <si>
    <t>VOLTRO MAX POWER API CH4SJ SAE</t>
  </si>
  <si>
    <t>VOLTRO+PLUS API CI4PLUS/SL SAE</t>
  </si>
  <si>
    <t>ROSHP VOLT RAS SER 3 DF/DF-2 SAE</t>
  </si>
  <si>
    <t>HI ENERGY API SL SAE 20W50 4/5</t>
  </si>
  <si>
    <t>HI ENERGY API SL SAE 20W50 5 LTS</t>
  </si>
  <si>
    <t>PT07000025P</t>
  </si>
  <si>
    <t>SUPER ATF DEX-111 MERC 19 LTS</t>
  </si>
  <si>
    <t>SUPER HD API SL SAE 50 950/15</t>
  </si>
  <si>
    <t>SUPER HD API SL SAE 40 950/15</t>
  </si>
  <si>
    <t>ROSHPACK REFRIG CONCENTRADO</t>
  </si>
  <si>
    <t>VOLTRO FORCE API CI-4/SL SAE</t>
  </si>
  <si>
    <t>LIQUIDO PARA FRENOS DOT 3  350/24</t>
  </si>
  <si>
    <t>RUN PWR DSL API CI4 PLUS</t>
  </si>
  <si>
    <t>ROSHPACK REFRIGERANTE</t>
  </si>
  <si>
    <t>REFRIGERANTE ROSH COOLANT</t>
  </si>
  <si>
    <t>HI ENERGY API SL SAE 20W50  19 LTS</t>
  </si>
  <si>
    <t>ADITIVO CLEAN YECTOR 250/6</t>
  </si>
  <si>
    <t>VOLTRO EUROFLEET 3 SAE 10W40 19</t>
  </si>
  <si>
    <t>MULTI P TRANSM STD API GL4 SAE</t>
  </si>
  <si>
    <t>GEAR OIL API GL-1 SAE 140 4/5</t>
  </si>
  <si>
    <t>GEAR OIL API GL-1 SAE 90 4/5</t>
  </si>
  <si>
    <t>DIABLOS R-PWR API SP SAE 5W30 3.8</t>
  </si>
  <si>
    <t>PT07900050PP</t>
  </si>
  <si>
    <t>HIDRAULICO ANTIDESG. AW ISO VG</t>
  </si>
  <si>
    <t>CHASIS E-LITE 850/12</t>
  </si>
  <si>
    <t>CVTF PARA TRANSM CONTIN</t>
  </si>
  <si>
    <t>MOTONIC 2 TIEMPOS API TC 950/15</t>
  </si>
  <si>
    <t>MOT 4T JASO MA2/API SN SAE 20W50</t>
  </si>
  <si>
    <t>HI ENERGY API SL SAE 25W60  5 LTS</t>
  </si>
  <si>
    <t>PT07000018P</t>
  </si>
  <si>
    <t>REFRIGERANTE CLIMATIZADO 19 LTS</t>
  </si>
  <si>
    <t>GEAR OIL API GL-1 SAE 90 19 LTS</t>
  </si>
  <si>
    <t>ROSHP GEAR OIL API GL-1 SAE 140</t>
  </si>
  <si>
    <t>REFRIGERANTE COOLANT 19 LTS</t>
  </si>
  <si>
    <t>GEAR OIL API SAE 90 950/16</t>
  </si>
  <si>
    <t>FLUIDO ESPECIAL PARA BATERIA</t>
  </si>
  <si>
    <t>GRASA GRAFITADA FIBROSA 16 KGS</t>
  </si>
  <si>
    <t>SUPER GEAR OIL API GL5 SAE</t>
  </si>
  <si>
    <t>ADITIVO GAS CLEAN 250/6</t>
  </si>
  <si>
    <t>ROSHPACK ANTICONG</t>
  </si>
  <si>
    <t>LIQUIDO DE FRENOS DOT 3  950/12</t>
  </si>
  <si>
    <t>ROSHP HI ENERGY API SL SAE 25W50</t>
  </si>
  <si>
    <t>ROSHPACK REFRIGERANTE COOLANT</t>
  </si>
  <si>
    <t>CHASIS E-LITE .425/24</t>
  </si>
  <si>
    <t>GRASA CHASIS E-LITE CUBETA 16</t>
  </si>
  <si>
    <t>ROSHPACK GEAR OIL API GL-1 SAE</t>
  </si>
  <si>
    <t>GRASA GRAFITADA FIBROSA CR</t>
  </si>
  <si>
    <t>TRANSMISION CA ALI SAE 30 19 LTS</t>
  </si>
  <si>
    <t>GRASA BALIT PLUS 2 16 KGS</t>
  </si>
  <si>
    <t>GERA OIL API GL-1 SAE 140 950/16</t>
  </si>
  <si>
    <t>ACEITE RUN-PWR API SP SAE 15W-40</t>
  </si>
  <si>
    <t>GRASA CHASIS 2 CRCUBETA 16 KGS</t>
  </si>
  <si>
    <t>RUN-PWR TRI-SINT API SP SAE 5W50</t>
  </si>
  <si>
    <t>LIQUIDO PARA FRENOS DOT 4 .350/24</t>
  </si>
  <si>
    <t>GRASA BAT 3 425/24</t>
  </si>
  <si>
    <t>GRASA BAT 3 CUBETA 16 KGS</t>
  </si>
  <si>
    <t>GEAR OIL API GL-1 SAE 250 950/16</t>
  </si>
  <si>
    <t>ADITIVO OCTAN 250/6</t>
  </si>
  <si>
    <t>MOTONIC 2 TIEMPOS APA TC 250/6</t>
  </si>
  <si>
    <t>ROSH VOLTRO RAS S3 DF/DF-2 SAE</t>
  </si>
  <si>
    <t>SUPER HD API SL SAE 50   19 LTS</t>
  </si>
  <si>
    <t>FLUIDO PARA DIRECCION HIDRAULICA</t>
  </si>
  <si>
    <t>SUPER HD API SL SAE 40 19 LTS</t>
  </si>
  <si>
    <t>CUBETA P/GRASA MANUAL MCA</t>
  </si>
  <si>
    <t>AE0325</t>
  </si>
  <si>
    <t>SUPER ATF DEX-III -MERC 950/16</t>
  </si>
  <si>
    <t>ACEITE RUN PWR API SP SAE 20W50</t>
  </si>
  <si>
    <t>SUPER GEAR OIL GL-5 SAE 80W90 4/5</t>
  </si>
  <si>
    <t>SUPER GEAR OIL API GL-5 SAE 250 19</t>
  </si>
  <si>
    <t>TRANSMISION CAT ALI  SAE 50 19 LTS</t>
  </si>
  <si>
    <t>SUPER GEAR OIL GL-5 SAE 85W140</t>
  </si>
  <si>
    <t>GRASA BALLIT 2 16 KGS</t>
  </si>
  <si>
    <t>RUN PWR PI SP/ILSAC GF6A SAE</t>
  </si>
  <si>
    <t>SUPER HD API SL SAE 60 950/15</t>
  </si>
  <si>
    <t>MULTITRAN P TRAN STD API GL4 SAE</t>
  </si>
  <si>
    <t>RUN-PWR API SP SAE 20450 4/5</t>
  </si>
  <si>
    <t>SUPER ATF DEX-III MERC 4/5</t>
  </si>
  <si>
    <t>GRASA BALIT COMPLEX PLUS 2  16</t>
  </si>
  <si>
    <t>GRASA BAT 3   850/12</t>
  </si>
  <si>
    <t>ADITIVO MC-2  440/24</t>
  </si>
  <si>
    <t>HIDRAULICO ANTIDESG  AW ISO VG</t>
  </si>
  <si>
    <t>TRANSMISION CAT-ALI SAE 10W 19</t>
  </si>
  <si>
    <t>MULTITRAN P TRANSM STD API GL4</t>
  </si>
  <si>
    <t>HIDRATEC H-300 ISO VG 68 200 LTS</t>
  </si>
  <si>
    <t>ROSH TRANS AUT SUPER ATF DEX III</t>
  </si>
  <si>
    <t>SUPER GEAR OIL API GL-5 SAE 90 19</t>
  </si>
  <si>
    <t>ROSHFRANS PURE SKY 19 LTS</t>
  </si>
  <si>
    <t>LIQUIDO DE FRENOS DOT 4 950/12</t>
  </si>
  <si>
    <t>TRANSMISION CAT ALI SAE 10W 19</t>
  </si>
  <si>
    <t>SUPER GEAR OIL API GL-5 SAE 140 19</t>
  </si>
  <si>
    <t>JUNTAS HOMOCINETICAS 425/24</t>
  </si>
  <si>
    <t>R-P T SINT API SP/IL GF 6A S 5W30</t>
  </si>
  <si>
    <t>CUB. BOMBA PARA ACEITE DE</t>
  </si>
  <si>
    <t>AE0305</t>
  </si>
  <si>
    <t>ARRANCADOR MOTOR AERO</t>
  </si>
  <si>
    <t>ACEITE BATRAK HORLIKA 19 LTS</t>
  </si>
  <si>
    <t>REFRIGERANTE COOLANT 3.785/4</t>
  </si>
  <si>
    <t>LIMPIADOR DE CARBURADOR</t>
  </si>
  <si>
    <t>RN PWRSINT API/ILSAC GF6A</t>
  </si>
  <si>
    <t>R-PW S API SPILSAC GF6A SAE</t>
  </si>
  <si>
    <t>HI ENERGY API SL SAE 25W-60 4/5</t>
  </si>
  <si>
    <t>PT07000018PP</t>
  </si>
  <si>
    <t>RUN-PWR SINTETICO API SP SAE</t>
  </si>
  <si>
    <t>BOMBA ROTATORIA P/ACEITE TAMBO</t>
  </si>
  <si>
    <t>AE0322</t>
  </si>
  <si>
    <t>ACEITE BATRAK SOLCOV ISO VG 32</t>
  </si>
  <si>
    <t>ACEITE RUN-PWR TRI-SINTETICO 0W20</t>
  </si>
  <si>
    <t>ACEITE RUN-PWR SINTETICO 5W40  19</t>
  </si>
  <si>
    <t>SILICON ROJO GONHER .70/24</t>
  </si>
  <si>
    <t>LIMP DE INYECTORES BOYA GONHER</t>
  </si>
  <si>
    <t>AFLOJATODO AERO GONHER 550/12</t>
  </si>
  <si>
    <t>BÂTRAK DESNA SYNTHEX ISO VG 32</t>
  </si>
  <si>
    <t>SILICON NEGRO GONHER .70/24</t>
  </si>
  <si>
    <t>ROSHPACK LIQUIDO</t>
  </si>
  <si>
    <t>GRASA GRAFITADA FRBROSA CR</t>
  </si>
  <si>
    <t>ACEITE BATRAK DESNA ISO VG 32 19</t>
  </si>
  <si>
    <t>GRASA BALIT 2 3.5 KG</t>
  </si>
  <si>
    <t>BATRAK OLIKA MOLY EP 2  16 KGS</t>
  </si>
  <si>
    <t>BATRAK LUBNY 16 KGS</t>
  </si>
  <si>
    <t>SUPER HD API SL SAE 60 19 LTS</t>
  </si>
  <si>
    <t>MOTONIC 4 TIEMPOS SAE 15W40</t>
  </si>
  <si>
    <t>MOTONIC 4T 20W50 JASO MB 950/15</t>
  </si>
  <si>
    <t>SILICON TRANSPARENTE GONHER</t>
  </si>
  <si>
    <t>GEAR MAX API GL-5 80W140  19 LTS</t>
  </si>
  <si>
    <t>RUN-PWR API SP/ILSAC GF-6A SAE</t>
  </si>
  <si>
    <t>ACEITE BATRAK POLTAVE 19 LTS</t>
  </si>
  <si>
    <t>ACEITE BATRAK DESNA ISO VG 46 19</t>
  </si>
  <si>
    <t>ANTICONGELANTE VOLTRO</t>
  </si>
  <si>
    <t>ACEITE RUN-PWR GF-5  5W30 950/15</t>
  </si>
  <si>
    <t>GRASIS CHASIS E-LITE 170 KGS</t>
  </si>
  <si>
    <t>GRASA CHASIS 2 CR  170 KGS</t>
  </si>
  <si>
    <t>GEAR OIL EUROFLEET SAE 75W80 19</t>
  </si>
  <si>
    <t>MOTONI 4T JAS MB/API SN SAE</t>
  </si>
  <si>
    <t>BATRAK NHOPOL ISO VG 320 19 LTS</t>
  </si>
  <si>
    <t>HD-19579</t>
  </si>
  <si>
    <t>AC. RUN-PWR TRI-SINT. PLUS SAE</t>
  </si>
  <si>
    <t>SILICON ALUMINIO GONHER .70/24</t>
  </si>
  <si>
    <t>ADITIVO R-27 DIESEL CLEAN YECTOR</t>
  </si>
  <si>
    <t>GRASA BATRAK BALTA MOLY EP 2</t>
  </si>
  <si>
    <t>MOT SEMISIN 4T J M/API SN S 10W40</t>
  </si>
  <si>
    <t>ACEITE BATRAK ZOLOVIC ISO VG 68</t>
  </si>
  <si>
    <t>ACEITE BATRAK DESNA  ISO VG 100</t>
  </si>
  <si>
    <t>VOLT MAX POWER API CH4SJ SAE</t>
  </si>
  <si>
    <t>R PW TRI-SIN AP ILSAC GF6A S 0W20</t>
  </si>
  <si>
    <t>RUN-PWR SAE 10W40 .950 ML</t>
  </si>
  <si>
    <t>PT07900041P</t>
  </si>
  <si>
    <t>MTC SINT 4T J MA2/APISN SAE 10W50</t>
  </si>
  <si>
    <t>DIESEL RAS API CF, SAE 50 19 LTS</t>
  </si>
  <si>
    <t>GRASA GRAFITADA FIBROSA 7 KG</t>
  </si>
  <si>
    <t>BÂTRAK ZOLOVIC ISO VG 150 19 LTS</t>
  </si>
  <si>
    <t>REFRIGERANTE COOLANT 200 LTS</t>
  </si>
  <si>
    <t>VOLTRO PRO 15W40 19 LT.</t>
  </si>
  <si>
    <t>BÂTRAK PARHOVE SYNTHEX ISO VG</t>
  </si>
  <si>
    <t>REFRIGERANTE COOLANT FORCE</t>
  </si>
  <si>
    <t>REFRIGERANTE CLIMATIZADO 200 LTS</t>
  </si>
  <si>
    <t>GRASA JUNTAS HOMOCINETICAS 16</t>
  </si>
  <si>
    <t>GRASA BATRAK LUBNY 170 KGS</t>
  </si>
  <si>
    <t>GRASA BATRAK BALTA EP 2 16 KGS</t>
  </si>
  <si>
    <t>SUPER GEAR OIL API  GL5 SAE 80W90</t>
  </si>
  <si>
    <t>GEARTECH  EUROFLEET SAE 75W-90</t>
  </si>
  <si>
    <t>MOTO 4T JASO MA2/API SN SAE</t>
  </si>
  <si>
    <t>ACEITE BATRAK DESNA ISO VG 32</t>
  </si>
  <si>
    <t>HIDRAULICO TRACTOR MULTIUSOS 19</t>
  </si>
  <si>
    <t>SUPER TRACTOR MULTIPROPOSITO 19</t>
  </si>
  <si>
    <t>ACEITE RUN-PWR SINTETICO 5W50 19</t>
  </si>
  <si>
    <t>ACEITE RUN-PWR SINT GF-5 0W20 19</t>
  </si>
  <si>
    <t>MOTONIC 4 TIEMPOS SAE 20W-50 19</t>
  </si>
  <si>
    <t>BÂTRAK BALTA NLGI 2 16 KG</t>
  </si>
  <si>
    <t>BÂTRAK KHERSON EP 19 LTS</t>
  </si>
  <si>
    <t>BÂTRAK ZOLOVE ISO VG 10 19 LTS</t>
  </si>
  <si>
    <t>SUPER ATF DEX-III-MERC  200 LTS</t>
  </si>
  <si>
    <t>RUN-PWR API SP SAE 10W-40 4/5</t>
  </si>
  <si>
    <t>HI- ENERGY API SL SAE 20W50 200</t>
  </si>
  <si>
    <t>GRASA BALIT EPG 2  16 KGS</t>
  </si>
  <si>
    <t>BÂTRAK DOLYN ISO VG 32 19 LTS</t>
  </si>
  <si>
    <t>ACEITE BATRAK ZOLOVE ISO VG 220</t>
  </si>
  <si>
    <t>BÂTRAK KHOROL ISO VG 46 19 LTS</t>
  </si>
  <si>
    <t>ACEITE BATRAK DESNA ISO VG 320</t>
  </si>
  <si>
    <t>GRASA BAT 3 170 KGS</t>
  </si>
  <si>
    <t>GRASA BALIT PLUS 170 KGS</t>
  </si>
  <si>
    <t>ACEITE TRANSMIISON CAT-ALI SAE 50</t>
  </si>
  <si>
    <t>TRANSMISION CAT ALI 10W 200 LTS</t>
  </si>
  <si>
    <t>GEAR OLI API GL-1 SAE 140 200 LTS</t>
  </si>
  <si>
    <t>VOLTRO RAS SERIES 3 DF/DF2 SAE</t>
  </si>
  <si>
    <t>V AMERICANF API CK/4/SN SAE 5W40</t>
  </si>
  <si>
    <t>ACEITE BATRAK NHOPOL ISO VG 220</t>
  </si>
  <si>
    <t>ACEITE BATRAK DESNA ISO VG 46</t>
  </si>
  <si>
    <t>GRASA FIBROBAT 16 KGS</t>
  </si>
  <si>
    <t>VOLTRO MAX POWER A CH-4 SJ</t>
  </si>
  <si>
    <t>TRANSMISION HIPOIDAL GL-5 SAE 250</t>
  </si>
  <si>
    <t>ACEITE BATRAK DESNA SYNTHEX ISO</t>
  </si>
  <si>
    <t>LIQUIDO LIMPIA PARABR USO</t>
  </si>
  <si>
    <t>BIDON DESENGRASANTE MULTIUSOS</t>
  </si>
  <si>
    <t>REFRIGERA COOLANT DIESEL LONF</t>
  </si>
  <si>
    <t>ANTICONGELANTE ROSHFR</t>
  </si>
  <si>
    <t>GRASA GRAFITADA FIBROSA CR 170</t>
  </si>
  <si>
    <t>TRANSMISION CAT-ALI SAE 30 200</t>
  </si>
  <si>
    <t>SUPER GEAR PIL API GL-5 SAE</t>
  </si>
  <si>
    <t>MULTITRA P TRA STD API GL4 SAE</t>
  </si>
  <si>
    <t>GEAR OIL API GL-1 SAE 90 200 LTS</t>
  </si>
  <si>
    <t>VOLTRO MAX PWER API CH4 SJ SAE</t>
  </si>
  <si>
    <t>VTRO+ PLUS API CI4 PLUS/SL SAE</t>
  </si>
  <si>
    <t>ACEITE RUN PWR API SP SAE 15W40</t>
  </si>
  <si>
    <t>HI ENERGY API SL SAE 25W50 5 LTS</t>
  </si>
  <si>
    <t>PT07000009P</t>
  </si>
  <si>
    <t>ACEITE BATRAK HORLIKA 200 LTS</t>
  </si>
  <si>
    <t>ATF ALLPOWER MULTIVEHICULOS  19</t>
  </si>
  <si>
    <t>MOTONIC 4 TIEMPOS SAE 15W40 19</t>
  </si>
  <si>
    <t>ATOM. DESENGRASANTE MULTIUSOS</t>
  </si>
  <si>
    <t>SPEED RACING API SAE 5W50 19 LTS</t>
  </si>
  <si>
    <t>SPEED RACING API SN SAE 0W-2 19</t>
  </si>
  <si>
    <t>TRANSMISION GEAR OIL GL-1 SAE</t>
  </si>
  <si>
    <t>BÂTRAK OLYKA EP NLGI 3 16 KG</t>
  </si>
  <si>
    <t>BÂTRAK BALTA NLGI 0 16 KG</t>
  </si>
  <si>
    <t>GRASA BATRAK BAT EP 2 16 KGS</t>
  </si>
  <si>
    <t>BÂTRAK HOLESKO ISO VG 220 200</t>
  </si>
  <si>
    <t>TRANSMISION HIPOIDAL GL-5 SAE 90</t>
  </si>
  <si>
    <t>BÂTRAK HOLESKO ISO VG 150 19 LTS</t>
  </si>
  <si>
    <t>BÂTRAK ZOLOVE ISO VG 68 19 LTS</t>
  </si>
  <si>
    <t>GRANEL REFRIGERANTE COOLANT</t>
  </si>
  <si>
    <t>GRASA CHASIS E-LITE 250/24</t>
  </si>
  <si>
    <t>GRASAS CHASIS 3 CR 170 KGS</t>
  </si>
  <si>
    <t>SUPER GEAR PIL API GL-5 SAE 140</t>
  </si>
  <si>
    <t>MULTITR P TRANS STD AOI GL4 SAE</t>
  </si>
  <si>
    <t>SUPER HD API SL SAE 50 200 LTS</t>
  </si>
  <si>
    <t>SUPER HD API SL SAE 40  200 LTS</t>
  </si>
  <si>
    <t>BATRAK NHOPOLISO VG 220  200 LTS</t>
  </si>
  <si>
    <t>INYECTOR DE GRASA</t>
  </si>
  <si>
    <t>AE0306</t>
  </si>
  <si>
    <t>TRANS. MULTITRANS STD GL-4 SAE</t>
  </si>
  <si>
    <t>ROSHFRANS SAE 60 SL 4/5</t>
  </si>
  <si>
    <t>GRASA BALIT EP 3  3.5 KGS</t>
  </si>
  <si>
    <t>MOTONIC 4 TIEMPOS SAE 15W40 200</t>
  </si>
  <si>
    <t>SHAMPOO PARA AUTOS ELIT CAR</t>
  </si>
  <si>
    <t>ACEITE RUN-PWR SINTETICO 10W30</t>
  </si>
  <si>
    <t>ACEITE SPEED RACING API SAE 0W-2</t>
  </si>
  <si>
    <t>BÂTRAK LUSTIK NLGI 3 170 KG</t>
  </si>
  <si>
    <t>BÂTRAK OLYKA EP NLGI 3 170 KG</t>
  </si>
  <si>
    <t>GRASA BATRAK BALTA EP 3  170</t>
  </si>
  <si>
    <t>GRASA BATRAK BALTA EP 00 170 KG</t>
  </si>
  <si>
    <t>GRASA BATRAK BALTA 2 170 KG</t>
  </si>
  <si>
    <t>BATRAK BALTA 00 170 KGS</t>
  </si>
  <si>
    <t>GRASA BATRAK BALTA EP G 1 16K</t>
  </si>
  <si>
    <t>GRASA BATRAK BALTA 000 16 KG</t>
  </si>
  <si>
    <t>BÂTRAK SUPER NOVE ISO CG 80 200</t>
  </si>
  <si>
    <t>BÂTRAK KHOROL ISO VG 100 200 LTS</t>
  </si>
  <si>
    <t>BÂTRAK ZOLOVIC ISO VG 150 200</t>
  </si>
  <si>
    <t>BÂTRAK KHOPIL SAE 40 19 LTS</t>
  </si>
  <si>
    <t>ACEITE BATRAK KOSMACH CUB. 19</t>
  </si>
  <si>
    <t>BATRAK RHODAR SYNTHEX ISO VG</t>
  </si>
  <si>
    <t>BÂTRAK DESNA SYNTHEX ISO VG 46</t>
  </si>
  <si>
    <t>BIDON LIQUIDO LIMPIA PARABRISAS</t>
  </si>
  <si>
    <t>BIDON ABRILLANTADOR PARA VINIL</t>
  </si>
  <si>
    <t>GRASA BALIT 2 170 KGS</t>
  </si>
  <si>
    <t>ACEITE BATRAK NHOPOL ISO VG 320</t>
  </si>
  <si>
    <t>BATAS</t>
  </si>
  <si>
    <t>PP00900016</t>
  </si>
  <si>
    <t>GRASA PARA JUNTAS</t>
  </si>
  <si>
    <t>MOTORMATIC DSL SAE 50  19 LTS</t>
  </si>
  <si>
    <t>VOLTRO EUROFLEET 10W40 200 LTS.</t>
  </si>
  <si>
    <t>REFRIGERANTE CLIMATIZADO DIESEL</t>
  </si>
  <si>
    <t>ACEITE RUN-PWR 5W30 CUB. 19 LTS.</t>
  </si>
  <si>
    <t>ACEITE RUN-PWR SINTETICO 5W30  19</t>
  </si>
  <si>
    <t>ACEITE RUN-PWR TRI SINT GF5 5W30</t>
  </si>
  <si>
    <t>TI-22 API SN/ILSAC GF-5 SAE 10W30</t>
  </si>
  <si>
    <t>NAUTIC 4TIEMPOS NMMAFC-WSAE</t>
  </si>
  <si>
    <t>SINTETICO VOLTRO EUROFLEET SAE</t>
  </si>
  <si>
    <t>GRASA BATRAK RODAKOVE  16 KG</t>
  </si>
  <si>
    <t>BÂTRAK LUSTIK NLGI 3 16 KG</t>
  </si>
  <si>
    <t>BÂTRAK OLYKA SYNTHEX EP NLGI 2</t>
  </si>
  <si>
    <t>GRASA BATRAK BALTA EP 1 16 KGS</t>
  </si>
  <si>
    <t>GRASA BATRAK BALTA 00 16 KG</t>
  </si>
  <si>
    <t>BÂTRAK COPLAN ISO VG 22 200 LTS</t>
  </si>
  <si>
    <t>BÂTRAK HOLESKO ISO VG 100 200</t>
  </si>
  <si>
    <t>BÂTRAK NOVE ISO VG 32 LIGERO 200</t>
  </si>
  <si>
    <t>BÂTRAK NHOPOL ISO VG 68 200 LTS</t>
  </si>
  <si>
    <t>BÂTRAK KRASNE ISO VG 68 200 LTS</t>
  </si>
  <si>
    <t>ACEITE BATRAK KRASNE ISO VG 32</t>
  </si>
  <si>
    <t>BÂTRAK KHOROL ISO VG 1000 200</t>
  </si>
  <si>
    <t>ACEITE BATRAK DESNA ISO VG 10</t>
  </si>
  <si>
    <t>ACEITE BATRAK KOBEL SYNTHEX VG</t>
  </si>
  <si>
    <t>BATRAK RHODAR SYNTEHEX ISO VG</t>
  </si>
  <si>
    <t>ACEITE BATRAK ZOLOVE 100 N</t>
  </si>
  <si>
    <t>BÂTRAK ZOLOVIC ISO VG 100 19 LTS</t>
  </si>
  <si>
    <t>BÂTRAK ZOLOVIC ISO VG 46 19 LTS</t>
  </si>
  <si>
    <t>TIPO CHASIS CABINA T/M DIESEL</t>
  </si>
  <si>
    <t>VC99</t>
  </si>
  <si>
    <t>VEHICULO BLANCO NISSAN MODELO</t>
  </si>
  <si>
    <t>VC98</t>
  </si>
  <si>
    <t>SERIE DEL CHASIS</t>
  </si>
  <si>
    <t>VC97</t>
  </si>
  <si>
    <t>COLOR BLANCO NUMERODE MOTOR</t>
  </si>
  <si>
    <t>VC96</t>
  </si>
  <si>
    <t>TIPO NP300 CH CAB T/M DH VERSION</t>
  </si>
  <si>
    <t>VC95</t>
  </si>
  <si>
    <t>EN LAS CONDICIONES QUE SE</t>
  </si>
  <si>
    <t>VC94</t>
  </si>
  <si>
    <t>VEHICULO MARCA NISSAN MODELO</t>
  </si>
  <si>
    <t>VC93</t>
  </si>
  <si>
    <t>NUMERODE MOTOR KA24-482906A</t>
  </si>
  <si>
    <t>VC92</t>
  </si>
  <si>
    <t>VC91</t>
  </si>
  <si>
    <t>TIPO CHASIS CAB T/M D/H BLANCO</t>
  </si>
  <si>
    <t>VC90</t>
  </si>
  <si>
    <t>VEHICULO NISSAN MODELO 2011</t>
  </si>
  <si>
    <t>VC89</t>
  </si>
  <si>
    <t>SERIE DE CHASIS</t>
  </si>
  <si>
    <t>VC88</t>
  </si>
  <si>
    <t>QUE SE ENCUENTRA MOTOR NUM</t>
  </si>
  <si>
    <t>VC87</t>
  </si>
  <si>
    <t>TIPO CHASIS CAB T/M D/H EN LA</t>
  </si>
  <si>
    <t>VC86</t>
  </si>
  <si>
    <t>VC85</t>
  </si>
  <si>
    <t>VC84</t>
  </si>
  <si>
    <t>QUE SE ENCUENTRA MOTOR KA24-</t>
  </si>
  <si>
    <t>VC83</t>
  </si>
  <si>
    <t>VC82</t>
  </si>
  <si>
    <t>VC81</t>
  </si>
  <si>
    <t>VC79</t>
  </si>
  <si>
    <t>VC78</t>
  </si>
  <si>
    <t>VC77</t>
  </si>
  <si>
    <t>TIPO CHASIS LARGO STD. EN LA</t>
  </si>
  <si>
    <t>VC76</t>
  </si>
  <si>
    <t>VC75</t>
  </si>
  <si>
    <t>SERIE NUMERO 2FMDA534XYBC20066</t>
  </si>
  <si>
    <t>VC74</t>
  </si>
  <si>
    <t>SERIE CHASIS 3N6CD15S53K108724</t>
  </si>
  <si>
    <t>VC26</t>
  </si>
  <si>
    <t>TIPO CHASIS LARGO, MODELO 2003</t>
  </si>
  <si>
    <t>VC25</t>
  </si>
  <si>
    <t>NUMERO DE MOTOR KA24-058149  A</t>
  </si>
  <si>
    <t>VC24</t>
  </si>
  <si>
    <t>SERIE CHASIS 3N6CD15S52K088134</t>
  </si>
  <si>
    <t>VC23</t>
  </si>
  <si>
    <t>NUMERO DE MOTOR KA24-058140 A</t>
  </si>
  <si>
    <t>VC22</t>
  </si>
  <si>
    <t>SERIE CHASIS 3N6CD15S22K088138</t>
  </si>
  <si>
    <t>VC21</t>
  </si>
  <si>
    <t>TIPO CHASIS LARGO MODELO 2002</t>
  </si>
  <si>
    <t>VC20</t>
  </si>
  <si>
    <t>QUE SE ENCUENTRA MARCA NISSAN</t>
  </si>
  <si>
    <t>VC2</t>
  </si>
  <si>
    <t>(RESTOS DEL VEHICULO) $ 1,972.07</t>
  </si>
  <si>
    <t>VC19</t>
  </si>
  <si>
    <t>IVA 16% POR TRANSMISION DE LA</t>
  </si>
  <si>
    <t>VC18</t>
  </si>
  <si>
    <t>MOTOR KA24-029013</t>
  </si>
  <si>
    <t>VC17</t>
  </si>
  <si>
    <t>MOD. 2004  SERIE</t>
  </si>
  <si>
    <t>VC16</t>
  </si>
  <si>
    <t>UNIDAD NISSAN CHASIS LARGO STD</t>
  </si>
  <si>
    <t>VC15</t>
  </si>
  <si>
    <t>DE SEGURO 0620033233 INCISO 0001</t>
  </si>
  <si>
    <t>VC13</t>
  </si>
  <si>
    <t>CONDICIONES QUE SE ENCUENTRA</t>
  </si>
  <si>
    <t>VC11</t>
  </si>
  <si>
    <t>NUMERO DE SERIE</t>
  </si>
  <si>
    <t>VC103</t>
  </si>
  <si>
    <t>NUMRO DE MOTOR YD25-623076P</t>
  </si>
  <si>
    <t>VC102</t>
  </si>
  <si>
    <t>VC101</t>
  </si>
  <si>
    <t>NUMERO DE MOTOR YD25623335P</t>
  </si>
  <si>
    <t>VC100</t>
  </si>
  <si>
    <t>UN AUTOMOVIL USADO EN LAS</t>
  </si>
  <si>
    <t>VC10</t>
  </si>
  <si>
    <t>CAMIONETA MARCA CHEVROLET EN</t>
  </si>
  <si>
    <t>VC1</t>
  </si>
  <si>
    <t>ACEITE RUN-PWR SINTETICO</t>
  </si>
  <si>
    <t>PZ16924</t>
  </si>
  <si>
    <t>ACEITE RUN-PWR SINTETICO 5W50</t>
  </si>
  <si>
    <t>PZ16908</t>
  </si>
  <si>
    <t>ACEITE RUN-PWR TRI-SINTETICO 5W50</t>
  </si>
  <si>
    <t>PZ16902</t>
  </si>
  <si>
    <t>ACEITE RUN-PWR TRI-SINTETICO 5W30</t>
  </si>
  <si>
    <t>PZ16901</t>
  </si>
  <si>
    <t>ACEITE RUN-PWR TRI-SINTETICO .950</t>
  </si>
  <si>
    <t>PZ16900</t>
  </si>
  <si>
    <t>SPEED RACING API SAE 5W40 .950 ML</t>
  </si>
  <si>
    <t>PZ16040</t>
  </si>
  <si>
    <t>ADITIVO ROSHFRANS PREMIUM 443/24</t>
  </si>
  <si>
    <t>G REFRIGERANTE COOLANT FORCE</t>
  </si>
  <si>
    <t>GRASA BATRAK OLYKA EP 2 170</t>
  </si>
  <si>
    <t>BATRAK LUSTIK 3 16 KGS</t>
  </si>
  <si>
    <t>G VTRO FORCE API CI4/SL SAE</t>
  </si>
  <si>
    <t>T-PWR  IIIST API SP SAE 5W50 .950 ML</t>
  </si>
  <si>
    <t>PT08200028P</t>
  </si>
  <si>
    <t>RUNPWR API SPILSAC GF6A SAE</t>
  </si>
  <si>
    <t>HI-ENERGY API SL SAE 25W60  950/15</t>
  </si>
  <si>
    <t>HI-ENERGY API SL SAE 20W50 950/15</t>
  </si>
  <si>
    <t>HI ENERGY API SL AE 25W50 4/5</t>
  </si>
  <si>
    <t>HI NENERGY API SL SAE 25W50 950/15</t>
  </si>
  <si>
    <t>ROSHPACK SUPER HD API SL SAE 40</t>
  </si>
  <si>
    <t>ACEITE BATRAK KOROB ISO VG 100</t>
  </si>
  <si>
    <t>ACEITE BATRAK DESNA ISO VG 150</t>
  </si>
  <si>
    <t>BATRAK DESNA ISO VG 100 19 LTS</t>
  </si>
  <si>
    <t>PROMO ROSHPACK HI ENERGY AAA</t>
  </si>
  <si>
    <t>PSC-93/94</t>
  </si>
  <si>
    <t>HD PLUS API SL SAE 40 4/5</t>
  </si>
  <si>
    <t>PSC-824</t>
  </si>
  <si>
    <t>HD PLUS API SL SAE 60 4/5</t>
  </si>
  <si>
    <t>PSC-812</t>
  </si>
  <si>
    <t>ROSHPACK CLIMATIZADO 950/16</t>
  </si>
  <si>
    <t>PSC-8</t>
  </si>
  <si>
    <t>ROSHPACK TI-22 SAE 50 950/16</t>
  </si>
  <si>
    <t>PSC-72</t>
  </si>
  <si>
    <t>ROSHPACK TI-22 SAE 40 950/16</t>
  </si>
  <si>
    <t>PSC-71</t>
  </si>
  <si>
    <t>HIDRATEC H300 19 LTS</t>
  </si>
  <si>
    <t>PSC-689</t>
  </si>
  <si>
    <t>HIDRAULICO AW ISO VG 68 4/5</t>
  </si>
  <si>
    <t>PSC-655</t>
  </si>
  <si>
    <t>MOTORMATIC DIESEL RHF-20 SAE 50</t>
  </si>
  <si>
    <t>PSC-63</t>
  </si>
  <si>
    <t>MOTORMATIC DIESEL RHF-20 SAE 40</t>
  </si>
  <si>
    <t>PSC-62</t>
  </si>
  <si>
    <t>DIESEL VOLTRO 15W40 CUB 19 LTS</t>
  </si>
  <si>
    <t>PSC-610</t>
  </si>
  <si>
    <t>RAS SERIE 3 (CF) SAE 40 950/16</t>
  </si>
  <si>
    <t>PSC-61</t>
  </si>
  <si>
    <t>RAS SERIE S (CF) SAE 50 19 LTS</t>
  </si>
  <si>
    <t>PSC-599</t>
  </si>
  <si>
    <t>ROSHPACK SAE 40 950/16</t>
  </si>
  <si>
    <t>PSC-57</t>
  </si>
  <si>
    <t>ROSHPACK SAE 20W50 950/16</t>
  </si>
  <si>
    <t>PSC-56</t>
  </si>
  <si>
    <t>TRANS ATF DEX II 4/5</t>
  </si>
  <si>
    <t>PSC-535</t>
  </si>
  <si>
    <t>ROSHPACK SAE 60 4/4</t>
  </si>
  <si>
    <t>PSC-531</t>
  </si>
  <si>
    <t>ROSHPACK SAE 50 4/4</t>
  </si>
  <si>
    <t>PSC-530</t>
  </si>
  <si>
    <t>ROSHPACK SAE 40 4/4</t>
  </si>
  <si>
    <t>PSC-529</t>
  </si>
  <si>
    <t>ROSHPACK SAE 25W50 4/4</t>
  </si>
  <si>
    <t>PSC-527</t>
  </si>
  <si>
    <t>ROSHPACK TRANS GL1 SAE 90 950/16</t>
  </si>
  <si>
    <t>PSC-52</t>
  </si>
  <si>
    <t>ROSHPACK SUPER ATF DX III 950/16</t>
  </si>
  <si>
    <t>PSC-515</t>
  </si>
  <si>
    <t>ROSHPACK TRANS ATF DX 11 950/16</t>
  </si>
  <si>
    <t>PSC-50</t>
  </si>
  <si>
    <t>BOT TRANSM ATF DX III 950/16</t>
  </si>
  <si>
    <t>PSC-491</t>
  </si>
  <si>
    <t>BOT TRANSM ATF MV DX V 950/16</t>
  </si>
  <si>
    <t>PSC-490</t>
  </si>
  <si>
    <t>ROSHPACK TRANS GL1 SAE 140</t>
  </si>
  <si>
    <t>PSC-49</t>
  </si>
  <si>
    <t>BOT TRANSM ATF DX II 950/16</t>
  </si>
  <si>
    <t>PSC-489</t>
  </si>
  <si>
    <t>SUPER ATF DEX III MERCON</t>
  </si>
  <si>
    <t>PSC-486</t>
  </si>
  <si>
    <t>TI22m DSL (CF) SAE 15W40 19 LTS</t>
  </si>
  <si>
    <t>PSC-454</t>
  </si>
  <si>
    <t>TI22m DSL (CF) SAE 20W50 19 LTS</t>
  </si>
  <si>
    <t>PSC-449</t>
  </si>
  <si>
    <t>TI22m DSL (CF) SAE 20W50 4/5</t>
  </si>
  <si>
    <t>PSC-448</t>
  </si>
  <si>
    <t>PSC-428</t>
  </si>
  <si>
    <t>VOLTRO MAX POWER 25W50 19 LTS</t>
  </si>
  <si>
    <t>PSC-16602</t>
  </si>
  <si>
    <t>ROSHPACK DIESEL RAS SAE 40</t>
  </si>
  <si>
    <t>PSC-16078</t>
  </si>
  <si>
    <t>ROSHPACK DIESEL RAS SAE 50</t>
  </si>
  <si>
    <t>PSC-16077</t>
  </si>
  <si>
    <t>ZN-30 AK SAE 25W50 4/5</t>
  </si>
  <si>
    <t>PSC-16069</t>
  </si>
  <si>
    <t>ZN30 API SN SAE 25W50 950/15</t>
  </si>
  <si>
    <t>PSC-16068</t>
  </si>
  <si>
    <t>TI22 API SN GF5 SAE 5W30 4/5</t>
  </si>
  <si>
    <t>PSC-16064</t>
  </si>
  <si>
    <t>TI22 API SN GF5 SAE 5W30 950/15</t>
  </si>
  <si>
    <t>PSC-16063</t>
  </si>
  <si>
    <t>TI-22 API SN GF5 SAE 10W30 4/5</t>
  </si>
  <si>
    <t>PSC-16059</t>
  </si>
  <si>
    <t>TI22 API SN GFS 10W30 950/15</t>
  </si>
  <si>
    <t>PSC-16058</t>
  </si>
  <si>
    <t>TI-22 15W40 4/5</t>
  </si>
  <si>
    <t>PSC-16054</t>
  </si>
  <si>
    <t>BOTELLA TI22 SAE 15W40 SM 950/15</t>
  </si>
  <si>
    <t>PSC-16053</t>
  </si>
  <si>
    <t>TI-22 SAE 20W50 SM 4/5</t>
  </si>
  <si>
    <t>PSC-16049</t>
  </si>
  <si>
    <t>BOTELLA TI22 SAE 20W50 SM 950/15</t>
  </si>
  <si>
    <t>PSC-16048</t>
  </si>
  <si>
    <t>PSC-16023</t>
  </si>
  <si>
    <t>ROSHPACK FULL HD SAE 60 950/16</t>
  </si>
  <si>
    <t>PSC-16022</t>
  </si>
  <si>
    <t>HD PLUS API SL 50 4/5</t>
  </si>
  <si>
    <t>PSC-16018</t>
  </si>
  <si>
    <t>ROSHPACK FULL HD SAE 50 950/16</t>
  </si>
  <si>
    <t>PSC-16017</t>
  </si>
  <si>
    <t>ROSHPACK FULL HD SAE 40 950/16</t>
  </si>
  <si>
    <t>PSC-16012</t>
  </si>
  <si>
    <t>ROSHPACK FULL HD 20W50 950/16</t>
  </si>
  <si>
    <t>PSC-16007</t>
  </si>
  <si>
    <t>FULL AK HI ENERGY SAE 25W50 4/5</t>
  </si>
  <si>
    <t>PSC-16002</t>
  </si>
  <si>
    <t>ROSHPACK F AK SAE 25W50 950/16</t>
  </si>
  <si>
    <t>PSC-16001</t>
  </si>
  <si>
    <t>TRANSM GL 1 SAE 250 4/5</t>
  </si>
  <si>
    <t>PSC-140</t>
  </si>
  <si>
    <t>BOT TRANSM SAE 250 GL1 950/16</t>
  </si>
  <si>
    <t>PSC-139</t>
  </si>
  <si>
    <t>SUPER GEAR OIL GL5 80W90 4/5</t>
  </si>
  <si>
    <t>PSC-138</t>
  </si>
  <si>
    <t>BOT TRANSM SAE 80W90 GL5 950/16</t>
  </si>
  <si>
    <t>PSC-137</t>
  </si>
  <si>
    <t>TRANSM GL 1 SAE 140 4/5</t>
  </si>
  <si>
    <t>PSC-134</t>
  </si>
  <si>
    <t>BOT TRANSM SAE 140 GL1 950/16</t>
  </si>
  <si>
    <t>PSC-133</t>
  </si>
  <si>
    <t>TRANSM GL1 SE 90 4/5</t>
  </si>
  <si>
    <t>PSC-130</t>
  </si>
  <si>
    <t>MAX POWER S3 (CF) SAE 20W50 19</t>
  </si>
  <si>
    <t>PSC-1298</t>
  </si>
  <si>
    <t>MAX POWER S3 (CF) SAE 15W40</t>
  </si>
  <si>
    <t>PSC-1296</t>
  </si>
  <si>
    <t>BOT TRANSM SAE 90 GL1 950/16</t>
  </si>
  <si>
    <t>PSC-129</t>
  </si>
  <si>
    <t>SUPER GEAR OIL GL5 SAE 85W140 4/5</t>
  </si>
  <si>
    <t>PSC-128</t>
  </si>
  <si>
    <t>BOT TRANSM SAE 85W140 GL5 950/16</t>
  </si>
  <si>
    <t>PSC-127</t>
  </si>
  <si>
    <t>DIESEL HI ENERGY AK SAE 25W50</t>
  </si>
  <si>
    <t>PSC-1265</t>
  </si>
  <si>
    <t>VOLTRO DIESEL S 3 (CI-4) SAE 15W40</t>
  </si>
  <si>
    <t>PSC-1255</t>
  </si>
  <si>
    <t>VOLTRO DIESEL + SL SAE 15W40 19</t>
  </si>
  <si>
    <t>PSC-1198</t>
  </si>
  <si>
    <t>PROMOSION PLAYERA</t>
  </si>
  <si>
    <t>PP2022</t>
  </si>
  <si>
    <t>GRASA CHASIS 3.5 KGS</t>
  </si>
  <si>
    <t>P587</t>
  </si>
  <si>
    <t>ADITIVO HEAVY 443  ML</t>
  </si>
  <si>
    <t>P366</t>
  </si>
  <si>
    <t>GARRAFA TI-22 20W50 5 LTS</t>
  </si>
  <si>
    <t>P317</t>
  </si>
  <si>
    <t>GARRAFA TI-22 15W40  5LTS</t>
  </si>
  <si>
    <t>P312</t>
  </si>
  <si>
    <t>P17</t>
  </si>
  <si>
    <t>PROMO ROSHPACK AAA 25W50</t>
  </si>
  <si>
    <t>P-93</t>
  </si>
  <si>
    <t>SAE 40  4/5</t>
  </si>
  <si>
    <t>P-824</t>
  </si>
  <si>
    <t>SAE 60  4/5</t>
  </si>
  <si>
    <t>P-812</t>
  </si>
  <si>
    <t>SAE 50   4/5</t>
  </si>
  <si>
    <t>P-810</t>
  </si>
  <si>
    <t>P-8</t>
  </si>
  <si>
    <t>ROSHPACK TI-22 SAE 50</t>
  </si>
  <si>
    <t>P-72</t>
  </si>
  <si>
    <t>ROSHPACK TI-22 SAE 40</t>
  </si>
  <si>
    <t>P-71</t>
  </si>
  <si>
    <t>ARRANCADOR 310 ML</t>
  </si>
  <si>
    <t>P-670</t>
  </si>
  <si>
    <t>HIDRAULICO ISO VG 68 4/5</t>
  </si>
  <si>
    <t>P-655</t>
  </si>
  <si>
    <t>DIESEL RAS SERIES 3 SAE 50 4/5</t>
  </si>
  <si>
    <t>P-650</t>
  </si>
  <si>
    <t>P-63</t>
  </si>
  <si>
    <t>DIESEL RAS SERIES 3 40 4/5</t>
  </si>
  <si>
    <t>P-620</t>
  </si>
  <si>
    <t>P-62</t>
  </si>
  <si>
    <t>V DIESEL API CI4/SL 20W50 19 LTS</t>
  </si>
  <si>
    <t>P-612</t>
  </si>
  <si>
    <t>V DIESEL API CI-4/SL 15W40 19 LTS</t>
  </si>
  <si>
    <t>P-610</t>
  </si>
  <si>
    <t>DIESEL 40 19 LTS</t>
  </si>
  <si>
    <t>P-61</t>
  </si>
  <si>
    <t>DIESEL 50 19 LTS</t>
  </si>
  <si>
    <t>P-599</t>
  </si>
  <si>
    <t>SAE 20W50 950/16</t>
  </si>
  <si>
    <t>P-58</t>
  </si>
  <si>
    <t>MOTORMATIC ROSHPACK SAE 40</t>
  </si>
  <si>
    <t>P-57</t>
  </si>
  <si>
    <t>MOTORMATIC ROSHPACK SAE 20W50</t>
  </si>
  <si>
    <t>P-56</t>
  </si>
  <si>
    <t>TRANSMISION AUTOMATICA DEX II 4/5</t>
  </si>
  <si>
    <t>P-535</t>
  </si>
  <si>
    <t>ROSHPACK HD SAE 60 4/4</t>
  </si>
  <si>
    <t>P-531</t>
  </si>
  <si>
    <t>ROSHPACK HD SAE 50 4/4</t>
  </si>
  <si>
    <t>P-530</t>
  </si>
  <si>
    <t>ROSHPACK HD SAE 40 4/4</t>
  </si>
  <si>
    <t>P-529</t>
  </si>
  <si>
    <t>ROSHPACK HD SAE 20W50 4/4</t>
  </si>
  <si>
    <t>P-528</t>
  </si>
  <si>
    <t>ROSHPACK HD SAE 25W50 4/-4</t>
  </si>
  <si>
    <t>P-527</t>
  </si>
  <si>
    <t>ROSHPACK GERA OIL API GL-1 SAE</t>
  </si>
  <si>
    <t>P-52</t>
  </si>
  <si>
    <t>ROSHPACK ATF DEX-III</t>
  </si>
  <si>
    <t>P-515</t>
  </si>
  <si>
    <t>ROSHPACK T. A.  ATF DEXRON II 950-</t>
  </si>
  <si>
    <t>P-50</t>
  </si>
  <si>
    <t>SUPER ATF DEX-III MERC 950/16</t>
  </si>
  <si>
    <t>P-491</t>
  </si>
  <si>
    <t>ATF ALLPOWER MULTIUSOS 950/16</t>
  </si>
  <si>
    <t>P-490</t>
  </si>
  <si>
    <t>P-49</t>
  </si>
  <si>
    <t>P-489</t>
  </si>
  <si>
    <t>TRANSMISION AUTOMATICA DEX III  4/5</t>
  </si>
  <si>
    <t>P-486</t>
  </si>
  <si>
    <t>LIMPIA PARABRISAS  950 ML</t>
  </si>
  <si>
    <t>P-48</t>
  </si>
  <si>
    <t>TI-22 DSL API CF SAE 15W40 19 LTS</t>
  </si>
  <si>
    <t>P-454</t>
  </si>
  <si>
    <t>TI-22 DSL API CF SAE 20W50 19 LTS</t>
  </si>
  <si>
    <t>P-449</t>
  </si>
  <si>
    <t>TI-22 DSL 20W50 4/5</t>
  </si>
  <si>
    <t>P-448</t>
  </si>
  <si>
    <t>SAE 50 SL 950/16</t>
  </si>
  <si>
    <t>P-44</t>
  </si>
  <si>
    <t>P-428</t>
  </si>
  <si>
    <t>REFRIGERANTE COOLANT DIESEL 19</t>
  </si>
  <si>
    <t>P-419</t>
  </si>
  <si>
    <t>MC-2 950 ML</t>
  </si>
  <si>
    <t>P-393</t>
  </si>
  <si>
    <t>MC-2  440 MLS</t>
  </si>
  <si>
    <t>P-392</t>
  </si>
  <si>
    <t>ADITIVO PREMIUM 443 ML</t>
  </si>
  <si>
    <t>P-361</t>
  </si>
  <si>
    <t>CAJA TI-22 25W50  950/15</t>
  </si>
  <si>
    <t>P-357</t>
  </si>
  <si>
    <t>CAJA TI-22 20W50  4/5</t>
  </si>
  <si>
    <t>P-317</t>
  </si>
  <si>
    <t>CAJA TI-22 20W50 950/15</t>
  </si>
  <si>
    <t>P-316</t>
  </si>
  <si>
    <t>CAJA TI-22 15W40 4/5</t>
  </si>
  <si>
    <t>P-312</t>
  </si>
  <si>
    <t>CAJA TI-22 15W40 950/15</t>
  </si>
  <si>
    <t>P-311</t>
  </si>
  <si>
    <t>MOTONIC 2 TIEMPOS 950 ML</t>
  </si>
  <si>
    <t>P-301</t>
  </si>
  <si>
    <t>PROM</t>
  </si>
  <si>
    <t>P-20</t>
  </si>
  <si>
    <t>ABRILLANTADOR 600 ML</t>
  </si>
  <si>
    <t>P-1964</t>
  </si>
  <si>
    <t>LIQUIDO PARA FRENOS  DOT-3 350 ML</t>
  </si>
  <si>
    <t>P-1818</t>
  </si>
  <si>
    <t>MOTONIC 2 TIEMPOS  250 ML</t>
  </si>
  <si>
    <t>P-1817</t>
  </si>
  <si>
    <t>ADITIVO  +OCTAN  250 ML</t>
  </si>
  <si>
    <t>P-1815</t>
  </si>
  <si>
    <t>SAE 60 SL 950/16</t>
  </si>
  <si>
    <t>P-18</t>
  </si>
  <si>
    <t>ACEITE PURE SKY 19 LTS</t>
  </si>
  <si>
    <t>P-16161</t>
  </si>
  <si>
    <t>ROSHPACK VOLTRO FULL S 5W40 4/4</t>
  </si>
  <si>
    <t>P-16142</t>
  </si>
  <si>
    <t>VOLTOR FULL SYNTHETIC 5W40</t>
  </si>
  <si>
    <t>P-16140</t>
  </si>
  <si>
    <t>ROSHPACKVOLTRO SEMI S 15W40 4/4</t>
  </si>
  <si>
    <t>P-16137</t>
  </si>
  <si>
    <t>VOLTRO SEMISINTETICO 15W40 950/16</t>
  </si>
  <si>
    <t>P-16135</t>
  </si>
  <si>
    <t>ROSHPACK DIESEL VOLTRO 15W-40</t>
  </si>
  <si>
    <t>P-16132</t>
  </si>
  <si>
    <t>ROSHPACK DIESEL V 15W40 950/16</t>
  </si>
  <si>
    <t>P-16130</t>
  </si>
  <si>
    <t>ROSHPACK DIESEL S3 SAE 50 4/4</t>
  </si>
  <si>
    <t>P-16107</t>
  </si>
  <si>
    <t>ROSHPACK DIESEL SAE 40 NL 4/4</t>
  </si>
  <si>
    <t>P-16106</t>
  </si>
  <si>
    <t>ROSHPACK VOLTRO DSL 15W40 4/4</t>
  </si>
  <si>
    <t>P-16105</t>
  </si>
  <si>
    <t>ROSHPACK DIESEL HI-ENERGY CF-4</t>
  </si>
  <si>
    <t>P-16104</t>
  </si>
  <si>
    <t>ROSHPACK TI-22 DSL 20W50 4/4</t>
  </si>
  <si>
    <t>P-16102</t>
  </si>
  <si>
    <t>ROSHPACK RFRIGERANTE COOLANT</t>
  </si>
  <si>
    <t>P-16082</t>
  </si>
  <si>
    <t>ROSHPACK V DIESEL 15W40 950/16</t>
  </si>
  <si>
    <t>P-16079</t>
  </si>
  <si>
    <t>ROSHPACK DIESEL S3 SAE 40 950/16</t>
  </si>
  <si>
    <t>P-16078</t>
  </si>
  <si>
    <t>ROSHPACK DIESEL S3 API SAE 50</t>
  </si>
  <si>
    <t>P-16077</t>
  </si>
  <si>
    <t>ROSHPACK DIESEL HI EBERGY 25W50</t>
  </si>
  <si>
    <t>P-16076</t>
  </si>
  <si>
    <t>ZN-30 API SN SAE 25W50 4/5</t>
  </si>
  <si>
    <t>P-16069</t>
  </si>
  <si>
    <t>ZN-30 API SAE 25W50 950/15 LTS</t>
  </si>
  <si>
    <t>P-16068</t>
  </si>
  <si>
    <t>TI-22 SN ILSAC GF5 5W30 4/5</t>
  </si>
  <si>
    <t>P-16064</t>
  </si>
  <si>
    <t>TI-22 API SAE 5W30 950/15 LTS</t>
  </si>
  <si>
    <t>P-16063</t>
  </si>
  <si>
    <t>TI-22 API SN ILSAC GF5 10W30 4/5</t>
  </si>
  <si>
    <t>P-16059</t>
  </si>
  <si>
    <t>TI-22 API SAE 10W30 950/15 LTS</t>
  </si>
  <si>
    <t>P-16058</t>
  </si>
  <si>
    <t>TI-22 API SN SAE 15W40 4/5</t>
  </si>
  <si>
    <t>P-16054</t>
  </si>
  <si>
    <t>TI-22 API SN SAE 15W40 950/15</t>
  </si>
  <si>
    <t>P-16053</t>
  </si>
  <si>
    <t>TI-22 SAE 20W-50 4/5</t>
  </si>
  <si>
    <t>P-16049</t>
  </si>
  <si>
    <t>TI-22 API SN SAE 20W50/15</t>
  </si>
  <si>
    <t>P-16048</t>
  </si>
  <si>
    <t>ROSHFRANS SAE 60  SL 4/5</t>
  </si>
  <si>
    <t>P-16023</t>
  </si>
  <si>
    <t>ROSHPACK SAE 60 950/16</t>
  </si>
  <si>
    <t>P-16022</t>
  </si>
  <si>
    <t>ROSHFRANS  SAE 50 SL  4/5</t>
  </si>
  <si>
    <t>P-16018</t>
  </si>
  <si>
    <t>ROSHPACK SAE 50  950/16</t>
  </si>
  <si>
    <t>P-16017</t>
  </si>
  <si>
    <t>ROSHFRANS SAE 40 SL 4/5</t>
  </si>
  <si>
    <t>P-16013</t>
  </si>
  <si>
    <t>P-16012</t>
  </si>
  <si>
    <t>ROSHPACK SEA 20W-50  950/16</t>
  </si>
  <si>
    <t>P-16007</t>
  </si>
  <si>
    <t>ROSHFRANS SAE 25W-50 4/5</t>
  </si>
  <si>
    <t>P-16002</t>
  </si>
  <si>
    <t>ROSHPACK  SAE 25W50 950/16</t>
  </si>
  <si>
    <t>P-16001</t>
  </si>
  <si>
    <t>REFRIGERANTE COOLANT 950 ML</t>
  </si>
  <si>
    <t>P-16</t>
  </si>
  <si>
    <t>TRANSMISION 250 GL1 4/5</t>
  </si>
  <si>
    <t>P-140</t>
  </si>
  <si>
    <t>GEAR OIL API GL1 SAE 250</t>
  </si>
  <si>
    <t>P-139</t>
  </si>
  <si>
    <t>TRANSMISION 80W90 GL5 4/5</t>
  </si>
  <si>
    <t>P-138</t>
  </si>
  <si>
    <t>SUPER GEAR OIL GL5 SAE 80W90</t>
  </si>
  <si>
    <t>P-137</t>
  </si>
  <si>
    <t>TRANSMISION 140 GL1 4/5</t>
  </si>
  <si>
    <t>P-134</t>
  </si>
  <si>
    <t>GEAR OIL API GL-1 SAE 140</t>
  </si>
  <si>
    <t>P-133</t>
  </si>
  <si>
    <t>TRANSMISION 90 GL1 4/5</t>
  </si>
  <si>
    <t>P-130</t>
  </si>
  <si>
    <t>DIESEL MAX POWER 20W50 19 LTS</t>
  </si>
  <si>
    <t>P-1298</t>
  </si>
  <si>
    <t>DIESEL MAX POWER 15W40 19 LTS</t>
  </si>
  <si>
    <t>P-1296</t>
  </si>
  <si>
    <t>GEAR OIL API GL-1 SAE 90 950/16</t>
  </si>
  <si>
    <t>P-129</t>
  </si>
  <si>
    <t>TRANSMISION 85W140 GL5 4/5</t>
  </si>
  <si>
    <t>P-128</t>
  </si>
  <si>
    <t>TRANSMISION GEAR OIL 85W140</t>
  </si>
  <si>
    <t>P-127</t>
  </si>
  <si>
    <t>DIESEL HI-ENERGY CF-4 SAE 25W50</t>
  </si>
  <si>
    <t>P-1265</t>
  </si>
  <si>
    <t>DIESEL HI-ENERGY CF-4 25W-50 4/5</t>
  </si>
  <si>
    <t>P-1263</t>
  </si>
  <si>
    <t>ADITIVO DIESEL CLEAN YECTOR 35 ML</t>
  </si>
  <si>
    <t>P-1261</t>
  </si>
  <si>
    <t>VOLTRO DIESEL SERIES 3 15W-40  4/5</t>
  </si>
  <si>
    <t>P-1255</t>
  </si>
  <si>
    <t>AK HI-ENERGY PLUS 25W-50  4/5</t>
  </si>
  <si>
    <t>P-1248</t>
  </si>
  <si>
    <t>GRASA BALIT COMPLEZ PLUS EP 2</t>
  </si>
  <si>
    <t>P-1224</t>
  </si>
  <si>
    <t>HI-ENERGY SAE 25W50 950/16</t>
  </si>
  <si>
    <t>P-11</t>
  </si>
  <si>
    <t>MONT4</t>
  </si>
  <si>
    <t>TRANSMISION AUTOMATICA</t>
  </si>
  <si>
    <t>MONT3</t>
  </si>
  <si>
    <t>SERIE 143917A MODELO P50</t>
  </si>
  <si>
    <t>MONT2</t>
  </si>
  <si>
    <t>1 MONTACARGAS USADO  MARCA</t>
  </si>
  <si>
    <t>MONT1</t>
  </si>
  <si>
    <t>ELEMENT SUB ASSY A/C</t>
  </si>
  <si>
    <t>HS1780-13391</t>
  </si>
  <si>
    <t>DESENGRASANTE 500 GMS</t>
  </si>
  <si>
    <t>AE0337</t>
  </si>
  <si>
    <t>DESENGRASANTE 1000 GRS</t>
  </si>
  <si>
    <t>AE0336</t>
  </si>
  <si>
    <t>BOMBA PALANCA P/ACEITE TAMBO</t>
  </si>
  <si>
    <t>AE0323</t>
  </si>
  <si>
    <t>BOMBA EXTRACTO. P/TAMBO</t>
  </si>
  <si>
    <t>AE0321</t>
  </si>
  <si>
    <t>CUB. INYECTORA PARA GRASA 19</t>
  </si>
  <si>
    <t>AE0310</t>
  </si>
  <si>
    <t>MANGUERA DE 30 CM</t>
  </si>
  <si>
    <t>AE0309</t>
  </si>
  <si>
    <t>MANGUERA DE 40 CM</t>
  </si>
  <si>
    <t>AE0308</t>
  </si>
  <si>
    <t>BOQUILLA HIDRAULICA</t>
  </si>
  <si>
    <t>AE0307</t>
  </si>
  <si>
    <t>CAMA DE METAL PARA MECANICO</t>
  </si>
  <si>
    <t>AE0303</t>
  </si>
  <si>
    <t>SOPLETE PARA AIRE</t>
  </si>
  <si>
    <t>AE0302</t>
  </si>
  <si>
    <t>SOPLETE PARA PETROLEO</t>
  </si>
  <si>
    <t>AE0301</t>
  </si>
  <si>
    <t>CHAMARRA NEGRA 08 T/CH</t>
  </si>
  <si>
    <t>AE0054</t>
  </si>
  <si>
    <t>CHAMARRA NEGRA 08 T/XL</t>
  </si>
  <si>
    <t>AE0053</t>
  </si>
  <si>
    <t>CHAMARRA NEGRA 08 T/L</t>
  </si>
  <si>
    <t>AE0052</t>
  </si>
  <si>
    <t>CHAMARRA NEGRA 08 T/M</t>
  </si>
  <si>
    <t>AE0051</t>
  </si>
  <si>
    <t>HIDRAULICO ANTIDES. ISO VG 68 200</t>
  </si>
  <si>
    <t>HIDRAULICO ANTIDES. ISO VG 68 19</t>
  </si>
  <si>
    <t>ROSHPACK PROMO 2 AAA  SAE</t>
  </si>
  <si>
    <t>2 TIEMPOS NAUTIC PLUS NMMA TC-</t>
  </si>
  <si>
    <t>TRANS. MULTITRANS. STD GL-4 SAE</t>
  </si>
  <si>
    <t>HEAVY DUTY  SAE 20W-50  200LTS</t>
  </si>
  <si>
    <t>HEAVY DUTY SAE 20W50 19 LTS</t>
  </si>
  <si>
    <t>ROSHFRANS SAE 40 SL 200 LTS</t>
  </si>
  <si>
    <t>ROSHFRANS SAE 40 SL 19 LTS</t>
  </si>
  <si>
    <t>EMPLAYADO DIESEL CLEAN YECTOR</t>
  </si>
  <si>
    <t>SUPER GEAR OIL GL-5 SAE 80W90 19</t>
  </si>
  <si>
    <t>ROSHFRANS SAE 60 SL 200 LTS</t>
  </si>
  <si>
    <t>ROSHFRANS SAE 60 SL 19 LTS</t>
  </si>
  <si>
    <t>ROSHFRANS SAE 50 SL 200 LTS</t>
  </si>
  <si>
    <t>ROSHFRANS SAE 50 SL 19 LTS</t>
  </si>
  <si>
    <t>ROSHFRANS SAE 60 SL 950/16</t>
  </si>
  <si>
    <t>ROSHFRANS SAE 50 SL 4/5</t>
  </si>
  <si>
    <t>SUPER GEAR OIL GL-5 SAE 80W90</t>
  </si>
  <si>
    <t>CUBETA GEAR PLUS CD-700 19 LT.</t>
  </si>
  <si>
    <t>TRANSMISION GEAR PLUS CD-50 200</t>
  </si>
  <si>
    <t>GRASA BALIT EP 3  7KGS</t>
  </si>
  <si>
    <t>GRASA P/ JUNTAS HOMOCINETICAS</t>
  </si>
  <si>
    <t>ROSHPACK TI-22 API SAE 50 950/16</t>
  </si>
  <si>
    <t>ROSPACK TI-22 API SAE 40 950/15</t>
  </si>
  <si>
    <t>TRANS. AUTOMATICA DEXRON-II 200</t>
  </si>
  <si>
    <t>689/1</t>
  </si>
  <si>
    <t>HIDRATEC  H-300  ISO VG 68  19 LTS</t>
  </si>
  <si>
    <t>TRANS. AUTOMATICA ATF DEXRON-II</t>
  </si>
  <si>
    <t>ARRANCADOR 310/24</t>
  </si>
  <si>
    <t>PLAYERA NEGRA 65 ANIVERSARIO</t>
  </si>
  <si>
    <t>HIDRAULICO ANTIDES. ISO VG 68 4/5</t>
  </si>
  <si>
    <t>HIDRAULICO ANTIDES. ISO VG 68</t>
  </si>
  <si>
    <t>DIESEL RAS API CF, SAE 50 4/5</t>
  </si>
  <si>
    <t>DIESEL RAS API CF, SAE 40 200 LTS</t>
  </si>
  <si>
    <t>GRANEL VOLTRO SUPER GL-5</t>
  </si>
  <si>
    <t>DIESEL RAS API CF, SAE 40 4/5</t>
  </si>
  <si>
    <t>MOTORMATIC DSL SAE 40 19 LTS</t>
  </si>
  <si>
    <t>DIESEL RAS API CF, SAE 50 200 LTS</t>
  </si>
  <si>
    <t>DIESEL VOLTRO API CI-4 SAE 20W50</t>
  </si>
  <si>
    <t>DIESEL VOLTRO API CI-4 SAE 15W40</t>
  </si>
  <si>
    <t>DIESEL RAS API CF SAE 40 19 LTS</t>
  </si>
  <si>
    <t>61/1</t>
  </si>
  <si>
    <t>DIESEL RAS API CF, SAE 40 19 LTS</t>
  </si>
  <si>
    <t>REFRIGERANTE COOLANT 950/12</t>
  </si>
  <si>
    <t>ANTICONGELANTE CONCENTRADO</t>
  </si>
  <si>
    <t>CSSCO GRUPO 5</t>
  </si>
  <si>
    <t>CASCO GRUPO 4</t>
  </si>
  <si>
    <t>CASCO GRUPO 3</t>
  </si>
  <si>
    <t>CASCO GRUPO 2</t>
  </si>
  <si>
    <t>ACUMULADOR USADO INTERMEDIO</t>
  </si>
  <si>
    <t>BATERIA  ITALIKA YTX7A-BS</t>
  </si>
  <si>
    <t>DIESEL RAS API CF SAE 50 19 LTS</t>
  </si>
  <si>
    <t>599/1</t>
  </si>
  <si>
    <t>GRASA CHASIS 3 3.5 KG</t>
  </si>
  <si>
    <t>GRASA B.A.T. 3 3.5 KG</t>
  </si>
  <si>
    <t>GRASA CHASIS 2 3.5 KG.</t>
  </si>
  <si>
    <t>GRASA CHASIS 1 3.5K</t>
  </si>
  <si>
    <t>GRASA GRAFITADA FIBROSA 3.5 K</t>
  </si>
  <si>
    <t>ROSHPACK HEAVY DUTY SAE 60 4/4</t>
  </si>
  <si>
    <t>ROSHPACK HEAVY DUTY SAE 50 4/4</t>
  </si>
  <si>
    <t>ROSHPACK HEAVY DUTY SAE 40 4/4</t>
  </si>
  <si>
    <t>529/1</t>
  </si>
  <si>
    <t>ROSHPACK HEAVY DUTY SAE 20W50</t>
  </si>
  <si>
    <t>528/1</t>
  </si>
  <si>
    <t>ROSHPACK HI-ENERGY SAE 25W50</t>
  </si>
  <si>
    <t>ROSHPACK TRANS OIL GL-1 SAE 90</t>
  </si>
  <si>
    <t>ROSHPACK SUPER ATF DEX-III 950/16</t>
  </si>
  <si>
    <t>ROSHPACK TRANS ATF DEXRON-II</t>
  </si>
  <si>
    <t>TRANS. AUTOMATICA ATF DEXRON-III</t>
  </si>
  <si>
    <t>TRANS AUTOMATICA ATF DEXRON-III</t>
  </si>
  <si>
    <t>ROSHPACK TRANS OIL GL-1 SAE 140</t>
  </si>
  <si>
    <t>TRANS. AUTOMATICA ATF DEX-II</t>
  </si>
  <si>
    <t>TI-22 10W40 19 LTS</t>
  </si>
  <si>
    <t>PROMO ROSHP. LIQ. LIMP</t>
  </si>
  <si>
    <t>SEMI V PRO API CJ-4/SM SAE 15W40</t>
  </si>
  <si>
    <t>PROMO ROSHPACK SAE 60 950/4</t>
  </si>
  <si>
    <t>G SEMISINT. VOLTRO PRO CJ4/SM</t>
  </si>
  <si>
    <t>G VOLTRO FORCE API CI4/SL SAE</t>
  </si>
  <si>
    <t>Ti-22 DSL API CF SAE 15W40 200 LTS</t>
  </si>
  <si>
    <t>Ti-22 DSL API CF SAE 15W40 19 LTS</t>
  </si>
  <si>
    <t>GRANEL Ti-22 DSL API CF SAE 15W40</t>
  </si>
  <si>
    <t>Ti-22 DSL API CF SAE 20W50 200 LTS</t>
  </si>
  <si>
    <t>Ti-22 DSL API CF SAE 20W50 19 LTS</t>
  </si>
  <si>
    <t>Ti-22 DSL API CF SAE 20W50 4/5</t>
  </si>
  <si>
    <t>Ti-22 DSL API CF SAE 20W50 950/16</t>
  </si>
  <si>
    <t>GRANEL Ti-22 DSL API CF 20W50</t>
  </si>
  <si>
    <t>GRASA B.A.T. 3 7 KG</t>
  </si>
  <si>
    <t>GRASA CHASIS 2 7 KG.</t>
  </si>
  <si>
    <t>AMERICANFLEET API CJ-4/SM SAE</t>
  </si>
  <si>
    <t>ROSHPACK SAE 50 SL 950/16</t>
  </si>
  <si>
    <t>G SINT V AMERICAN FLEET CJ4/SM</t>
  </si>
  <si>
    <t>VOLTRO EUROFLEET 10W40 CUB. 19</t>
  </si>
  <si>
    <t>ANTICONGELANTE CONCENTRADO 19</t>
  </si>
  <si>
    <t>REFRIGERANTE COOLANT DIESEL</t>
  </si>
  <si>
    <t>REFRIGERANTE COOLANT DIESEL 200</t>
  </si>
  <si>
    <t>GRANEL REF. COOLANT DIESEL 1000</t>
  </si>
  <si>
    <t>G REFRIGERANTE CLIMATIZADO</t>
  </si>
  <si>
    <t>REFRIGERANTE CLIMATIZADO 950/12</t>
  </si>
  <si>
    <t>CB6L-B ACUMULADOR MOTO</t>
  </si>
  <si>
    <t>CB5L-B ACUMULADOR MOTO</t>
  </si>
  <si>
    <t>12N7-3B ACUMULADOR MOTO</t>
  </si>
  <si>
    <t>ACUMULADOR MOTO YTX7A-BS</t>
  </si>
  <si>
    <t>ACUMULADOR USADO EXTRA</t>
  </si>
  <si>
    <t>ACUMULADOR USADO GRANDE</t>
  </si>
  <si>
    <t>ACUMULADOR USADO MEDIANO</t>
  </si>
  <si>
    <t>ACUMULADOR G-31 C/PROFUNDO</t>
  </si>
  <si>
    <t>ACUMULADOR USADO CHICO</t>
  </si>
  <si>
    <t>ACUMULADOR  G-34/78</t>
  </si>
  <si>
    <t>ACUMULADOR  G-31RP</t>
  </si>
  <si>
    <t>ACUMULADOR  G-31R</t>
  </si>
  <si>
    <t>ACUMULADOR  G-8DT</t>
  </si>
  <si>
    <t>ACUMULADOR  G-8V</t>
  </si>
  <si>
    <t>ACUMULADOR G-8D</t>
  </si>
  <si>
    <t>ACUMULADOR  G-8D  Pol Inv</t>
  </si>
  <si>
    <t>ACUMULADOR G-4DLT</t>
  </si>
  <si>
    <t>ACUMULADOR  G-99</t>
  </si>
  <si>
    <t>ACUMULADOR  G-91</t>
  </si>
  <si>
    <t>ACUMULADOR  G-78</t>
  </si>
  <si>
    <t>ACUMULADOR  G-75</t>
  </si>
  <si>
    <t>ACUMULADOR  G-65</t>
  </si>
  <si>
    <t>ACUMULADOR  G-58</t>
  </si>
  <si>
    <t>ACUMULADOR  G-51</t>
  </si>
  <si>
    <t>ACUMULADOR  G-49</t>
  </si>
  <si>
    <t>ACUMULADOR  G-48</t>
  </si>
  <si>
    <t>ACUMULADOR G-42 Reforzada</t>
  </si>
  <si>
    <t>ACUMULADOR  G-42R Pol Inv</t>
  </si>
  <si>
    <t>ACUMULADORES  G-41</t>
  </si>
  <si>
    <t>ACUMULADOR  G-40ENL Pol. Inv</t>
  </si>
  <si>
    <t>ACUMULADOR  G-35</t>
  </si>
  <si>
    <t>ACUMULADOR  G-34</t>
  </si>
  <si>
    <t>ACUMULADOR  G-31P</t>
  </si>
  <si>
    <t>ACUMULADOR G-31</t>
  </si>
  <si>
    <t>ACUMULADOR  G-30H</t>
  </si>
  <si>
    <t>ACUMULADOR  G-27F</t>
  </si>
  <si>
    <t>ACUMULADOR  G-27R</t>
  </si>
  <si>
    <t>ACUMULADOR G-26R</t>
  </si>
  <si>
    <t>ACUMULADOR G-24R</t>
  </si>
  <si>
    <t>ACUMULADOR G-24</t>
  </si>
  <si>
    <t>ACUMULADOR  G-4D</t>
  </si>
  <si>
    <t>ACUMULADOR G-4  6 Voltios</t>
  </si>
  <si>
    <t>ACUMULADOR G-75/86</t>
  </si>
  <si>
    <t>ACUMULADOR  G-58R</t>
  </si>
  <si>
    <t>ACUMULADOR  G-51R</t>
  </si>
  <si>
    <t>ACUMULADOR  G-47</t>
  </si>
  <si>
    <t>ACUMULADOR  G-42</t>
  </si>
  <si>
    <t>ACUMULADOR  G-40ENL</t>
  </si>
  <si>
    <t>ACUMULADOR G-27</t>
  </si>
  <si>
    <t>ACUMULADOR G-22F</t>
  </si>
  <si>
    <t>POSTERS CALENDARIO GOHER</t>
  </si>
  <si>
    <t>CALENDARIO ESCRITORIO</t>
  </si>
  <si>
    <t>TRANSMISION CAT-ALI SAE 50 19 LTS</t>
  </si>
  <si>
    <t>ADITIVO MC-2 950/24</t>
  </si>
  <si>
    <t>ADITIVO MC-2 440/24</t>
  </si>
  <si>
    <t>ROSHPACK MOTORMATIC 25W60</t>
  </si>
  <si>
    <t>TB1374X</t>
  </si>
  <si>
    <t>H929/3</t>
  </si>
  <si>
    <t>CF1600</t>
  </si>
  <si>
    <t>C30850/2</t>
  </si>
  <si>
    <t>CF1830</t>
  </si>
  <si>
    <t>C301530</t>
  </si>
  <si>
    <t>PU999/1X</t>
  </si>
  <si>
    <t>HU12110X</t>
  </si>
  <si>
    <t>WDK725</t>
  </si>
  <si>
    <t>HU1381X</t>
  </si>
  <si>
    <t>PFF831</t>
  </si>
  <si>
    <t>2020PM-OR</t>
  </si>
  <si>
    <t>2040PM-OR</t>
  </si>
  <si>
    <t>S3226T</t>
  </si>
  <si>
    <t>S3225T</t>
  </si>
  <si>
    <t>S3225P</t>
  </si>
  <si>
    <t>S3204P</t>
  </si>
  <si>
    <t>S3202</t>
  </si>
  <si>
    <t>S3226P</t>
  </si>
  <si>
    <t>S3213</t>
  </si>
  <si>
    <t>R90T</t>
  </si>
  <si>
    <t>R90P</t>
  </si>
  <si>
    <t>R60T</t>
  </si>
  <si>
    <t>R60P</t>
  </si>
  <si>
    <t>2010TM-OR</t>
  </si>
  <si>
    <t>2010PM-OR</t>
  </si>
  <si>
    <t>MOTORMATIC SAE 25W60 19 LTS</t>
  </si>
  <si>
    <t>MOTORMATIC SAE 15W40 19 LTS</t>
  </si>
  <si>
    <t>MOTORMATIC SAE 20W50 19 LTS</t>
  </si>
  <si>
    <t>MOTORMATIC SAE 25W60 200 LTS</t>
  </si>
  <si>
    <t>MOTORMATIC SAE 15W40 200 LTS</t>
  </si>
  <si>
    <t>MOTORMATIC SAE 20W50 200 LTS</t>
  </si>
  <si>
    <t>MOTONIC 4 TIEMPOS SAE 20W50 19</t>
  </si>
  <si>
    <t>ADITIVO HEAVY 443/24</t>
  </si>
  <si>
    <t>ADITIVO PREMIUM 443/24</t>
  </si>
  <si>
    <t>TI-22m AK SAE 25W50 950/15</t>
  </si>
  <si>
    <t>ACEITE USADO  200 LTS</t>
  </si>
  <si>
    <t>ROSHPACK LIMPIAPARABRISAS 950/4</t>
  </si>
  <si>
    <t>TRANSMISION GEAR PLUS CD-50 19</t>
  </si>
  <si>
    <t>GRANEL Ti-22 SINTETICO SN 10W30</t>
  </si>
  <si>
    <t>Ti-22 API SN ILSAC GF-5 10W30 200</t>
  </si>
  <si>
    <t>Ti-22 API SN ILSAC GF-5 SAE 10W30</t>
  </si>
  <si>
    <t>Ti-22m API SN SAE 20W50 200 LTS</t>
  </si>
  <si>
    <t>Ti-22m API SN SAE 20W50 19 LTS</t>
  </si>
  <si>
    <t>Ti-22m API SN SAE 20W50 4/5</t>
  </si>
  <si>
    <t>Ti-22m API SN SAE 20W50 950/15</t>
  </si>
  <si>
    <t>GRANEL Ti-22m API SN 20W50 1000</t>
  </si>
  <si>
    <t>Ti-22m API SN SAE 15W40 200 LTS</t>
  </si>
  <si>
    <t>Ti-22m API SN SAE 15W40 19 LTS</t>
  </si>
  <si>
    <t>Ti-22m API SN SAE 15W40 4/5</t>
  </si>
  <si>
    <t>Ti-22m API SN SAE 15W40 950/15</t>
  </si>
  <si>
    <t>GRANEL TI-22m API SN 15W40 1000</t>
  </si>
  <si>
    <t>MOTONIC 2 TIEMPOS API TC 950/16</t>
  </si>
  <si>
    <t>GRASA BALIT COMPLEX PLUS EP 2</t>
  </si>
  <si>
    <t>BALIT COMPLEX PPLUS EP 2 16 KG</t>
  </si>
  <si>
    <t>GRASA BALIT COMPLEX 2 170 KG</t>
  </si>
  <si>
    <t>GRASA BALIT COMPLEX 2 16 KG</t>
  </si>
  <si>
    <t>GRASA BALIT 2 170 KG</t>
  </si>
  <si>
    <t>GRASA BALIT 2 16 KG</t>
  </si>
  <si>
    <t>HD1003</t>
  </si>
  <si>
    <t>GRASA BALIT 2 7 KG</t>
  </si>
  <si>
    <t>GRASA BALIT PLUS EP 2 170 KG</t>
  </si>
  <si>
    <t>GRASA BALIT PLUS EP 2 16 KG</t>
  </si>
  <si>
    <t>GRASA B.A.T. 3 170 KG</t>
  </si>
  <si>
    <t>GRASA B.A.T. 3 16 KG</t>
  </si>
  <si>
    <t>GRASA B.A.T. 3 850/12</t>
  </si>
  <si>
    <t>GRASA B.A.T. 3 425/24</t>
  </si>
  <si>
    <t>GRASA B.A.T. 3 250/24</t>
  </si>
  <si>
    <t>GRASA CHASIS 3 170 KG</t>
  </si>
  <si>
    <t>GRASA CHASIS 2 170KG</t>
  </si>
  <si>
    <t>GRASA CHASIS 1 170 KG</t>
  </si>
  <si>
    <t>GRASA CHASIS 3 16 KG</t>
  </si>
  <si>
    <t>GRASA CHASIS 2 16 KG.</t>
  </si>
  <si>
    <t>GRASA CHASIS 1 16 KG</t>
  </si>
  <si>
    <t>GRASA GRAFITADA FIBROSA 170 KG</t>
  </si>
  <si>
    <t>GRASA GRAFITADA FIBROSA 16 KG</t>
  </si>
  <si>
    <t>GRASA GRAFITADA FIBROSA 850/12</t>
  </si>
  <si>
    <t>GRASA GRAFITADA FIBROSA 425/24</t>
  </si>
  <si>
    <t>GRASA GRAFITADA FIBROSA 250/24</t>
  </si>
  <si>
    <t>DIESEL RAS API CF, SAE 50 950/16</t>
  </si>
  <si>
    <t>DIESEL RAS API CF, SAE 40 950/16</t>
  </si>
  <si>
    <t>ROSHPACK SAE 40 SL 950/16</t>
  </si>
  <si>
    <t>FOUR PACK KIT COSMETICOS 600/4</t>
  </si>
  <si>
    <t>ROSHFRANS HI-ENERGY SAE 25W50</t>
  </si>
  <si>
    <t>ABRILLANTADOR ELITE CAR CARE 20</t>
  </si>
  <si>
    <t>LIQUIDO LIMPIA PARABRISAS 20 LTS</t>
  </si>
  <si>
    <t>DESENGRASANTE MULTIUSOS ELIT</t>
  </si>
  <si>
    <t>DESENGRASANTE MULTIUSO ELIT</t>
  </si>
  <si>
    <t>ABRILLANTADOR ELITE CAR CARE</t>
  </si>
  <si>
    <t>LIQUIDO LIMPIA PARABRISAS 600/6</t>
  </si>
  <si>
    <t>LIQUIDO DE FRENOS DOT-3 950/12</t>
  </si>
  <si>
    <t>LIQUIDO DE FRENOS DOT-3 350/24</t>
  </si>
  <si>
    <t>EMPLAYADO MOTONIC 2 TIEMPOS API</t>
  </si>
  <si>
    <t>EMPLAYADO GAS CLEAN 250/6</t>
  </si>
  <si>
    <t>EMPLAYADO (+) OCTAN 250/6</t>
  </si>
  <si>
    <t>EMPLAYADO CLEAN YECTOR 250/6</t>
  </si>
  <si>
    <t>ROSHPACK SAE 60 SL 950/16</t>
  </si>
  <si>
    <t>SUPER TRACTOR MULTIPROSITOS 200</t>
  </si>
  <si>
    <t>D VOLTRO PLUS API AJ-4 SM SAE</t>
  </si>
  <si>
    <t>SUPER TRACTOR MULTIPROPOSITOS</t>
  </si>
  <si>
    <t>ROSHPACK FLUIDO ESP. PARA</t>
  </si>
  <si>
    <t>RUN PWR DSL 1540 950/15</t>
  </si>
  <si>
    <t>MOTONIC 4T 10W30 MA2 950/15</t>
  </si>
  <si>
    <t>MOTONIC 4T 10W40 MA2 950/15</t>
  </si>
  <si>
    <t>MOTONIC 4T 20W50 JASO MA2 950/15</t>
  </si>
  <si>
    <t>MOTOCI 4T 10W50 MA2 950/15</t>
  </si>
  <si>
    <t>MOTONIC 2 TIEMPOS JASO FD 950/15</t>
  </si>
  <si>
    <t>ACEITE RUN-PWR API SP SAE 20W-50</t>
  </si>
  <si>
    <t>RUN-PWR API SP SAE 15W-40 950/15</t>
  </si>
  <si>
    <t>ACEITE RUN-PWR API SP SAE 10W40</t>
  </si>
  <si>
    <t>RUN-P API SP/ILSAC GF-6A SAE 5W30</t>
  </si>
  <si>
    <t>RUN-PWR SINT. API SP SAE 5W-50</t>
  </si>
  <si>
    <t>R-P SINT.API SP/ILSAC GF6A S 5W30</t>
  </si>
  <si>
    <t>RP SINT.API SP/ILSAC GF6A S 10W30</t>
  </si>
  <si>
    <t>RUN-PWR TRI-SINT API SP SAE 5W-50</t>
  </si>
  <si>
    <t>R-P T-SINT.API SP/ILSAC GF6A 5W30</t>
  </si>
  <si>
    <t>R-P T-S API SP/ILSAC GF6A S 0W20</t>
  </si>
  <si>
    <t>SUPER HD SAE 50 950/15</t>
  </si>
  <si>
    <t>HI ENERGY 25W60  950/15</t>
  </si>
  <si>
    <t>ACETE RUN-PWR SN 15W40 950/15</t>
  </si>
  <si>
    <t>TRANSM. CONTINUAMENTE VARIABLE</t>
  </si>
  <si>
    <t>ACEITE RUN-PWRSINTETICO 5W50</t>
  </si>
  <si>
    <t>HI-ENERGY SL 20W50 950/15</t>
  </si>
  <si>
    <t>ACEITE RUN-PWR 20W50 950/15</t>
  </si>
  <si>
    <t>ACEITE RUN-PWR 10W40 950/15</t>
  </si>
  <si>
    <t>AC. RUN-PWR SINTETICO 5W30 950/15</t>
  </si>
  <si>
    <t>GRA VOLTRO RAS S 3 DF SAE 50</t>
  </si>
  <si>
    <t>G VOLTRO RAS S 3 DF/DF SAE 40</t>
  </si>
  <si>
    <t>VOLTRO RAS S 3 DF/DF-2 SAE 40 200</t>
  </si>
  <si>
    <t>VOLTRO RAS S 3 DF/DF-2 SAE 50 200</t>
  </si>
  <si>
    <t>RUN PWR TRI SINT API SN SAE 0W-20</t>
  </si>
  <si>
    <t>RUN PWR API SP SAE 20W50 200 LTS</t>
  </si>
  <si>
    <t>RUN-PWR API SP SAE 15W40 200 LTS</t>
  </si>
  <si>
    <t>ACEITE RUN-PWR SN 15W40 200 LT.</t>
  </si>
  <si>
    <t>ACEITE RUN-PWR SN 20W50 200 LTS.</t>
  </si>
  <si>
    <t>ACEIRE RUN-PWR SINTETICO 5W30</t>
  </si>
  <si>
    <t>VOLTRO MAX POWER 25W50 TMB.</t>
  </si>
  <si>
    <t>VOLTRO PRO 15W40 TMB. 200 LTS.</t>
  </si>
  <si>
    <t>VOLTRO MAX POWER 15W40</t>
  </si>
  <si>
    <t>VOLTRO RAS S3 DF SAE 50 19 LTS</t>
  </si>
  <si>
    <t>VOLTRO RAS SERIE 3 DF SAE 40 19</t>
  </si>
  <si>
    <t>ACEITE RUN-PWR 20W50 19 LTS.</t>
  </si>
  <si>
    <t>ACEITE RUN-PWR 10W40 19 LTS.</t>
  </si>
  <si>
    <t>16602/1</t>
  </si>
  <si>
    <t>VOLTRO MAX POWER 25W50 19 LTS.</t>
  </si>
  <si>
    <t>VOLTRO MAX POWER 15W40 19 LTS</t>
  </si>
  <si>
    <t>16601/1</t>
  </si>
  <si>
    <t>VOLTRO MAX POWER 15W40 19 LTS.</t>
  </si>
  <si>
    <t>VOLTRO AMERICANFLEET5W40 19 LT.</t>
  </si>
  <si>
    <t>DOYPACK MOTOR MATIC 25W60</t>
  </si>
  <si>
    <t>DOYPACK MOTOR MATIC</t>
  </si>
  <si>
    <t>DOYPACK MOTOR MATIC 15W40</t>
  </si>
  <si>
    <t>DOYPACK MOTOR MATIC SAE 60</t>
  </si>
  <si>
    <t>DOYPACK MOTOR MATIC SAE 50</t>
  </si>
  <si>
    <t>DOYPACK MOTOR MATIC SAE 40</t>
  </si>
  <si>
    <t>RUN-PWR API SP SAE 20W50 4 LTS</t>
  </si>
  <si>
    <t>RUN PWR API SE SAE 15W40 4 LTS</t>
  </si>
  <si>
    <t>MOTONIC 2 TIEMPOS JASO FD 250/6</t>
  </si>
  <si>
    <t>ABRILLANTADOR PARA VINIL BIDON</t>
  </si>
  <si>
    <t>SHAMPOO PARA AUTOS ELIT BIDON</t>
  </si>
  <si>
    <t>ATOM. ABRILLANTADOR VINIL, HULE</t>
  </si>
  <si>
    <t>VOLTRO RAS S 3 DF/DF-2 SAE 50 4/5</t>
  </si>
  <si>
    <t>VOLTRO RAS S 3 DF/DF-2 SAE 40 4/5</t>
  </si>
  <si>
    <t>ACEITE RUN-PWR AOI SP SAE 10W40</t>
  </si>
  <si>
    <t>RUN-PWR API SP/ILSAC GF6A SAE</t>
  </si>
  <si>
    <t>HI ENERGY API SL SAE 25W60 4/5</t>
  </si>
  <si>
    <t>ACEITE RUN-PWR SN SAE 15W40 4/5</t>
  </si>
  <si>
    <t>VOLTRO MAX POWER 25W50  4/5</t>
  </si>
  <si>
    <t>VOLTRO MAX POWER 15W40 4/5</t>
  </si>
  <si>
    <t>RUN-PWR API SAE 5W30 4/5</t>
  </si>
  <si>
    <t>ACEITE RUN-PWR API SN 10W40 4/5</t>
  </si>
  <si>
    <t>ACEITE RUN-PWR SAE 20W50 4/5</t>
  </si>
  <si>
    <t>GARRAFA VOLTRO+PLUS 15W40 4/5</t>
  </si>
  <si>
    <t>VOLTRO FORCE 20W50 4/5</t>
  </si>
  <si>
    <t>ROSH VOLTRO RAS S 3 DF SAE 50 4/4</t>
  </si>
  <si>
    <t>ROSH. VOLTRO RAS S 3 DF SAE 40</t>
  </si>
  <si>
    <t>DOYPACK MOTOR MATIC SAE 25W60</t>
  </si>
  <si>
    <t>DOYPACK MOTOR MATIC  25W50 4.0</t>
  </si>
  <si>
    <t>DOYPACK MOTOR MATIC 15W40 4.00</t>
  </si>
  <si>
    <t>DOYPACK MOTOR MATIC SAE 60 4.0</t>
  </si>
  <si>
    <t>DOYPACK MOTOR MATIC SAE 50 4.0</t>
  </si>
  <si>
    <t>DOYPACK MOTOR MATIC SAE 40 4.00</t>
  </si>
  <si>
    <t>ROSHPACK VOLTRO S-3 SAE 50 4/4</t>
  </si>
  <si>
    <t>ROSHPACK VOLTRO MAX POWER</t>
  </si>
  <si>
    <t>ROSHFRANS PURE SKY TMB 200 LTS.</t>
  </si>
  <si>
    <t>BOT SPEED RACING API SN SAE 5W50</t>
  </si>
  <si>
    <t>ACEITE SPEED RACING API SN 5W-40</t>
  </si>
  <si>
    <t>ROSHPACK VOLTRO FULL SYNTHETIC</t>
  </si>
  <si>
    <t>ROSHPACK VOLTRO FULL SYNTHE</t>
  </si>
  <si>
    <t>ROSHPACK VOLTRO RACING SEMI</t>
  </si>
  <si>
    <t>VOLTRO RACING SEMI 15W40 950/16</t>
  </si>
  <si>
    <t>ROSHPACK DSL VOLTRO SAE 15W40</t>
  </si>
  <si>
    <t>ROSHPACK VOLTRO SAE 15W40</t>
  </si>
  <si>
    <t>V. MAGNUM API CK4 SN 15W40 200</t>
  </si>
  <si>
    <t>V. MAGNUM API CK4/SN 15W40 19 LTS</t>
  </si>
  <si>
    <t>MOTONIC 4 TIEMPOS SAE 20W50</t>
  </si>
  <si>
    <t>MOTONIC 4 TIEMPOS SAE 10W50</t>
  </si>
  <si>
    <t>MOTONIC 4 TIEMPOS SAE 10W40</t>
  </si>
  <si>
    <t>ROSHPACK DIESEL RAS SAE 50 4/4</t>
  </si>
  <si>
    <t>ROSHPACK DSL RAS SERIE 3 SAE 40</t>
  </si>
  <si>
    <t>ROSHPACK VOLTRO SAE 15W40 4/5</t>
  </si>
  <si>
    <t>ROSHPACK DIESEL HI-ENERGY 25W50</t>
  </si>
  <si>
    <t>ROSHPACK TI-22  DSL SAE 20W50 4/4</t>
  </si>
  <si>
    <t>ROSHPACK REFRIG. CLIMATIZADO</t>
  </si>
  <si>
    <t>ROSHPACK REFRIGERANTE CONCENT</t>
  </si>
  <si>
    <t>ROSHPACK DIESEL SAE 25W50 950/16</t>
  </si>
  <si>
    <t>ACEITE ZN-30 API SN SAE 25W50 200</t>
  </si>
  <si>
    <t>ZN-30 25W-50 CUBETA 19 LT.</t>
  </si>
  <si>
    <t>ZN-30 API SAE 25W50 4/5</t>
  </si>
  <si>
    <t>ZN-30 API SN SAE 25W50 950/15</t>
  </si>
  <si>
    <t>16068/3</t>
  </si>
  <si>
    <t>16068/2</t>
  </si>
  <si>
    <t>16068/1</t>
  </si>
  <si>
    <t>ZN-30 API SN SAE 25W50  950/15</t>
  </si>
  <si>
    <t>ACEITE TI-22 5W30 TB. 200 LT.</t>
  </si>
  <si>
    <t>TI-22 API SN SAE 5W-30 4/5</t>
  </si>
  <si>
    <t>TI-22 API SN/ILSAC GF-5 SAE 5W30</t>
  </si>
  <si>
    <t>16063/3</t>
  </si>
  <si>
    <t>16063/2</t>
  </si>
  <si>
    <t>16063/1</t>
  </si>
  <si>
    <t>TI-22 API SAE 10W30 19 LTS</t>
  </si>
  <si>
    <t>TI-22 API SN SAE 10W-30 4/5</t>
  </si>
  <si>
    <t>16058/3</t>
  </si>
  <si>
    <t>TI-SS API SN/ILSAC GF-5 SAE 10W30</t>
  </si>
  <si>
    <t>16058/2</t>
  </si>
  <si>
    <t>16058/1</t>
  </si>
  <si>
    <t>ACEITE TI-22 API SN SAE 15W-40  200</t>
  </si>
  <si>
    <t>Ti-22m  API SN SAE 15W40 19 LTS</t>
  </si>
  <si>
    <t>Ti-22 API SN SAE 15W40 4/5</t>
  </si>
  <si>
    <t>16053/3</t>
  </si>
  <si>
    <t>16053/2</t>
  </si>
  <si>
    <t>16053/1</t>
  </si>
  <si>
    <t>Ti-22 API SN SAE 15W40  950/15</t>
  </si>
  <si>
    <t>Ti-22 API SN SAE 20W50 200 LTS</t>
  </si>
  <si>
    <t>ACEITE TI-22 20W-50 4/5</t>
  </si>
  <si>
    <t>TI-22 API SN SAE 20W50 950/16</t>
  </si>
  <si>
    <t>16048/3</t>
  </si>
  <si>
    <t>TI-22 API SN SAE 20W50 950/15</t>
  </si>
  <si>
    <t>16048/2</t>
  </si>
  <si>
    <t>16048/1</t>
  </si>
  <si>
    <t>Ti-22  API SN SAE 20W50 950/15</t>
  </si>
  <si>
    <t>SPEED RACING API SAE 5W50 950/15</t>
  </si>
  <si>
    <t>SPEED RACING API SN SAE 5W-40</t>
  </si>
  <si>
    <t>RUN POWER API SN SAE 5W40  950/15</t>
  </si>
  <si>
    <t>ROSHPACK ANTICONGELANTE</t>
  </si>
  <si>
    <t>ANTICONGELANTE SUPER</t>
  </si>
  <si>
    <t>16022/3</t>
  </si>
  <si>
    <t>16022/2</t>
  </si>
  <si>
    <t>16022/1</t>
  </si>
  <si>
    <t>HD HEAVY DUTY API SL SAE 50 200</t>
  </si>
  <si>
    <t>ROSHFRANS  SAE 50 SL 4/5</t>
  </si>
  <si>
    <t>ROSHPACK SAE 50 950/16</t>
  </si>
  <si>
    <t>16017/3</t>
  </si>
  <si>
    <t>16017/2</t>
  </si>
  <si>
    <t>16017/1</t>
  </si>
  <si>
    <t>ROSHFRANS SAE 40 HEAVY DUTY</t>
  </si>
  <si>
    <t>16012/3</t>
  </si>
  <si>
    <t>16012/2</t>
  </si>
  <si>
    <t>16012/1</t>
  </si>
  <si>
    <t>ROSHPACK SAE 40  950/16</t>
  </si>
  <si>
    <t>SUPER HD SAE 40 950/15</t>
  </si>
  <si>
    <t>ROSHFRANS HEAVY DUTY SAE</t>
  </si>
  <si>
    <t>16007/3</t>
  </si>
  <si>
    <t>16007/2</t>
  </si>
  <si>
    <t>16007/1</t>
  </si>
  <si>
    <t>ROSHPACK  SAE 20W-50  950/16</t>
  </si>
  <si>
    <t>ROSHFRANS SAE 25W50 HI-ENERGY</t>
  </si>
  <si>
    <t>ROSHFRANS 25W50 HI-ENERGY 19</t>
  </si>
  <si>
    <t>ROSHPACK SAE 25W50 950/16</t>
  </si>
  <si>
    <t>PF7748</t>
  </si>
  <si>
    <t>TRANSMISION GEAR OIL GL-1 SAE 90</t>
  </si>
  <si>
    <t>DIESEL MAX POWER CF SAE 20W50</t>
  </si>
  <si>
    <t>DIESEL  MAX POWER CF SAE 20W50</t>
  </si>
  <si>
    <t>1298/1</t>
  </si>
  <si>
    <t>DIESEL MAX POWER CF SAE 15W40</t>
  </si>
  <si>
    <t>GRASA CHASIS ELIT 250/24</t>
  </si>
  <si>
    <t>GRASA CHASIS ELIT 425/24</t>
  </si>
  <si>
    <t>GRASA CHASIS ELIT 7 KG</t>
  </si>
  <si>
    <t>GASA CHASIS ELIT 850/12</t>
  </si>
  <si>
    <t>GRASA CHASIS ELIT 170 KG</t>
  </si>
  <si>
    <t>GRASA CHASIS ELIT 16 KG</t>
  </si>
  <si>
    <t>GRASA CHASIS ELIT 3.5 KG</t>
  </si>
  <si>
    <t>GRANEL ANTICONGELANTE</t>
  </si>
  <si>
    <t>LIQUIDO DE FRENOS DOT-4 950/12</t>
  </si>
  <si>
    <t>LIQUIDO DE FRENOS DOT-4 350/24</t>
  </si>
  <si>
    <t>MOTONIC 2 TIEMPOS API TC 200 LTS</t>
  </si>
  <si>
    <t>MOTONIC 2 TIEMPOS API TC 19 LTS</t>
  </si>
  <si>
    <t>G SUPER GEAR OIL API GL-5 85W140</t>
  </si>
  <si>
    <t>TRANSMISION CAT-ALI SAE 30 19 LTS</t>
  </si>
  <si>
    <t>TRANSMISION CAT-ALI SAE 50 200</t>
  </si>
  <si>
    <t>TRANSMISION CAT-ALI SAE 10W 200</t>
  </si>
  <si>
    <t>REFRIGERANTE CLIMATIZADO 3.785/4</t>
  </si>
  <si>
    <t>GRANEL SUPER ATF DEX-III MERCON</t>
  </si>
  <si>
    <t>GRANEL HCO ANTIDES AW ISO VG 68</t>
  </si>
  <si>
    <t>VOLTRO DIESEL + SL SAE 15W40 200</t>
  </si>
  <si>
    <t>MOTONIC 4 TIEMPOS SAE 20W50 200</t>
  </si>
  <si>
    <t>GRANEL TRANSMISION ATF DEX-II</t>
  </si>
  <si>
    <t>G VOLTRO PLUS API CJ4/SM SAE</t>
  </si>
  <si>
    <t>GRANEL TRANSMISION CAT ALI SAE</t>
  </si>
  <si>
    <t>G DIESEL HI-ENERGY CF-4 SAE 25W50</t>
  </si>
  <si>
    <t>HEAVY DUTY SAE 20W-50 GRANEL</t>
  </si>
  <si>
    <t>GRANEL DIESEL RAS S3 API CF SAE</t>
  </si>
  <si>
    <t>G VOLTRO DIESEL S3 CI-4 SAE 20W50</t>
  </si>
  <si>
    <t>G VOLTRO DIESEL S3 CI-4 SAE 15W40</t>
  </si>
  <si>
    <t>G SINT V EUROFLEET CJ4/SM SAE</t>
  </si>
  <si>
    <t>GRANEL HI-ENERGY SAE 25W50 1000</t>
  </si>
  <si>
    <t>CH ANTICONGELANTE DIRECTO 11%</t>
  </si>
  <si>
    <t>BÂTRAK LUBNY 170 KG</t>
  </si>
  <si>
    <t>BÂTRAK OLYKA EP NLGI 2 170 KG</t>
  </si>
  <si>
    <t>BÀTRAK BALTA EP NLGI 2 170 KG</t>
  </si>
  <si>
    <t>GRASA BATRAK BAT EP 3 170 KGS</t>
  </si>
  <si>
    <t>GRANEL REFRIGERANTE</t>
  </si>
  <si>
    <t>BÂTRAK LUBNY 16 KG</t>
  </si>
  <si>
    <t>GRASA BATRAK KRYVA FDA 2</t>
  </si>
  <si>
    <t>BÂTRAK ROHAN SYNTHEX NLGI 4 16</t>
  </si>
  <si>
    <t>BATRAK OLYKA MOLY EP G 2 16KG</t>
  </si>
  <si>
    <t>BÂTRAK OLYKA MOLY EP NLGI 2 16</t>
  </si>
  <si>
    <t>BÂTRAK OLYKA EP NLGI 2 16 KG</t>
  </si>
  <si>
    <t>BÂTRAK OLYKA NLGI 2 16 KG</t>
  </si>
  <si>
    <t>BÂTRAK BALTA MOLY EP NLGI 2 16</t>
  </si>
  <si>
    <t>BÀTRAK BALTA EP NLGI 3 16 KG</t>
  </si>
  <si>
    <t>BÂTRAK BALTA EP NLGI 2 16 KG</t>
  </si>
  <si>
    <t>GRASA BATRAK BALTA EP 0  16 KG</t>
  </si>
  <si>
    <t>GRASA CHASIS 3 7 KG</t>
  </si>
  <si>
    <t>GRASA CHASIS 1 7 KG.</t>
  </si>
  <si>
    <t>TRANSMISION HIPOIDAL GL-5 SAE 140</t>
  </si>
  <si>
    <t>BÀTRAK DONSKE 200 LTS</t>
  </si>
  <si>
    <t>ACEITE BATRAK DONSKE 200 LTS</t>
  </si>
  <si>
    <t>BÀTRAK SOLCOV ISO VG 32 200 LTS</t>
  </si>
  <si>
    <t>BÂTRAK DOLYN ISO VG 32 200 LTS</t>
  </si>
  <si>
    <t>BÂTRAK HORLIKA 200 LTS</t>
  </si>
  <si>
    <t>BÀTRAK HOLESKO ISO VG 150 200</t>
  </si>
  <si>
    <t>BÂTRAK NOVE ISO VG 32</t>
  </si>
  <si>
    <t>ACEITE HOROB ISO VG 150 200 LTS</t>
  </si>
  <si>
    <t>ACEITE BATRAK KOROB ISO VG 46</t>
  </si>
  <si>
    <t>ACEITE BATRAK NHOPOL ISO VG</t>
  </si>
  <si>
    <t>ACEITE BATRAK NHOPOL ISO VG 460</t>
  </si>
  <si>
    <t>BÂTRAK NHOPOL ISO VG 320 200 LTS</t>
  </si>
  <si>
    <t>BÂTRAK NHOPOL ISO VG 220 200 LTS</t>
  </si>
  <si>
    <t>BÂTRAK NHOPOL ISO VG 150 200 LTS</t>
  </si>
  <si>
    <t>BATRAK ZOLOVE ISO VG 220 200</t>
  </si>
  <si>
    <t>BÂTRAK ZOLOVE ISO VG 150 200 LTS</t>
  </si>
  <si>
    <t>BÂTRAK KHOROL ISO VG 220 200 LTS</t>
  </si>
  <si>
    <t>BÀTRAK KHOROL ISO VG 150 200 LTS</t>
  </si>
  <si>
    <t>BÂTRAK KHOROL ISO VG 68 200 LTS</t>
  </si>
  <si>
    <t>BÂTRAK KHOROL ISO VG 46 200 LTS</t>
  </si>
  <si>
    <t>ACEITE BATRAK ZOLOVIC ISO VG</t>
  </si>
  <si>
    <t>BÂTRAK ZOLOVIC ISO VG 220 200</t>
  </si>
  <si>
    <t>ACEITE BATRAK DESNA ISO VG  220</t>
  </si>
  <si>
    <t>ACEITE BATRAK DESNA ISO VG 68</t>
  </si>
  <si>
    <t>ACEITE BATRAK DESNA ISO VG  22</t>
  </si>
  <si>
    <t>BÂTRAK DONSKE 19 LTS</t>
  </si>
  <si>
    <t>ACEITE BATRAK DONSKE 19 LTS</t>
  </si>
  <si>
    <t>BÂTRAK COPLAN ISO VG 22 19 LTS</t>
  </si>
  <si>
    <t>BÂTRAK LESK ISO VG 32 19 LTS</t>
  </si>
  <si>
    <t>BÂTRAK LESK ISO VG 22 19 LTS</t>
  </si>
  <si>
    <t>BÂTRAK SOLCOV PREMIUM ISO VG</t>
  </si>
  <si>
    <t>BÂTRAK SOLCOV ISO VG 32 19 LTS</t>
  </si>
  <si>
    <t>ACEITE BATRAK RODKY 19L</t>
  </si>
  <si>
    <t>BÂTRAK POLTAVE ISO VG 68 19 LTS</t>
  </si>
  <si>
    <t>BÂTRAK HORLIKA 19 LTS</t>
  </si>
  <si>
    <t>ACEITE BATRAK KHOSTU ISO VG 15</t>
  </si>
  <si>
    <t>BÂTRAK HOLESKO ISO VG 100 19 LTS</t>
  </si>
  <si>
    <t>BÂTRAK HOLESKO ISO VG 68 19 LTS</t>
  </si>
  <si>
    <t>BÂTRAK HOLESKO ISO VG 46 19 LTS</t>
  </si>
  <si>
    <t>BÂTRAK KUTY ISO VG 32 PESADO 19</t>
  </si>
  <si>
    <t>BÂTRAK KUTY ISO VG 32 MEDIANO</t>
  </si>
  <si>
    <t>BÂTRAK KUTY ISO VG 32 LIGERO 19</t>
  </si>
  <si>
    <t>BÀTRAK NOVE ISO VG 32</t>
  </si>
  <si>
    <t>BÂTRAK NOVE ISO VG 32 PESADO 19</t>
  </si>
  <si>
    <t>BÂTRAK NOVE ISO VG 32 MEDIANO</t>
  </si>
  <si>
    <t>BÀTRAK NOVE ISO VG 32 LIGERO 19</t>
  </si>
  <si>
    <t>BÂTRAK KOROB ISO VG 150 19 LTS</t>
  </si>
  <si>
    <t>BÂTRAK KOROB ISO VG 100 19 LTS</t>
  </si>
  <si>
    <t>BATRAK KOROB ISO 68  19 LTS</t>
  </si>
  <si>
    <t>BATRAK KOROB ISO VG 46 19 LTS.</t>
  </si>
  <si>
    <t>BÂTRAK RHODAR SYNTHEX ISO VG</t>
  </si>
  <si>
    <t>ACEITE BATRAK NHOPOL ISO VG 680</t>
  </si>
  <si>
    <t>BÂTRAK NHOPOL ISO VG 320 19 LTS</t>
  </si>
  <si>
    <t>BÂTRAK NHOPOL ISO VG 220 19 LTS</t>
  </si>
  <si>
    <t>BÂTRAK NHOPOL ISO VG 150 19 LTS</t>
  </si>
  <si>
    <t>BÂTRAK NHOPOL ISO VG 100 19 LTS</t>
  </si>
  <si>
    <t>BÂTRAK NHOPOL ISO VG 68 19 LTS</t>
  </si>
  <si>
    <t>BÀTRAK KRASNE ISO VG 320 19 LTS</t>
  </si>
  <si>
    <t>BÂTRAK KRASNE ISO VG 150 19 LTS</t>
  </si>
  <si>
    <t>BÂTRAK KRASNE ISO VG 100 19 LTS</t>
  </si>
  <si>
    <t>BÀTRAK KRASNE ISO VG 68 19 LTS</t>
  </si>
  <si>
    <t>BATRAK KRASNE ISO VG 46 19 LTS</t>
  </si>
  <si>
    <t>BATRAK KRASNE ISO VG 32 19 LTS</t>
  </si>
  <si>
    <t>ACEITE BATRAK ODESSA ISO VG 680</t>
  </si>
  <si>
    <t>BÂTRAK ODESSA ISO VG 460 19 LTS</t>
  </si>
  <si>
    <t>BÂTRAK KHOROL ISO VG 460 19 LTS</t>
  </si>
  <si>
    <t>BÂTRAK KHOROL ISO VG 320 19 LTS</t>
  </si>
  <si>
    <t>BÂTRAK KHOROL ISO VG 220 19 LTS</t>
  </si>
  <si>
    <t>BÂTRAK KHOROL ISO VG 150 19 LTS</t>
  </si>
  <si>
    <t>BÂTRAK KHOROL ISO VG 100 19 LTS</t>
  </si>
  <si>
    <t>BÂTRAK KHOROL ISO VG 68 19 LTS</t>
  </si>
  <si>
    <t>BÀTRAK ZOLOVIC ISO VG 68 19 LTS</t>
  </si>
  <si>
    <t>BÂTRAK DESNA ISO VG 220 19 LTS</t>
  </si>
  <si>
    <t>BÂTRAK DESNA ISO VG 150 19 LTS</t>
  </si>
  <si>
    <t>ACEITE BATRAK DESNA ISO VG 100</t>
  </si>
  <si>
    <t>ACEITE BATRAK DESNA ISO VG 68 19</t>
  </si>
  <si>
    <t>ACEITE BATRAK DESNA ISO VG 22 19</t>
  </si>
  <si>
    <t>ACEITE BATRAK DESNA ISO VG 15 19</t>
  </si>
  <si>
    <t>ACEITE BATRAK DESNA ISO VG 10 19</t>
  </si>
  <si>
    <t>GRANEL BÂTRAK SUPER NOVE 1000</t>
  </si>
  <si>
    <t>G BÂTRAK NOVE EXTRAPESADO</t>
  </si>
  <si>
    <t>GRANEL BÂTRAK ZOLOVE ISO VG</t>
  </si>
  <si>
    <t>GRANEL BÂTRAK DESNA ISO VG 32</t>
  </si>
  <si>
    <t>Existencia</t>
  </si>
  <si>
    <t>Producto</t>
  </si>
  <si>
    <t>no</t>
  </si>
  <si>
    <t>INVENT</t>
  </si>
  <si>
    <t xml:space="preserve">PRECIO LA
LLOSA AGO 2024 </t>
  </si>
  <si>
    <t>BIDON SHAMPOO PARA AUTOS ELIT CAR CARE</t>
  </si>
  <si>
    <t>6/600 ML</t>
  </si>
  <si>
    <t>ATOMIZADOR DESENGRASANTE MULTIUSOS</t>
  </si>
  <si>
    <t>TAMBOR LIQUIDO LIMPIA PARABRISAS USO DIRECTO</t>
  </si>
  <si>
    <t>BALIT 2</t>
  </si>
  <si>
    <t>7 K</t>
  </si>
  <si>
    <t>RSHPCK HI-ENEGY API SL SAE 25W60</t>
  </si>
  <si>
    <t>*AGOSTO 2024</t>
  </si>
  <si>
    <t>ACTIVO / OBSOLETO</t>
  </si>
  <si>
    <t>LÍNEA BATRAK</t>
  </si>
  <si>
    <t>LISTA VIGENTE A PARTIR DE JUNIO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</si>
</sst>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_-[$$-80A]* #,##0.00_-;\-[$$-80A]* #,##0.00_-;_-[$$-80A]* &quot;-&quot;??_-;_-@_-"/>
    <numFmt numFmtId="166" formatCode="0.00%;[Red]\-0.00%"/>
  </numFmts>
  <fonts count="34" x14ac:knownFonts="1">
    <font>
      <sz val="11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8"/>
      <color indexed="9"/>
      <name val="Calibri Light"/>
      <family val="2"/>
      <scheme val="major"/>
    </font>
    <font>
      <sz val="8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8"/>
      <color indexed="55"/>
      <name val="Calibri Light"/>
      <family val="2"/>
      <scheme val="major"/>
    </font>
    <font>
      <b/>
      <sz val="8"/>
      <color indexed="10"/>
      <name val="Calibri Light"/>
      <family val="2"/>
      <scheme val="major"/>
    </font>
    <font>
      <b/>
      <sz val="8"/>
      <color indexed="58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6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4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9"/>
      <name val="Calibri Light"/>
      <family val="2"/>
      <scheme val="major"/>
    </font>
    <font>
      <sz val="9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4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color theme="0"/>
      <name val="Calibri Light"/>
      <family val="2"/>
      <scheme val="major"/>
    </font>
    <font>
      <sz val="14"/>
      <color theme="0"/>
      <name val="Calibri Light"/>
      <family val="2"/>
      <scheme val="major"/>
    </font>
    <font>
      <sz val="8"/>
      <color theme="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b/>
      <sz val="10.5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/>
      <diagonal/>
    </border>
    <border>
      <left style="thin">
        <color indexed="23"/>
      </left>
      <right style="medium">
        <color indexed="64"/>
      </right>
      <top style="medium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1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1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auto="1"/>
      </left>
      <right style="thin">
        <color theme="1" tint="0.34998626667073579"/>
      </right>
      <top style="thin">
        <color theme="1" tint="0.34998626667073579"/>
      </top>
      <bottom style="medium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auto="1"/>
      </bottom>
      <diagonal/>
    </border>
    <border>
      <left style="thin">
        <color theme="1" tint="0.34998626667073579"/>
      </left>
      <right style="medium">
        <color theme="1"/>
      </right>
      <top style="thin">
        <color theme="1" tint="0.34998626667073579"/>
      </top>
      <bottom style="medium">
        <color auto="1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theme="2" tint="-0.499984740745262"/>
      </bottom>
      <diagonal/>
    </border>
    <border>
      <left/>
      <right style="thin">
        <color indexed="23"/>
      </right>
      <top style="thin">
        <color indexed="23"/>
      </top>
      <bottom style="medium">
        <color theme="2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theme="2" tint="-0.499984740745262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theme="2" tint="-0.499984740745262"/>
      </bottom>
      <diagonal/>
    </border>
    <border>
      <left style="medium">
        <color auto="1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/>
      </right>
      <top/>
      <bottom style="thin">
        <color theme="1" tint="0.34998626667073579"/>
      </bottom>
      <diagonal/>
    </border>
    <border>
      <left style="medium">
        <color indexed="64"/>
      </left>
      <right style="thin">
        <color indexed="23"/>
      </right>
      <top/>
      <bottom style="medium">
        <color indexed="23"/>
      </bottom>
      <diagonal/>
    </border>
    <border>
      <left/>
      <right style="thin">
        <color indexed="23"/>
      </right>
      <top/>
      <bottom style="medium">
        <color indexed="23"/>
      </bottom>
      <diagonal/>
    </border>
    <border>
      <left style="thin">
        <color indexed="23"/>
      </left>
      <right style="thin">
        <color indexed="23"/>
      </right>
      <top/>
      <bottom style="medium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theme="1" tint="0.499984740745262"/>
      </bottom>
      <diagonal/>
    </border>
    <border>
      <left/>
      <right style="thin">
        <color indexed="23"/>
      </right>
      <top style="thin">
        <color indexed="23"/>
      </top>
      <bottom style="medium">
        <color theme="1" tint="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theme="1" tint="0.499984740745262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theme="2" tint="-9.9948118533890809E-2"/>
      </bottom>
      <diagonal/>
    </border>
    <border>
      <left/>
      <right style="thin">
        <color indexed="23"/>
      </right>
      <top style="thin">
        <color indexed="23"/>
      </top>
      <bottom style="medium">
        <color theme="2" tint="-9.9948118533890809E-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theme="2" tint="-9.9948118533890809E-2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theme="2" tint="-9.9948118533890809E-2"/>
      </bottom>
      <diagonal/>
    </border>
    <border>
      <left style="medium">
        <color indexed="64"/>
      </left>
      <right style="thin">
        <color indexed="23"/>
      </right>
      <top style="thin">
        <color theme="2" tint="-0.24994659260841701"/>
      </top>
      <bottom style="medium">
        <color theme="1"/>
      </bottom>
      <diagonal/>
    </border>
    <border>
      <left/>
      <right style="thin">
        <color indexed="23"/>
      </right>
      <top style="thin">
        <color theme="2" tint="-0.24994659260841701"/>
      </top>
      <bottom style="medium">
        <color theme="1"/>
      </bottom>
      <diagonal/>
    </border>
    <border>
      <left style="thin">
        <color indexed="23"/>
      </left>
      <right style="thin">
        <color indexed="23"/>
      </right>
      <top style="thin">
        <color theme="2" tint="-0.24994659260841701"/>
      </top>
      <bottom style="medium">
        <color theme="1"/>
      </bottom>
      <diagonal/>
    </border>
    <border>
      <left style="thin">
        <color indexed="23"/>
      </left>
      <right style="medium">
        <color indexed="64"/>
      </right>
      <top style="thin">
        <color theme="2" tint="-0.24994659260841701"/>
      </top>
      <bottom style="medium">
        <color theme="1"/>
      </bottom>
      <diagonal/>
    </border>
    <border>
      <left style="medium">
        <color indexed="64"/>
      </left>
      <right/>
      <top style="thin">
        <color indexed="23"/>
      </top>
      <bottom style="thin">
        <color theme="2" tint="-0.24994659260841701"/>
      </bottom>
      <diagonal/>
    </border>
    <border>
      <left/>
      <right/>
      <top style="thin">
        <color indexed="23"/>
      </top>
      <bottom style="thin">
        <color theme="2" tint="-0.2499465926084170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theme="2" tint="-0.24994659260841701"/>
      </bottom>
      <diagonal/>
    </border>
    <border>
      <left/>
      <right style="medium">
        <color indexed="64"/>
      </right>
      <top style="thin">
        <color indexed="23"/>
      </top>
      <bottom style="thin">
        <color theme="2" tint="-0.24994659260841701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theme="1" tint="0.499984740745262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indexed="23"/>
      </bottom>
      <diagonal/>
    </border>
    <border>
      <left/>
      <right/>
      <top style="thin">
        <color theme="2" tint="-0.24994659260841701"/>
      </top>
      <bottom style="thin">
        <color indexed="23"/>
      </bottom>
      <diagonal/>
    </border>
    <border>
      <left/>
      <right style="medium">
        <color indexed="64"/>
      </right>
      <top style="thin">
        <color theme="2" tint="-0.24994659260841701"/>
      </top>
      <bottom style="thin">
        <color indexed="23"/>
      </bottom>
      <diagonal/>
    </border>
    <border>
      <left style="medium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23"/>
      </left>
      <right style="thin">
        <color indexed="23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indexed="23"/>
      </top>
      <bottom style="thin">
        <color theme="1" tint="0.499984740745262"/>
      </bottom>
      <diagonal/>
    </border>
    <border>
      <left/>
      <right/>
      <top style="thin">
        <color indexed="23"/>
      </top>
      <bottom style="thin">
        <color theme="1" tint="0.499984740745262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thin">
        <color theme="1" tint="0.499984740745262"/>
      </left>
      <right style="thin">
        <color indexed="23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/>
      </right>
      <top style="thin">
        <color indexed="23"/>
      </top>
      <bottom/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23"/>
      </right>
      <top style="thin">
        <color indexed="23"/>
      </top>
      <bottom style="thin">
        <color theme="1" tint="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theme="1" tint="0.499984740745262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theme="1" tint="0.499984740745262"/>
      </bottom>
      <diagonal/>
    </border>
    <border>
      <left/>
      <right/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medium">
        <color indexed="64"/>
      </left>
      <right style="thin">
        <color theme="1" tint="0.499984740745262"/>
      </right>
      <top style="thin">
        <color indexed="23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23"/>
      </right>
      <top style="thin">
        <color indexed="23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23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3"/>
      </right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medium">
        <color indexed="64"/>
      </right>
      <top/>
      <bottom/>
      <diagonal/>
    </border>
    <border>
      <left style="thin">
        <color theme="1" tint="0.499984740745262"/>
      </left>
      <right style="thin">
        <color indexed="23"/>
      </right>
      <top/>
      <bottom/>
      <diagonal/>
    </border>
    <border>
      <left style="thin">
        <color theme="1" tint="0.499984740745262"/>
      </left>
      <right style="thin">
        <color indexed="23"/>
      </right>
      <top/>
      <bottom style="thin">
        <color indexed="23"/>
      </bottom>
      <diagonal/>
    </border>
    <border>
      <left style="thin">
        <color theme="1" tint="0.34998626667073579"/>
      </left>
      <right style="thin">
        <color indexed="23"/>
      </right>
      <top style="thin">
        <color theme="1" tint="0.34998626667073579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indexed="64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medium">
        <color indexed="64"/>
      </right>
      <top style="thin">
        <color indexed="23"/>
      </top>
      <bottom/>
      <diagonal/>
    </border>
    <border>
      <left/>
      <right style="medium">
        <color indexed="64"/>
      </right>
      <top/>
      <bottom style="thin">
        <color indexed="23"/>
      </bottom>
      <diagonal/>
    </border>
    <border>
      <left/>
      <right style="medium">
        <color indexed="64"/>
      </right>
      <top style="thin">
        <color indexed="23"/>
      </top>
      <bottom style="medium">
        <color theme="1" tint="0.499984740745262"/>
      </bottom>
      <diagonal/>
    </border>
    <border>
      <left/>
      <right style="medium">
        <color indexed="64"/>
      </right>
      <top/>
      <bottom style="medium">
        <color indexed="23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medium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indexed="64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23"/>
      </left>
      <right/>
      <top style="thin">
        <color theme="2" tint="-0.24994659260841701"/>
      </top>
      <bottom style="medium">
        <color theme="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indexed="64"/>
      </top>
      <bottom/>
      <diagonal/>
    </border>
    <border>
      <left style="thin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23"/>
      </right>
      <top style="thin">
        <color theme="1" tint="0.499984740745262"/>
      </top>
      <bottom style="medium">
        <color indexed="64"/>
      </bottom>
      <diagonal/>
    </border>
    <border>
      <left/>
      <right style="thin">
        <color indexed="23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medium">
        <color indexed="64"/>
      </bottom>
      <diagonal/>
    </border>
  </borders>
  <cellStyleXfs count="5">
    <xf numFmtId="0" fontId="0" fillId="0" borderId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3" fillId="0" borderId="0"/>
  </cellStyleXfs>
  <cellXfs count="403">
    <xf numFmtId="0" fontId="0" fillId="0" borderId="0" xfId="0"/>
    <xf numFmtId="0" fontId="3" fillId="0" borderId="0" xfId="0" applyFont="1"/>
    <xf numFmtId="0" fontId="4" fillId="0" borderId="0" xfId="0" applyFont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9" fontId="2" fillId="4" borderId="8" xfId="0" applyNumberFormat="1" applyFont="1" applyFill="1" applyBorder="1" applyAlignment="1">
      <alignment horizontal="center"/>
    </xf>
    <xf numFmtId="9" fontId="2" fillId="4" borderId="6" xfId="0" applyNumberFormat="1" applyFont="1" applyFill="1" applyBorder="1" applyAlignment="1">
      <alignment horizontal="center"/>
    </xf>
    <xf numFmtId="9" fontId="5" fillId="5" borderId="8" xfId="0" applyNumberFormat="1" applyFont="1" applyFill="1" applyBorder="1" applyAlignment="1">
      <alignment horizontal="center"/>
    </xf>
    <xf numFmtId="0" fontId="2" fillId="5" borderId="7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/>
    </xf>
    <xf numFmtId="1" fontId="6" fillId="5" borderId="8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7" fillId="2" borderId="8" xfId="0" applyNumberFormat="1" applyFont="1" applyFill="1" applyBorder="1" applyAlignment="1">
      <alignment horizontal="center"/>
    </xf>
    <xf numFmtId="0" fontId="1" fillId="2" borderId="0" xfId="0" applyFont="1" applyFill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4" fontId="7" fillId="2" borderId="8" xfId="0" applyNumberFormat="1" applyFont="1" applyFill="1" applyBorder="1" applyAlignment="1">
      <alignment horizontal="right"/>
    </xf>
    <xf numFmtId="164" fontId="6" fillId="5" borderId="8" xfId="0" applyNumberFormat="1" applyFont="1" applyFill="1" applyBorder="1" applyAlignment="1">
      <alignment horizontal="right"/>
    </xf>
    <xf numFmtId="0" fontId="2" fillId="4" borderId="7" xfId="0" applyFont="1" applyFill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164" fontId="6" fillId="4" borderId="8" xfId="0" applyNumberFormat="1" applyFont="1" applyFill="1" applyBorder="1" applyAlignment="1">
      <alignment horizontal="right"/>
    </xf>
    <xf numFmtId="16" fontId="3" fillId="0" borderId="11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right"/>
    </xf>
    <xf numFmtId="164" fontId="2" fillId="4" borderId="8" xfId="0" applyNumberFormat="1" applyFont="1" applyFill="1" applyBorder="1" applyAlignment="1">
      <alignment horizontal="right"/>
    </xf>
    <xf numFmtId="0" fontId="1" fillId="4" borderId="0" xfId="0" applyFont="1" applyFill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30" xfId="0" applyFont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/>
    </xf>
    <xf numFmtId="0" fontId="3" fillId="0" borderId="35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16" fontId="3" fillId="0" borderId="10" xfId="0" applyNumberFormat="1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10" borderId="7" xfId="0" applyFont="1" applyFill="1" applyBorder="1" applyAlignment="1">
      <alignment horizontal="left" vertical="center"/>
    </xf>
    <xf numFmtId="0" fontId="3" fillId="0" borderId="50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8" borderId="29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44" fontId="8" fillId="0" borderId="43" xfId="1" applyFont="1" applyBorder="1"/>
    <xf numFmtId="44" fontId="8" fillId="0" borderId="14" xfId="1" applyFont="1" applyBorder="1" applyAlignment="1">
      <alignment horizontal="right" vertical="center"/>
    </xf>
    <xf numFmtId="44" fontId="8" fillId="0" borderId="18" xfId="1" applyFont="1" applyBorder="1" applyAlignment="1">
      <alignment horizontal="right" vertical="center"/>
    </xf>
    <xf numFmtId="44" fontId="8" fillId="0" borderId="12" xfId="1" applyFont="1" applyBorder="1" applyAlignment="1">
      <alignment horizontal="right" vertical="center"/>
    </xf>
    <xf numFmtId="44" fontId="8" fillId="0" borderId="17" xfId="1" applyFont="1" applyBorder="1" applyAlignment="1">
      <alignment horizontal="right" vertical="center"/>
    </xf>
    <xf numFmtId="44" fontId="8" fillId="2" borderId="8" xfId="1" applyFont="1" applyFill="1" applyBorder="1" applyAlignment="1">
      <alignment horizontal="right"/>
    </xf>
    <xf numFmtId="44" fontId="8" fillId="0" borderId="40" xfId="1" applyFont="1" applyBorder="1" applyAlignment="1">
      <alignment horizontal="right" vertical="center"/>
    </xf>
    <xf numFmtId="44" fontId="8" fillId="0" borderId="32" xfId="1" applyFont="1" applyBorder="1" applyAlignment="1">
      <alignment horizontal="right" vertical="center"/>
    </xf>
    <xf numFmtId="44" fontId="8" fillId="5" borderId="8" xfId="1" applyFont="1" applyFill="1" applyBorder="1" applyAlignment="1">
      <alignment horizontal="right"/>
    </xf>
    <xf numFmtId="44" fontId="8" fillId="0" borderId="36" xfId="1" applyFont="1" applyBorder="1"/>
    <xf numFmtId="44" fontId="8" fillId="0" borderId="8" xfId="1" applyFont="1" applyBorder="1" applyAlignment="1">
      <alignment horizontal="right" vertical="center"/>
    </xf>
    <xf numFmtId="44" fontId="8" fillId="4" borderId="8" xfId="1" applyFont="1" applyFill="1" applyBorder="1" applyAlignment="1">
      <alignment horizontal="right"/>
    </xf>
    <xf numFmtId="0" fontId="3" fillId="8" borderId="7" xfId="0" applyFont="1" applyFill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1" fillId="2" borderId="63" xfId="0" applyFont="1" applyFill="1" applyBorder="1" applyAlignment="1">
      <alignment horizontal="left" vertical="center"/>
    </xf>
    <xf numFmtId="0" fontId="1" fillId="2" borderId="64" xfId="0" applyFont="1" applyFill="1" applyBorder="1" applyAlignment="1">
      <alignment horizontal="left" vertical="center"/>
    </xf>
    <xf numFmtId="0" fontId="3" fillId="8" borderId="66" xfId="0" applyFont="1" applyFill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1" fillId="2" borderId="70" xfId="0" applyFont="1" applyFill="1" applyBorder="1" applyAlignment="1">
      <alignment horizontal="left" vertical="center"/>
    </xf>
    <xf numFmtId="0" fontId="1" fillId="7" borderId="71" xfId="0" applyFont="1" applyFill="1" applyBorder="1" applyAlignment="1">
      <alignment horizontal="center" vertical="center"/>
    </xf>
    <xf numFmtId="0" fontId="1" fillId="8" borderId="73" xfId="0" applyFont="1" applyFill="1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0" fontId="1" fillId="9" borderId="29" xfId="0" applyFont="1" applyFill="1" applyBorder="1" applyAlignment="1">
      <alignment horizontal="left" vertical="center"/>
    </xf>
    <xf numFmtId="0" fontId="1" fillId="9" borderId="74" xfId="0" applyFont="1" applyFill="1" applyBorder="1" applyAlignment="1">
      <alignment horizontal="center" vertical="center"/>
    </xf>
    <xf numFmtId="0" fontId="3" fillId="9" borderId="67" xfId="0" applyFont="1" applyFill="1" applyBorder="1" applyAlignment="1">
      <alignment horizontal="center" vertical="center"/>
    </xf>
    <xf numFmtId="44" fontId="8" fillId="9" borderId="8" xfId="1" applyFont="1" applyFill="1" applyBorder="1" applyAlignment="1">
      <alignment horizontal="right" vertical="center"/>
    </xf>
    <xf numFmtId="44" fontId="8" fillId="7" borderId="72" xfId="1" applyFont="1" applyFill="1" applyBorder="1" applyAlignment="1">
      <alignment horizontal="right" vertical="center"/>
    </xf>
    <xf numFmtId="44" fontId="8" fillId="7" borderId="75" xfId="1" applyFont="1" applyFill="1" applyBorder="1" applyAlignment="1">
      <alignment horizontal="right" vertical="center"/>
    </xf>
    <xf numFmtId="44" fontId="8" fillId="9" borderId="69" xfId="1" applyFont="1" applyFill="1" applyBorder="1" applyAlignment="1">
      <alignment horizontal="right" vertical="center"/>
    </xf>
    <xf numFmtId="44" fontId="8" fillId="0" borderId="76" xfId="1" applyFont="1" applyBorder="1" applyAlignment="1">
      <alignment horizontal="right" vertical="center"/>
    </xf>
    <xf numFmtId="44" fontId="8" fillId="0" borderId="69" xfId="1" applyFont="1" applyBorder="1" applyAlignment="1">
      <alignment horizontal="right" vertical="center"/>
    </xf>
    <xf numFmtId="44" fontId="8" fillId="8" borderId="69" xfId="1" applyFont="1" applyFill="1" applyBorder="1" applyAlignment="1">
      <alignment horizontal="right"/>
    </xf>
    <xf numFmtId="44" fontId="8" fillId="8" borderId="8" xfId="1" applyFont="1" applyFill="1" applyBorder="1" applyAlignment="1">
      <alignment horizontal="right"/>
    </xf>
    <xf numFmtId="44" fontId="8" fillId="0" borderId="61" xfId="1" applyFont="1" applyBorder="1" applyAlignment="1">
      <alignment horizontal="right" vertical="center"/>
    </xf>
    <xf numFmtId="44" fontId="8" fillId="2" borderId="65" xfId="1" applyFont="1" applyFill="1" applyBorder="1" applyAlignment="1">
      <alignment horizontal="right"/>
    </xf>
    <xf numFmtId="44" fontId="8" fillId="0" borderId="57" xfId="1" applyFont="1" applyBorder="1" applyAlignment="1">
      <alignment horizontal="right" vertical="center"/>
    </xf>
    <xf numFmtId="44" fontId="8" fillId="0" borderId="53" xfId="1" applyFont="1" applyBorder="1" applyAlignment="1">
      <alignment horizontal="right" vertical="center"/>
    </xf>
    <xf numFmtId="0" fontId="3" fillId="0" borderId="78" xfId="0" applyFont="1" applyBorder="1" applyAlignment="1">
      <alignment horizontal="center" vertical="center"/>
    </xf>
    <xf numFmtId="44" fontId="8" fillId="0" borderId="79" xfId="1" applyFont="1" applyBorder="1" applyAlignment="1">
      <alignment horizontal="right" vertical="center"/>
    </xf>
    <xf numFmtId="0" fontId="1" fillId="2" borderId="80" xfId="0" applyFont="1" applyFill="1" applyBorder="1" applyAlignment="1">
      <alignment horizontal="left" vertical="center"/>
    </xf>
    <xf numFmtId="44" fontId="8" fillId="2" borderId="72" xfId="1" applyFont="1" applyFill="1" applyBorder="1" applyAlignment="1">
      <alignment horizontal="right"/>
    </xf>
    <xf numFmtId="0" fontId="3" fillId="0" borderId="81" xfId="0" applyFont="1" applyBorder="1" applyAlignment="1">
      <alignment horizontal="center" vertical="center"/>
    </xf>
    <xf numFmtId="0" fontId="1" fillId="9" borderId="66" xfId="0" applyFont="1" applyFill="1" applyBorder="1" applyAlignment="1">
      <alignment horizontal="left" vertical="center"/>
    </xf>
    <xf numFmtId="0" fontId="1" fillId="9" borderId="67" xfId="0" applyFont="1" applyFill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1" fillId="2" borderId="86" xfId="0" applyFont="1" applyFill="1" applyBorder="1"/>
    <xf numFmtId="0" fontId="1" fillId="2" borderId="87" xfId="0" applyFont="1" applyFill="1" applyBorder="1"/>
    <xf numFmtId="0" fontId="1" fillId="2" borderId="88" xfId="0" applyFont="1" applyFill="1" applyBorder="1"/>
    <xf numFmtId="0" fontId="3" fillId="2" borderId="88" xfId="0" applyFont="1" applyFill="1" applyBorder="1"/>
    <xf numFmtId="44" fontId="4" fillId="2" borderId="89" xfId="1" applyFont="1" applyFill="1" applyBorder="1"/>
    <xf numFmtId="0" fontId="3" fillId="8" borderId="90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44" fontId="3" fillId="0" borderId="0" xfId="0" applyNumberFormat="1" applyFont="1"/>
    <xf numFmtId="44" fontId="4" fillId="0" borderId="0" xfId="0" applyNumberFormat="1" applyFont="1"/>
    <xf numFmtId="0" fontId="16" fillId="0" borderId="0" xfId="0" applyFont="1"/>
    <xf numFmtId="0" fontId="3" fillId="0" borderId="92" xfId="0" applyFont="1" applyBorder="1" applyAlignment="1">
      <alignment horizontal="center" vertical="center"/>
    </xf>
    <xf numFmtId="44" fontId="8" fillId="0" borderId="94" xfId="1" applyFont="1" applyBorder="1" applyAlignment="1">
      <alignment horizontal="right" vertical="center"/>
    </xf>
    <xf numFmtId="0" fontId="1" fillId="2" borderId="71" xfId="0" applyFont="1" applyFill="1" applyBorder="1" applyAlignment="1">
      <alignment horizontal="left" vertical="center"/>
    </xf>
    <xf numFmtId="0" fontId="4" fillId="7" borderId="0" xfId="0" applyFont="1" applyFill="1"/>
    <xf numFmtId="0" fontId="1" fillId="8" borderId="97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/>
    </xf>
    <xf numFmtId="0" fontId="12" fillId="12" borderId="3" xfId="0" applyFont="1" applyFill="1" applyBorder="1"/>
    <xf numFmtId="0" fontId="11" fillId="12" borderId="1" xfId="0" applyFont="1" applyFill="1" applyBorder="1" applyAlignment="1">
      <alignment horizontal="left"/>
    </xf>
    <xf numFmtId="0" fontId="11" fillId="12" borderId="2" xfId="0" applyFont="1" applyFill="1" applyBorder="1" applyAlignment="1">
      <alignment horizontal="left"/>
    </xf>
    <xf numFmtId="0" fontId="17" fillId="12" borderId="2" xfId="0" applyFont="1" applyFill="1" applyBorder="1"/>
    <xf numFmtId="44" fontId="8" fillId="12" borderId="14" xfId="1" applyFont="1" applyFill="1" applyBorder="1" applyAlignment="1">
      <alignment horizontal="right" vertical="center"/>
    </xf>
    <xf numFmtId="44" fontId="8" fillId="12" borderId="19" xfId="1" applyFont="1" applyFill="1" applyBorder="1" applyAlignment="1">
      <alignment horizontal="right" vertical="center"/>
    </xf>
    <xf numFmtId="44" fontId="8" fillId="12" borderId="18" xfId="1" applyFont="1" applyFill="1" applyBorder="1" applyAlignment="1">
      <alignment horizontal="right" vertical="center"/>
    </xf>
    <xf numFmtId="0" fontId="15" fillId="12" borderId="2" xfId="0" applyFont="1" applyFill="1" applyBorder="1"/>
    <xf numFmtId="0" fontId="13" fillId="12" borderId="2" xfId="0" applyFont="1" applyFill="1" applyBorder="1"/>
    <xf numFmtId="0" fontId="13" fillId="12" borderId="1" xfId="0" applyFont="1" applyFill="1" applyBorder="1" applyAlignment="1">
      <alignment horizontal="left"/>
    </xf>
    <xf numFmtId="0" fontId="14" fillId="12" borderId="2" xfId="0" applyFont="1" applyFill="1" applyBorder="1" applyAlignment="1">
      <alignment horizontal="left"/>
    </xf>
    <xf numFmtId="0" fontId="2" fillId="4" borderId="5" xfId="0" applyFont="1" applyFill="1" applyBorder="1" applyAlignment="1">
      <alignment vertical="center"/>
    </xf>
    <xf numFmtId="0" fontId="18" fillId="13" borderId="91" xfId="0" applyFont="1" applyFill="1" applyBorder="1" applyAlignment="1">
      <alignment horizontal="center" vertical="center"/>
    </xf>
    <xf numFmtId="0" fontId="18" fillId="13" borderId="91" xfId="0" applyFont="1" applyFill="1" applyBorder="1" applyAlignment="1">
      <alignment horizontal="center" vertical="center" wrapText="1"/>
    </xf>
    <xf numFmtId="44" fontId="18" fillId="14" borderId="91" xfId="1" applyFont="1" applyFill="1" applyBorder="1" applyAlignment="1">
      <alignment horizontal="center" vertical="center" wrapText="1"/>
    </xf>
    <xf numFmtId="44" fontId="0" fillId="8" borderId="91" xfId="1" applyFont="1" applyFill="1" applyBorder="1" applyAlignment="1">
      <alignment horizontal="center" wrapText="1"/>
    </xf>
    <xf numFmtId="0" fontId="0" fillId="0" borderId="98" xfId="0" applyBorder="1"/>
    <xf numFmtId="43" fontId="0" fillId="0" borderId="98" xfId="2" applyFont="1" applyBorder="1"/>
    <xf numFmtId="44" fontId="0" fillId="14" borderId="98" xfId="1" applyFont="1" applyFill="1" applyBorder="1"/>
    <xf numFmtId="44" fontId="0" fillId="8" borderId="98" xfId="1" applyFont="1" applyFill="1" applyBorder="1"/>
    <xf numFmtId="44" fontId="0" fillId="0" borderId="0" xfId="0" applyNumberFormat="1"/>
    <xf numFmtId="0" fontId="0" fillId="0" borderId="99" xfId="0" applyBorder="1"/>
    <xf numFmtId="43" fontId="0" fillId="0" borderId="99" xfId="2" applyFont="1" applyBorder="1"/>
    <xf numFmtId="44" fontId="0" fillId="14" borderId="99" xfId="1" applyFont="1" applyFill="1" applyBorder="1"/>
    <xf numFmtId="44" fontId="0" fillId="8" borderId="99" xfId="1" applyFont="1" applyFill="1" applyBorder="1"/>
    <xf numFmtId="0" fontId="0" fillId="8" borderId="99" xfId="0" applyFill="1" applyBorder="1"/>
    <xf numFmtId="0" fontId="0" fillId="15" borderId="99" xfId="0" applyFill="1" applyBorder="1"/>
    <xf numFmtId="43" fontId="0" fillId="15" borderId="99" xfId="2" applyFont="1" applyFill="1" applyBorder="1"/>
    <xf numFmtId="44" fontId="0" fillId="0" borderId="0" xfId="1" applyFont="1" applyFill="1"/>
    <xf numFmtId="44" fontId="0" fillId="8" borderId="0" xfId="1" applyFont="1" applyFill="1"/>
    <xf numFmtId="0" fontId="3" fillId="0" borderId="100" xfId="0" applyFont="1" applyBorder="1" applyAlignment="1">
      <alignment horizontal="center" vertical="center"/>
    </xf>
    <xf numFmtId="0" fontId="3" fillId="0" borderId="10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100" xfId="3" applyNumberFormat="1" applyFont="1" applyBorder="1" applyAlignment="1">
      <alignment horizontal="center" vertical="center"/>
    </xf>
    <xf numFmtId="44" fontId="8" fillId="0" borderId="14" xfId="1" applyFont="1" applyFill="1" applyBorder="1" applyAlignment="1">
      <alignment horizontal="right" vertical="center"/>
    </xf>
    <xf numFmtId="44" fontId="8" fillId="0" borderId="18" xfId="1" applyFont="1" applyFill="1" applyBorder="1" applyAlignment="1">
      <alignment horizontal="right" vertical="center"/>
    </xf>
    <xf numFmtId="44" fontId="8" fillId="0" borderId="19" xfId="1" applyFont="1" applyFill="1" applyBorder="1" applyAlignment="1">
      <alignment horizontal="right" vertical="center"/>
    </xf>
    <xf numFmtId="44" fontId="8" fillId="0" borderId="12" xfId="1" applyFont="1" applyFill="1" applyBorder="1" applyAlignment="1">
      <alignment horizontal="right" vertical="center"/>
    </xf>
    <xf numFmtId="44" fontId="8" fillId="0" borderId="17" xfId="1" applyFont="1" applyFill="1" applyBorder="1" applyAlignment="1">
      <alignment horizontal="right" vertical="center"/>
    </xf>
    <xf numFmtId="44" fontId="8" fillId="0" borderId="40" xfId="1" applyFont="1" applyFill="1" applyBorder="1" applyAlignment="1">
      <alignment horizontal="right" vertical="center"/>
    </xf>
    <xf numFmtId="44" fontId="8" fillId="0" borderId="32" xfId="1" applyFont="1" applyFill="1" applyBorder="1" applyAlignment="1">
      <alignment horizontal="right" vertical="center"/>
    </xf>
    <xf numFmtId="44" fontId="8" fillId="0" borderId="72" xfId="1" applyFont="1" applyBorder="1" applyAlignment="1">
      <alignment horizontal="right" vertical="center"/>
    </xf>
    <xf numFmtId="44" fontId="8" fillId="0" borderId="102" xfId="1" applyFont="1" applyBorder="1" applyAlignment="1">
      <alignment horizontal="right" vertical="center"/>
    </xf>
    <xf numFmtId="44" fontId="8" fillId="0" borderId="103" xfId="1" applyFont="1" applyBorder="1" applyAlignment="1">
      <alignment horizontal="right" vertical="center"/>
    </xf>
    <xf numFmtId="44" fontId="8" fillId="8" borderId="104" xfId="1" applyFont="1" applyFill="1" applyBorder="1" applyAlignment="1">
      <alignment horizontal="right" vertical="center"/>
    </xf>
    <xf numFmtId="44" fontId="8" fillId="8" borderId="72" xfId="1" applyFont="1" applyFill="1" applyBorder="1" applyAlignment="1">
      <alignment horizontal="right" vertical="center"/>
    </xf>
    <xf numFmtId="44" fontId="8" fillId="8" borderId="102" xfId="1" applyFont="1" applyFill="1" applyBorder="1" applyAlignment="1">
      <alignment horizontal="right" vertical="center"/>
    </xf>
    <xf numFmtId="44" fontId="8" fillId="8" borderId="105" xfId="1" applyFont="1" applyFill="1" applyBorder="1" applyAlignment="1">
      <alignment horizontal="right" vertical="center"/>
    </xf>
    <xf numFmtId="44" fontId="8" fillId="8" borderId="106" xfId="1" applyFont="1" applyFill="1" applyBorder="1" applyAlignment="1">
      <alignment horizontal="right" vertical="center"/>
    </xf>
    <xf numFmtId="44" fontId="8" fillId="0" borderId="104" xfId="1" applyFont="1" applyBorder="1" applyAlignment="1">
      <alignment horizontal="right" vertical="center"/>
    </xf>
    <xf numFmtId="44" fontId="8" fillId="0" borderId="107" xfId="1" applyFont="1" applyBorder="1" applyAlignment="1">
      <alignment horizontal="right" vertical="center"/>
    </xf>
    <xf numFmtId="44" fontId="8" fillId="0" borderId="11" xfId="1" applyFont="1" applyBorder="1" applyAlignment="1">
      <alignment horizontal="right" vertical="center"/>
    </xf>
    <xf numFmtId="44" fontId="8" fillId="0" borderId="16" xfId="1" applyFont="1" applyBorder="1" applyAlignment="1">
      <alignment horizontal="right" vertical="center"/>
    </xf>
    <xf numFmtId="44" fontId="8" fillId="2" borderId="93" xfId="1" applyFont="1" applyFill="1" applyBorder="1" applyAlignment="1">
      <alignment horizontal="right"/>
    </xf>
    <xf numFmtId="44" fontId="8" fillId="0" borderId="21" xfId="1" applyFont="1" applyBorder="1" applyAlignment="1">
      <alignment horizontal="right" vertical="center"/>
    </xf>
    <xf numFmtId="44" fontId="8" fillId="5" borderId="93" xfId="1" applyFont="1" applyFill="1" applyBorder="1" applyAlignment="1">
      <alignment horizontal="right"/>
    </xf>
    <xf numFmtId="44" fontId="8" fillId="4" borderId="93" xfId="1" applyFont="1" applyFill="1" applyBorder="1" applyAlignment="1">
      <alignment horizontal="right"/>
    </xf>
    <xf numFmtId="44" fontId="8" fillId="8" borderId="10" xfId="1" applyFont="1" applyFill="1" applyBorder="1" applyAlignment="1">
      <alignment horizontal="right" vertical="center"/>
    </xf>
    <xf numFmtId="44" fontId="8" fillId="8" borderId="11" xfId="1" applyFont="1" applyFill="1" applyBorder="1" applyAlignment="1">
      <alignment horizontal="right" vertical="center"/>
    </xf>
    <xf numFmtId="44" fontId="8" fillId="8" borderId="16" xfId="1" applyFont="1" applyFill="1" applyBorder="1" applyAlignment="1">
      <alignment horizontal="right" vertical="center"/>
    </xf>
    <xf numFmtId="44" fontId="8" fillId="8" borderId="49" xfId="1" applyFont="1" applyFill="1" applyBorder="1" applyAlignment="1">
      <alignment horizontal="right" vertical="center"/>
    </xf>
    <xf numFmtId="44" fontId="8" fillId="8" borderId="46" xfId="1" applyFont="1" applyFill="1" applyBorder="1" applyAlignment="1">
      <alignment horizontal="right" vertical="center"/>
    </xf>
    <xf numFmtId="44" fontId="8" fillId="0" borderId="10" xfId="1" applyFont="1" applyBorder="1" applyAlignment="1">
      <alignment horizontal="right" vertical="center"/>
    </xf>
    <xf numFmtId="44" fontId="8" fillId="0" borderId="23" xfId="1" applyFont="1" applyBorder="1" applyAlignment="1">
      <alignment horizontal="right" vertical="center"/>
    </xf>
    <xf numFmtId="0" fontId="1" fillId="0" borderId="2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3" fillId="8" borderId="74" xfId="0" applyFont="1" applyFill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44" fontId="8" fillId="8" borderId="108" xfId="1" applyFont="1" applyFill="1" applyBorder="1" applyAlignment="1">
      <alignment horizontal="right" vertical="center"/>
    </xf>
    <xf numFmtId="44" fontId="8" fillId="0" borderId="109" xfId="1" applyFont="1" applyBorder="1" applyAlignment="1">
      <alignment horizontal="right" vertical="center"/>
    </xf>
    <xf numFmtId="44" fontId="8" fillId="9" borderId="93" xfId="1" applyFont="1" applyFill="1" applyBorder="1" applyAlignment="1">
      <alignment horizontal="right" vertical="center"/>
    </xf>
    <xf numFmtId="44" fontId="8" fillId="7" borderId="24" xfId="1" applyFont="1" applyFill="1" applyBorder="1" applyAlignment="1">
      <alignment horizontal="right" vertical="center"/>
    </xf>
    <xf numFmtId="44" fontId="8" fillId="7" borderId="27" xfId="1" applyFont="1" applyFill="1" applyBorder="1" applyAlignment="1">
      <alignment horizontal="right" vertical="center"/>
    </xf>
    <xf numFmtId="44" fontId="8" fillId="8" borderId="73" xfId="1" applyFont="1" applyFill="1" applyBorder="1" applyAlignment="1">
      <alignment horizontal="right" vertical="center"/>
    </xf>
    <xf numFmtId="44" fontId="8" fillId="0" borderId="110" xfId="1" applyFont="1" applyBorder="1" applyAlignment="1">
      <alignment horizontal="right" vertical="center"/>
    </xf>
    <xf numFmtId="44" fontId="8" fillId="9" borderId="111" xfId="1" applyFont="1" applyFill="1" applyBorder="1" applyAlignment="1">
      <alignment horizontal="right" vertical="center"/>
    </xf>
    <xf numFmtId="44" fontId="8" fillId="0" borderId="73" xfId="1" applyFont="1" applyBorder="1" applyAlignment="1">
      <alignment horizontal="right" vertical="center"/>
    </xf>
    <xf numFmtId="44" fontId="8" fillId="0" borderId="111" xfId="1" applyFont="1" applyBorder="1" applyAlignment="1">
      <alignment horizontal="right" vertical="center"/>
    </xf>
    <xf numFmtId="0" fontId="3" fillId="0" borderId="112" xfId="0" applyFont="1" applyBorder="1" applyAlignment="1">
      <alignment horizontal="center" vertical="center"/>
    </xf>
    <xf numFmtId="0" fontId="3" fillId="2" borderId="113" xfId="0" applyFont="1" applyFill="1" applyBorder="1"/>
    <xf numFmtId="0" fontId="3" fillId="0" borderId="74" xfId="0" applyFont="1" applyBorder="1" applyAlignment="1">
      <alignment horizontal="center"/>
    </xf>
    <xf numFmtId="0" fontId="1" fillId="0" borderId="83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0" fillId="16" borderId="99" xfId="0" applyFill="1" applyBorder="1"/>
    <xf numFmtId="43" fontId="0" fillId="0" borderId="99" xfId="2" applyFont="1" applyFill="1" applyBorder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0" fillId="8" borderId="0" xfId="0" applyFill="1"/>
    <xf numFmtId="0" fontId="22" fillId="8" borderId="114" xfId="0" applyFont="1" applyFill="1" applyBorder="1" applyAlignment="1">
      <alignment horizontal="center"/>
    </xf>
    <xf numFmtId="0" fontId="22" fillId="8" borderId="116" xfId="0" applyFont="1" applyFill="1" applyBorder="1" applyAlignment="1">
      <alignment horizontal="center"/>
    </xf>
    <xf numFmtId="0" fontId="22" fillId="8" borderId="117" xfId="0" applyFont="1" applyFill="1" applyBorder="1" applyAlignment="1">
      <alignment horizontal="center"/>
    </xf>
    <xf numFmtId="0" fontId="0" fillId="8" borderId="121" xfId="0" applyFill="1" applyBorder="1" applyAlignment="1">
      <alignment horizontal="center"/>
    </xf>
    <xf numFmtId="0" fontId="0" fillId="8" borderId="122" xfId="0" applyFill="1" applyBorder="1" applyAlignment="1">
      <alignment horizontal="center"/>
    </xf>
    <xf numFmtId="44" fontId="10" fillId="8" borderId="123" xfId="1" applyFont="1" applyFill="1" applyBorder="1" applyAlignment="1">
      <alignment horizontal="center"/>
    </xf>
    <xf numFmtId="0" fontId="0" fillId="8" borderId="1" xfId="0" applyFill="1" applyBorder="1"/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124" xfId="0" applyFill="1" applyBorder="1" applyAlignment="1">
      <alignment horizontal="center"/>
    </xf>
    <xf numFmtId="0" fontId="0" fillId="8" borderId="91" xfId="0" applyFill="1" applyBorder="1" applyAlignment="1">
      <alignment horizontal="center"/>
    </xf>
    <xf numFmtId="44" fontId="10" fillId="8" borderId="125" xfId="1" applyFont="1" applyFill="1" applyBorder="1" applyAlignment="1">
      <alignment horizontal="center"/>
    </xf>
    <xf numFmtId="0" fontId="0" fillId="8" borderId="126" xfId="0" applyFill="1" applyBorder="1" applyAlignment="1">
      <alignment horizontal="center"/>
    </xf>
    <xf numFmtId="0" fontId="0" fillId="8" borderId="128" xfId="0" applyFill="1" applyBorder="1" applyAlignment="1">
      <alignment horizontal="center"/>
    </xf>
    <xf numFmtId="165" fontId="0" fillId="8" borderId="129" xfId="0" applyNumberFormat="1" applyFill="1" applyBorder="1" applyAlignment="1">
      <alignment horizontal="right"/>
    </xf>
    <xf numFmtId="165" fontId="0" fillId="8" borderId="125" xfId="0" applyNumberFormat="1" applyFill="1" applyBorder="1" applyAlignment="1">
      <alignment horizontal="right"/>
    </xf>
    <xf numFmtId="0" fontId="0" fillId="8" borderId="131" xfId="0" applyFill="1" applyBorder="1" applyAlignment="1">
      <alignment horizontal="center"/>
    </xf>
    <xf numFmtId="0" fontId="0" fillId="8" borderId="132" xfId="0" applyFill="1" applyBorder="1" applyAlignment="1">
      <alignment horizontal="center"/>
    </xf>
    <xf numFmtId="44" fontId="10" fillId="8" borderId="133" xfId="1" applyFont="1" applyFill="1" applyBorder="1" applyAlignment="1">
      <alignment horizontal="center"/>
    </xf>
    <xf numFmtId="44" fontId="10" fillId="8" borderId="3" xfId="1" applyFont="1" applyFill="1" applyBorder="1" applyAlignment="1">
      <alignment horizontal="center"/>
    </xf>
    <xf numFmtId="165" fontId="0" fillId="8" borderId="133" xfId="0" applyNumberFormat="1" applyFill="1" applyBorder="1" applyAlignment="1">
      <alignment horizontal="right"/>
    </xf>
    <xf numFmtId="165" fontId="0" fillId="8" borderId="3" xfId="0" applyNumberFormat="1" applyFill="1" applyBorder="1" applyAlignment="1">
      <alignment horizontal="right"/>
    </xf>
    <xf numFmtId="165" fontId="0" fillId="8" borderId="123" xfId="0" applyNumberFormat="1" applyFill="1" applyBorder="1" applyAlignment="1">
      <alignment horizontal="right"/>
    </xf>
    <xf numFmtId="0" fontId="0" fillId="8" borderId="134" xfId="0" applyFill="1" applyBorder="1" applyAlignment="1">
      <alignment horizontal="center"/>
    </xf>
    <xf numFmtId="0" fontId="0" fillId="8" borderId="135" xfId="0" applyFill="1" applyBorder="1" applyAlignment="1">
      <alignment horizontal="center"/>
    </xf>
    <xf numFmtId="165" fontId="0" fillId="8" borderId="136" xfId="0" applyNumberFormat="1" applyFill="1" applyBorder="1" applyAlignment="1">
      <alignment horizontal="right"/>
    </xf>
    <xf numFmtId="44" fontId="10" fillId="8" borderId="136" xfId="1" applyFont="1" applyFill="1" applyBorder="1" applyAlignment="1">
      <alignment horizontal="center"/>
    </xf>
    <xf numFmtId="44" fontId="0" fillId="8" borderId="0" xfId="0" applyNumberFormat="1" applyFill="1" applyAlignment="1">
      <alignment horizontal="center"/>
    </xf>
    <xf numFmtId="44" fontId="22" fillId="8" borderId="137" xfId="0" applyNumberFormat="1" applyFont="1" applyFill="1" applyBorder="1" applyAlignment="1">
      <alignment horizontal="center"/>
    </xf>
    <xf numFmtId="44" fontId="0" fillId="8" borderId="2" xfId="0" applyNumberFormat="1" applyFill="1" applyBorder="1" applyAlignment="1">
      <alignment horizontal="center"/>
    </xf>
    <xf numFmtId="44" fontId="0" fillId="8" borderId="138" xfId="0" applyNumberFormat="1" applyFill="1" applyBorder="1" applyAlignment="1">
      <alignment horizontal="center"/>
    </xf>
    <xf numFmtId="44" fontId="0" fillId="8" borderId="139" xfId="0" applyNumberFormat="1" applyFill="1" applyBorder="1" applyAlignment="1">
      <alignment horizontal="center"/>
    </xf>
    <xf numFmtId="44" fontId="0" fillId="8" borderId="140" xfId="0" applyNumberFormat="1" applyFill="1" applyBorder="1" applyAlignment="1">
      <alignment horizontal="center"/>
    </xf>
    <xf numFmtId="44" fontId="0" fillId="8" borderId="141" xfId="0" applyNumberFormat="1" applyFill="1" applyBorder="1" applyAlignment="1">
      <alignment horizontal="center"/>
    </xf>
    <xf numFmtId="44" fontId="0" fillId="8" borderId="142" xfId="0" applyNumberFormat="1" applyFill="1" applyBorder="1" applyAlignment="1">
      <alignment horizontal="center"/>
    </xf>
    <xf numFmtId="44" fontId="22" fillId="8" borderId="116" xfId="0" applyNumberFormat="1" applyFont="1" applyFill="1" applyBorder="1" applyAlignment="1">
      <alignment horizontal="center"/>
    </xf>
    <xf numFmtId="44" fontId="0" fillId="8" borderId="128" xfId="0" applyNumberFormat="1" applyFill="1" applyBorder="1" applyAlignment="1">
      <alignment horizontal="center"/>
    </xf>
    <xf numFmtId="44" fontId="0" fillId="8" borderId="91" xfId="0" applyNumberFormat="1" applyFill="1" applyBorder="1" applyAlignment="1">
      <alignment horizontal="center"/>
    </xf>
    <xf numFmtId="44" fontId="0" fillId="8" borderId="132" xfId="0" applyNumberFormat="1" applyFill="1" applyBorder="1" applyAlignment="1">
      <alignment horizontal="center"/>
    </xf>
    <xf numFmtId="44" fontId="0" fillId="8" borderId="122" xfId="0" applyNumberFormat="1" applyFill="1" applyBorder="1" applyAlignment="1">
      <alignment horizontal="center"/>
    </xf>
    <xf numFmtId="44" fontId="0" fillId="8" borderId="135" xfId="0" applyNumberFormat="1" applyFill="1" applyBorder="1" applyAlignment="1">
      <alignment horizontal="center"/>
    </xf>
    <xf numFmtId="166" fontId="0" fillId="8" borderId="0" xfId="0" applyNumberFormat="1" applyFill="1" applyAlignment="1">
      <alignment horizontal="center"/>
    </xf>
    <xf numFmtId="166" fontId="22" fillId="8" borderId="116" xfId="0" applyNumberFormat="1" applyFont="1" applyFill="1" applyBorder="1" applyAlignment="1">
      <alignment horizontal="center"/>
    </xf>
    <xf numFmtId="166" fontId="0" fillId="8" borderId="2" xfId="0" applyNumberFormat="1" applyFill="1" applyBorder="1" applyAlignment="1">
      <alignment horizontal="center"/>
    </xf>
    <xf numFmtId="166" fontId="0" fillId="8" borderId="128" xfId="0" applyNumberFormat="1" applyFill="1" applyBorder="1" applyAlignment="1">
      <alignment horizontal="center"/>
    </xf>
    <xf numFmtId="166" fontId="0" fillId="8" borderId="91" xfId="0" applyNumberFormat="1" applyFill="1" applyBorder="1" applyAlignment="1">
      <alignment horizontal="center"/>
    </xf>
    <xf numFmtId="166" fontId="0" fillId="8" borderId="132" xfId="0" applyNumberFormat="1" applyFill="1" applyBorder="1" applyAlignment="1">
      <alignment horizontal="center"/>
    </xf>
    <xf numFmtId="166" fontId="0" fillId="8" borderId="122" xfId="0" applyNumberFormat="1" applyFill="1" applyBorder="1" applyAlignment="1">
      <alignment horizontal="center"/>
    </xf>
    <xf numFmtId="166" fontId="0" fillId="8" borderId="135" xfId="0" applyNumberFormat="1" applyFill="1" applyBorder="1" applyAlignment="1">
      <alignment horizontal="center"/>
    </xf>
    <xf numFmtId="166" fontId="0" fillId="8" borderId="0" xfId="3" applyNumberFormat="1" applyFont="1" applyFill="1" applyAlignment="1">
      <alignment horizontal="center"/>
    </xf>
    <xf numFmtId="166" fontId="22" fillId="8" borderId="116" xfId="3" applyNumberFormat="1" applyFont="1" applyFill="1" applyBorder="1" applyAlignment="1">
      <alignment horizontal="center"/>
    </xf>
    <xf numFmtId="166" fontId="0" fillId="8" borderId="122" xfId="3" applyNumberFormat="1" applyFont="1" applyFill="1" applyBorder="1" applyAlignment="1">
      <alignment horizontal="center"/>
    </xf>
    <xf numFmtId="166" fontId="0" fillId="8" borderId="91" xfId="3" applyNumberFormat="1" applyFont="1" applyFill="1" applyBorder="1" applyAlignment="1">
      <alignment horizontal="center"/>
    </xf>
    <xf numFmtId="166" fontId="0" fillId="8" borderId="132" xfId="3" applyNumberFormat="1" applyFont="1" applyFill="1" applyBorder="1" applyAlignment="1">
      <alignment horizontal="center"/>
    </xf>
    <xf numFmtId="166" fontId="0" fillId="8" borderId="2" xfId="3" applyNumberFormat="1" applyFont="1" applyFill="1" applyBorder="1" applyAlignment="1">
      <alignment horizontal="center"/>
    </xf>
    <xf numFmtId="166" fontId="0" fillId="8" borderId="135" xfId="3" applyNumberFormat="1" applyFont="1" applyFill="1" applyBorder="1" applyAlignment="1">
      <alignment horizontal="center"/>
    </xf>
    <xf numFmtId="0" fontId="0" fillId="12" borderId="99" xfId="0" applyFill="1" applyBorder="1"/>
    <xf numFmtId="0" fontId="0" fillId="17" borderId="99" xfId="0" applyFill="1" applyBorder="1"/>
    <xf numFmtId="0" fontId="23" fillId="0" borderId="0" xfId="4"/>
    <xf numFmtId="0" fontId="23" fillId="0" borderId="0" xfId="4" applyAlignment="1">
      <alignment horizontal="center"/>
    </xf>
    <xf numFmtId="3" fontId="24" fillId="0" borderId="0" xfId="4" applyNumberFormat="1" applyFont="1" applyAlignment="1">
      <alignment horizontal="center"/>
    </xf>
    <xf numFmtId="0" fontId="24" fillId="0" borderId="0" xfId="4" applyFont="1"/>
    <xf numFmtId="0" fontId="24" fillId="0" borderId="0" xfId="4" applyFont="1" applyAlignment="1">
      <alignment horizontal="center"/>
    </xf>
    <xf numFmtId="0" fontId="25" fillId="0" borderId="0" xfId="4" applyFont="1" applyAlignment="1">
      <alignment horizontal="center"/>
    </xf>
    <xf numFmtId="0" fontId="25" fillId="0" borderId="0" xfId="4" applyFont="1"/>
    <xf numFmtId="44" fontId="0" fillId="8" borderId="0" xfId="1" applyFont="1" applyFill="1" applyBorder="1"/>
    <xf numFmtId="0" fontId="0" fillId="0" borderId="143" xfId="0" applyBorder="1"/>
    <xf numFmtId="0" fontId="0" fillId="0" borderId="144" xfId="0" applyBorder="1"/>
    <xf numFmtId="43" fontId="0" fillId="0" borderId="143" xfId="2" applyFont="1" applyBorder="1"/>
    <xf numFmtId="44" fontId="0" fillId="14" borderId="143" xfId="1" applyFont="1" applyFill="1" applyBorder="1"/>
    <xf numFmtId="44" fontId="0" fillId="8" borderId="143" xfId="1" applyFont="1" applyFill="1" applyBorder="1"/>
    <xf numFmtId="0" fontId="0" fillId="0" borderId="145" xfId="0" applyBorder="1"/>
    <xf numFmtId="43" fontId="0" fillId="0" borderId="145" xfId="2" applyFont="1" applyBorder="1"/>
    <xf numFmtId="44" fontId="0" fillId="14" borderId="145" xfId="1" applyFont="1" applyFill="1" applyBorder="1"/>
    <xf numFmtId="44" fontId="0" fillId="8" borderId="145" xfId="1" applyFont="1" applyFill="1" applyBorder="1"/>
    <xf numFmtId="43" fontId="0" fillId="0" borderId="0" xfId="2" applyFont="1" applyBorder="1"/>
    <xf numFmtId="44" fontId="0" fillId="14" borderId="0" xfId="1" applyFont="1" applyFill="1" applyBorder="1"/>
    <xf numFmtId="0" fontId="0" fillId="12" borderId="143" xfId="0" applyFill="1" applyBorder="1"/>
    <xf numFmtId="0" fontId="0" fillId="12" borderId="145" xfId="0" applyFill="1" applyBorder="1"/>
    <xf numFmtId="43" fontId="0" fillId="0" borderId="0" xfId="2" applyFont="1" applyFill="1" applyBorder="1"/>
    <xf numFmtId="44" fontId="0" fillId="0" borderId="0" xfId="1" applyFont="1" applyFill="1" applyBorder="1"/>
    <xf numFmtId="0" fontId="0" fillId="12" borderId="0" xfId="0" applyFill="1"/>
    <xf numFmtId="0" fontId="3" fillId="14" borderId="11" xfId="0" applyFont="1" applyFill="1" applyBorder="1" applyAlignment="1">
      <alignment horizontal="center" vertical="center"/>
    </xf>
    <xf numFmtId="0" fontId="26" fillId="11" borderId="1" xfId="0" applyFont="1" applyFill="1" applyBorder="1"/>
    <xf numFmtId="0" fontId="27" fillId="11" borderId="2" xfId="0" applyFont="1" applyFill="1" applyBorder="1"/>
    <xf numFmtId="0" fontId="28" fillId="11" borderId="3" xfId="0" applyFont="1" applyFill="1" applyBorder="1"/>
    <xf numFmtId="0" fontId="11" fillId="12" borderId="1" xfId="0" applyFont="1" applyFill="1" applyBorder="1"/>
    <xf numFmtId="0" fontId="2" fillId="4" borderId="147" xfId="0" applyFont="1" applyFill="1" applyBorder="1" applyAlignment="1">
      <alignment vertical="center"/>
    </xf>
    <xf numFmtId="0" fontId="3" fillId="0" borderId="148" xfId="0" applyFont="1" applyBorder="1" applyAlignment="1">
      <alignment horizontal="center" vertical="center"/>
    </xf>
    <xf numFmtId="10" fontId="3" fillId="0" borderId="148" xfId="3" applyNumberFormat="1" applyFont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vertical="center"/>
    </xf>
    <xf numFmtId="164" fontId="6" fillId="5" borderId="6" xfId="0" applyNumberFormat="1" applyFont="1" applyFill="1" applyBorder="1" applyAlignment="1">
      <alignment horizontal="right"/>
    </xf>
    <xf numFmtId="0" fontId="29" fillId="11" borderId="3" xfId="0" applyFont="1" applyFill="1" applyBorder="1" applyAlignment="1">
      <alignment horizontal="center"/>
    </xf>
    <xf numFmtId="0" fontId="29" fillId="11" borderId="146" xfId="0" applyFont="1" applyFill="1" applyBorder="1" applyAlignment="1">
      <alignment horizontal="center"/>
    </xf>
    <xf numFmtId="164" fontId="29" fillId="11" borderId="3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0" borderId="149" xfId="0" applyFont="1" applyBorder="1" applyAlignment="1">
      <alignment horizontal="center" vertical="center"/>
    </xf>
    <xf numFmtId="0" fontId="1" fillId="0" borderId="150" xfId="0" applyFont="1" applyBorder="1" applyAlignment="1">
      <alignment horizontal="center" vertical="center"/>
    </xf>
    <xf numFmtId="0" fontId="3" fillId="0" borderId="151" xfId="0" applyFont="1" applyBorder="1" applyAlignment="1">
      <alignment horizontal="center" vertical="center"/>
    </xf>
    <xf numFmtId="44" fontId="8" fillId="0" borderId="152" xfId="1" applyFont="1" applyBorder="1" applyAlignment="1">
      <alignment horizontal="right" vertical="center"/>
    </xf>
    <xf numFmtId="0" fontId="2" fillId="6" borderId="7" xfId="0" applyFont="1" applyFill="1" applyBorder="1" applyAlignment="1">
      <alignment horizontal="left"/>
    </xf>
    <xf numFmtId="0" fontId="2" fillId="6" borderId="0" xfId="0" applyFont="1" applyFill="1" applyAlignment="1">
      <alignment horizontal="left"/>
    </xf>
    <xf numFmtId="0" fontId="2" fillId="6" borderId="0" xfId="0" applyFont="1" applyFill="1" applyAlignment="1">
      <alignment horizontal="center"/>
    </xf>
    <xf numFmtId="44" fontId="8" fillId="6" borderId="8" xfId="1" applyFont="1" applyFill="1" applyBorder="1" applyAlignment="1">
      <alignment horizontal="left"/>
    </xf>
    <xf numFmtId="0" fontId="3" fillId="0" borderId="29" xfId="0" applyFont="1" applyBorder="1" applyAlignment="1">
      <alignment horizontal="center"/>
    </xf>
    <xf numFmtId="44" fontId="8" fillId="8" borderId="76" xfId="1" applyFont="1" applyFill="1" applyBorder="1" applyAlignment="1">
      <alignment horizontal="left"/>
    </xf>
    <xf numFmtId="44" fontId="1" fillId="8" borderId="76" xfId="1" applyFont="1" applyFill="1" applyBorder="1" applyAlignment="1">
      <alignment horizontal="left" vertical="center"/>
    </xf>
    <xf numFmtId="44" fontId="8" fillId="0" borderId="76" xfId="1" applyFont="1" applyBorder="1" applyAlignment="1">
      <alignment horizontal="left"/>
    </xf>
    <xf numFmtId="0" fontId="3" fillId="0" borderId="153" xfId="0" applyFont="1" applyBorder="1" applyAlignment="1">
      <alignment horizontal="center"/>
    </xf>
    <xf numFmtId="0" fontId="1" fillId="0" borderId="154" xfId="0" applyFont="1" applyBorder="1" applyAlignment="1">
      <alignment horizontal="center"/>
    </xf>
    <xf numFmtId="0" fontId="3" fillId="0" borderId="154" xfId="0" applyFont="1" applyBorder="1" applyAlignment="1">
      <alignment horizontal="center"/>
    </xf>
    <xf numFmtId="0" fontId="3" fillId="0" borderId="155" xfId="0" applyFont="1" applyBorder="1" applyAlignment="1">
      <alignment horizontal="center"/>
    </xf>
    <xf numFmtId="44" fontId="8" fillId="0" borderId="156" xfId="1" applyFont="1" applyBorder="1" applyAlignment="1">
      <alignment horizontal="left"/>
    </xf>
    <xf numFmtId="0" fontId="0" fillId="18" borderId="99" xfId="0" applyFill="1" applyBorder="1"/>
    <xf numFmtId="0" fontId="0" fillId="11" borderId="143" xfId="0" applyFill="1" applyBorder="1"/>
    <xf numFmtId="0" fontId="0" fillId="11" borderId="99" xfId="0" applyFill="1" applyBorder="1"/>
    <xf numFmtId="0" fontId="0" fillId="19" borderId="99" xfId="0" applyFill="1" applyBorder="1"/>
    <xf numFmtId="0" fontId="0" fillId="18" borderId="98" xfId="0" applyFill="1" applyBorder="1"/>
    <xf numFmtId="0" fontId="0" fillId="20" borderId="98" xfId="0" applyFill="1" applyBorder="1"/>
    <xf numFmtId="0" fontId="21" fillId="0" borderId="0" xfId="0" applyFont="1" applyAlignment="1">
      <alignment horizontal="left"/>
    </xf>
    <xf numFmtId="0" fontId="22" fillId="0" borderId="115" xfId="0" applyFont="1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2" xfId="0" applyBorder="1"/>
    <xf numFmtId="0" fontId="0" fillId="0" borderId="135" xfId="0" applyBorder="1" applyAlignment="1">
      <alignment horizontal="center"/>
    </xf>
    <xf numFmtId="0" fontId="0" fillId="0" borderId="127" xfId="0" applyBorder="1" applyAlignment="1">
      <alignment horizontal="center"/>
    </xf>
    <xf numFmtId="0" fontId="0" fillId="0" borderId="130" xfId="0" applyBorder="1" applyAlignment="1">
      <alignment horizontal="center"/>
    </xf>
    <xf numFmtId="0" fontId="30" fillId="8" borderId="0" xfId="0" applyFont="1" applyFill="1" applyAlignment="1">
      <alignment horizontal="left"/>
    </xf>
    <xf numFmtId="0" fontId="31" fillId="8" borderId="91" xfId="0" applyFont="1" applyFill="1" applyBorder="1" applyAlignment="1">
      <alignment horizontal="center"/>
    </xf>
    <xf numFmtId="0" fontId="32" fillId="8" borderId="135" xfId="0" applyFont="1" applyFill="1" applyBorder="1" applyAlignment="1">
      <alignment horizontal="center"/>
    </xf>
    <xf numFmtId="0" fontId="0" fillId="16" borderId="1" xfId="0" applyFill="1" applyBorder="1"/>
    <xf numFmtId="0" fontId="0" fillId="16" borderId="2" xfId="0" applyFill="1" applyBorder="1"/>
    <xf numFmtId="0" fontId="0" fillId="16" borderId="2" xfId="0" applyFill="1" applyBorder="1" applyAlignment="1">
      <alignment horizontal="center"/>
    </xf>
    <xf numFmtId="44" fontId="0" fillId="16" borderId="2" xfId="0" applyNumberFormat="1" applyFill="1" applyBorder="1" applyAlignment="1">
      <alignment horizontal="center"/>
    </xf>
    <xf numFmtId="166" fontId="0" fillId="16" borderId="2" xfId="0" applyNumberFormat="1" applyFill="1" applyBorder="1" applyAlignment="1">
      <alignment horizontal="center"/>
    </xf>
    <xf numFmtId="165" fontId="0" fillId="16" borderId="3" xfId="0" applyNumberFormat="1" applyFill="1" applyBorder="1" applyAlignment="1">
      <alignment horizontal="right"/>
    </xf>
    <xf numFmtId="0" fontId="0" fillId="16" borderId="3" xfId="0" applyFill="1" applyBorder="1" applyAlignment="1">
      <alignment horizontal="center"/>
    </xf>
    <xf numFmtId="166" fontId="0" fillId="16" borderId="2" xfId="3" applyNumberFormat="1" applyFont="1" applyFill="1" applyBorder="1" applyAlignment="1">
      <alignment horizontal="center"/>
    </xf>
    <xf numFmtId="44" fontId="10" fillId="16" borderId="3" xfId="1" applyFont="1" applyFill="1" applyBorder="1" applyAlignment="1">
      <alignment horizontal="center"/>
    </xf>
    <xf numFmtId="44" fontId="10" fillId="0" borderId="91" xfId="1" applyFont="1" applyBorder="1" applyAlignment="1">
      <alignment horizontal="center"/>
    </xf>
    <xf numFmtId="0" fontId="0" fillId="11" borderId="119" xfId="0" applyFill="1" applyBorder="1"/>
    <xf numFmtId="0" fontId="0" fillId="11" borderId="119" xfId="0" applyFill="1" applyBorder="1" applyAlignment="1">
      <alignment horizontal="center"/>
    </xf>
    <xf numFmtId="44" fontId="0" fillId="11" borderId="119" xfId="0" applyNumberFormat="1" applyFill="1" applyBorder="1" applyAlignment="1">
      <alignment horizontal="center"/>
    </xf>
    <xf numFmtId="166" fontId="0" fillId="11" borderId="119" xfId="0" applyNumberFormat="1" applyFill="1" applyBorder="1" applyAlignment="1">
      <alignment horizontal="center"/>
    </xf>
    <xf numFmtId="0" fontId="0" fillId="11" borderId="120" xfId="0" applyFill="1" applyBorder="1" applyAlignment="1">
      <alignment horizontal="center"/>
    </xf>
    <xf numFmtId="0" fontId="33" fillId="11" borderId="118" xfId="0" applyFont="1" applyFill="1" applyBorder="1"/>
    <xf numFmtId="0" fontId="18" fillId="8" borderId="0" xfId="0" applyFont="1" applyFill="1"/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vertical="center"/>
    </xf>
    <xf numFmtId="0" fontId="2" fillId="4" borderId="7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vertical="center"/>
    </xf>
  </cellXfs>
  <cellStyles count="5">
    <cellStyle name="Millares" xfId="2" builtinId="3"/>
    <cellStyle name="Moneda" xfId="1" builtinId="4"/>
    <cellStyle name="Normal" xfId="0" builtinId="0"/>
    <cellStyle name="Normal 2" xfId="4" xr:uid="{00000000-0005-0000-0000-000003000000}"/>
    <cellStyle name="Porcentaje" xfId="3" builtinId="5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BC2E6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3</xdr:col>
      <xdr:colOff>2124075</xdr:colOff>
      <xdr:row>3</xdr:row>
      <xdr:rowOff>131527</xdr:rowOff>
    </xdr:to>
    <xdr:pic>
      <xdr:nvPicPr>
        <xdr:cNvPr id="2" name="Picture 1" descr="img014">
          <a:extLst>
            <a:ext uri="{FF2B5EF4-FFF2-40B4-BE49-F238E27FC236}">
              <a16:creationId xmlns:a16="http://schemas.microsoft.com/office/drawing/2014/main" id="{4B0C9DB3-5F48-4E27-A738-BA5EAD2C4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2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4381500" cy="71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2609850</xdr:colOff>
      <xdr:row>0</xdr:row>
      <xdr:rowOff>0</xdr:rowOff>
    </xdr:from>
    <xdr:to>
      <xdr:col>8</xdr:col>
      <xdr:colOff>777127</xdr:colOff>
      <xdr:row>3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5B318A-9237-42C0-A449-99B8EDE6B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1075" y="0"/>
          <a:ext cx="777127" cy="723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CARGAS\Lista%20Roshfrans%20Actualizacion%20AGOSTO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UEVA LISTA ROSH"/>
      <sheetName val="NUEVA LISTA ROSH COPIA"/>
      <sheetName val="NUEVA LISTA ROSH COPIA (2)"/>
      <sheetName val="Aceites"/>
      <sheetName val="Grasas"/>
      <sheetName val="Aditivos"/>
      <sheetName val="Batrak 1"/>
      <sheetName val="Batrak 2"/>
      <sheetName val="Batrak 3"/>
      <sheetName val="Batrak 4"/>
      <sheetName val="Inventario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L3" t="str">
            <v>PT03400006</v>
          </cell>
          <cell r="M3" t="str">
            <v>19 L</v>
          </cell>
          <cell r="N3" t="str">
            <v>ISO VG 46</v>
          </cell>
          <cell r="O3" t="str">
            <v>CUBETA</v>
          </cell>
          <cell r="P3">
            <v>2069.04</v>
          </cell>
          <cell r="Q3">
            <v>-3.8124672252780933E-2</v>
          </cell>
          <cell r="R3">
            <v>2151.0479999999998</v>
          </cell>
          <cell r="S3">
            <v>2069.04</v>
          </cell>
        </row>
        <row r="4">
          <cell r="L4" t="str">
            <v>PT03400010</v>
          </cell>
          <cell r="M4" t="str">
            <v>200 L</v>
          </cell>
          <cell r="N4" t="str">
            <v>ISO VG 46</v>
          </cell>
          <cell r="O4" t="str">
            <v>TAMBOR</v>
          </cell>
          <cell r="P4">
            <v>21683.83</v>
          </cell>
          <cell r="Q4">
            <v>-3.7836262977154145E-2</v>
          </cell>
          <cell r="R4">
            <v>22536.527999999998</v>
          </cell>
          <cell r="S4">
            <v>21683.83</v>
          </cell>
        </row>
        <row r="5">
          <cell r="L5" t="str">
            <v>PT03400007</v>
          </cell>
          <cell r="M5" t="str">
            <v>19 L</v>
          </cell>
          <cell r="N5" t="str">
            <v>ISO VG 68</v>
          </cell>
          <cell r="O5" t="str">
            <v>CUBETA</v>
          </cell>
          <cell r="P5">
            <v>2204.4499999999998</v>
          </cell>
          <cell r="Q5">
            <v>-3.7295860169128892E-2</v>
          </cell>
          <cell r="R5">
            <v>2289.8519999999999</v>
          </cell>
          <cell r="S5">
            <v>2204.4499999999998</v>
          </cell>
        </row>
        <row r="6">
          <cell r="B6" t="str">
            <v>PT05100014</v>
          </cell>
          <cell r="C6" t="str">
            <v>19 L</v>
          </cell>
          <cell r="D6" t="str">
            <v>ISO VG 10</v>
          </cell>
          <cell r="E6" t="str">
            <v>CUBETA</v>
          </cell>
          <cell r="F6">
            <v>1813.56</v>
          </cell>
          <cell r="G6">
            <v>-3.2278720120893167E-2</v>
          </cell>
          <cell r="H6">
            <v>1874.0520000000001</v>
          </cell>
          <cell r="I6">
            <v>1813.56</v>
          </cell>
          <cell r="L6" t="str">
            <v>PT03400011</v>
          </cell>
          <cell r="M6" t="str">
            <v>200 L</v>
          </cell>
          <cell r="N6" t="str">
            <v>ISO VG 68</v>
          </cell>
          <cell r="O6" t="str">
            <v>TAMBOR</v>
          </cell>
          <cell r="P6">
            <v>23115.71</v>
          </cell>
          <cell r="Q6">
            <v>-3.7037046294454035E-2</v>
          </cell>
          <cell r="R6">
            <v>24004.775999999998</v>
          </cell>
          <cell r="S6">
            <v>23115.71</v>
          </cell>
        </row>
        <row r="7">
          <cell r="B7" t="str">
            <v>PT05100026</v>
          </cell>
          <cell r="C7" t="str">
            <v>200 L</v>
          </cell>
          <cell r="D7" t="str">
            <v>ISO VG 10</v>
          </cell>
          <cell r="E7" t="str">
            <v>TAMBOR</v>
          </cell>
          <cell r="F7">
            <v>18995.830000000002</v>
          </cell>
          <cell r="G7">
            <v>-3.1919523640618452E-2</v>
          </cell>
          <cell r="H7">
            <v>19622.16</v>
          </cell>
          <cell r="I7">
            <v>18995.830000000002</v>
          </cell>
          <cell r="L7" t="str">
            <v>PT03400008</v>
          </cell>
          <cell r="M7" t="str">
            <v>19 L</v>
          </cell>
          <cell r="N7" t="str">
            <v>ISO VG 100</v>
          </cell>
          <cell r="O7" t="str">
            <v>CUBETA</v>
          </cell>
          <cell r="P7">
            <v>2334.14</v>
          </cell>
          <cell r="Q7">
            <v>-3.6565392400632724E-2</v>
          </cell>
          <cell r="R7">
            <v>2422.7280000000001</v>
          </cell>
          <cell r="S7">
            <v>2334.14</v>
          </cell>
        </row>
        <row r="8">
          <cell r="B8" t="str">
            <v>PT05100015</v>
          </cell>
          <cell r="C8" t="str">
            <v>19 L</v>
          </cell>
          <cell r="D8" t="str">
            <v>ISO VG 15</v>
          </cell>
          <cell r="E8" t="str">
            <v>CUBETA</v>
          </cell>
          <cell r="F8">
            <v>1778.91</v>
          </cell>
          <cell r="G8">
            <v>-5.2157928388746777E-2</v>
          </cell>
          <cell r="H8">
            <v>1876.8</v>
          </cell>
          <cell r="I8">
            <v>1778.91</v>
          </cell>
          <cell r="L8" t="str">
            <v>PT03400012</v>
          </cell>
          <cell r="M8" t="str">
            <v>200 L</v>
          </cell>
          <cell r="N8" t="str">
            <v>ISO VG 100</v>
          </cell>
          <cell r="O8" t="str">
            <v>TAMBOR</v>
          </cell>
          <cell r="P8" t="str">
            <v>SIN SATOS</v>
          </cell>
          <cell r="Q8" t="str">
            <v/>
          </cell>
          <cell r="R8">
            <v>0</v>
          </cell>
          <cell r="S8" t="str">
            <v>SIN SATOS</v>
          </cell>
        </row>
        <row r="9">
          <cell r="B9" t="str">
            <v>PT05100027</v>
          </cell>
          <cell r="C9" t="str">
            <v>200 L</v>
          </cell>
          <cell r="D9" t="str">
            <v>ISO VG 15</v>
          </cell>
          <cell r="E9" t="str">
            <v>TAMBOR</v>
          </cell>
          <cell r="F9">
            <v>18639.5</v>
          </cell>
          <cell r="G9">
            <v>-5.1923436491306596E-2</v>
          </cell>
          <cell r="H9">
            <v>19660.332000000002</v>
          </cell>
          <cell r="I9">
            <v>18639.5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str">
            <v/>
          </cell>
          <cell r="R9">
            <v>0</v>
          </cell>
          <cell r="S9">
            <v>0</v>
          </cell>
        </row>
        <row r="10">
          <cell r="B10" t="str">
            <v>PT05100016</v>
          </cell>
          <cell r="C10" t="str">
            <v>19 L</v>
          </cell>
          <cell r="D10" t="str">
            <v>ISO VG 22</v>
          </cell>
          <cell r="E10" t="str">
            <v>CUBETA</v>
          </cell>
          <cell r="F10">
            <v>1803.52</v>
          </cell>
          <cell r="G10">
            <v>-6.4612831284684424E-2</v>
          </cell>
          <cell r="H10">
            <v>1928.1</v>
          </cell>
          <cell r="I10">
            <v>1803.52</v>
          </cell>
          <cell r="L10" t="str">
            <v>PT03200005</v>
          </cell>
          <cell r="M10" t="str">
            <v>19 L</v>
          </cell>
          <cell r="N10" t="str">
            <v>ISO VG 32</v>
          </cell>
          <cell r="O10" t="str">
            <v>CUBETA</v>
          </cell>
          <cell r="P10">
            <v>1992.84</v>
          </cell>
          <cell r="Q10">
            <v>-3.539648242373572E-2</v>
          </cell>
          <cell r="R10">
            <v>2065.9680000000003</v>
          </cell>
          <cell r="S10">
            <v>1992.84</v>
          </cell>
        </row>
        <row r="11">
          <cell r="B11" t="str">
            <v>PT05100028</v>
          </cell>
          <cell r="C11" t="str">
            <v>200 L</v>
          </cell>
          <cell r="D11" t="str">
            <v>ISO VG 22</v>
          </cell>
          <cell r="E11" t="str">
            <v>TAMBOR</v>
          </cell>
          <cell r="F11">
            <v>18895.45</v>
          </cell>
          <cell r="G11">
            <v>-6.443699510756018E-2</v>
          </cell>
          <cell r="H11">
            <v>20196.876</v>
          </cell>
          <cell r="I11">
            <v>18895.45</v>
          </cell>
          <cell r="L11" t="str">
            <v>PT03200009</v>
          </cell>
          <cell r="M11" t="str">
            <v>200 L</v>
          </cell>
          <cell r="N11" t="str">
            <v>ISO VG 32</v>
          </cell>
          <cell r="O11" t="str">
            <v>TAMBOR</v>
          </cell>
          <cell r="P11">
            <v>20888.259999999998</v>
          </cell>
          <cell r="Q11">
            <v>-3.5101042436363694E-2</v>
          </cell>
          <cell r="R11">
            <v>21648.132000000001</v>
          </cell>
          <cell r="S11">
            <v>20888.259999999998</v>
          </cell>
        </row>
        <row r="12">
          <cell r="B12" t="str">
            <v>PT05100017</v>
          </cell>
          <cell r="C12" t="str">
            <v>19 L</v>
          </cell>
          <cell r="D12" t="str">
            <v>ISO VG 32</v>
          </cell>
          <cell r="E12" t="str">
            <v>CUBETA</v>
          </cell>
          <cell r="F12">
            <v>1862.75</v>
          </cell>
          <cell r="G12">
            <v>-6.3598396190752027E-2</v>
          </cell>
          <cell r="H12">
            <v>1989.2640000000001</v>
          </cell>
          <cell r="I12">
            <v>1862.75</v>
          </cell>
          <cell r="L12" t="str">
            <v>PT03200006</v>
          </cell>
          <cell r="M12" t="str">
            <v>19 L</v>
          </cell>
          <cell r="N12" t="str">
            <v>ISO VG 46</v>
          </cell>
          <cell r="O12" t="str">
            <v>CUBETA</v>
          </cell>
          <cell r="P12">
            <v>2078.0300000000002</v>
          </cell>
          <cell r="Q12">
            <v>-3.8007862482477894E-2</v>
          </cell>
          <cell r="R12">
            <v>2160.1320000000001</v>
          </cell>
          <cell r="S12">
            <v>2078.0300000000002</v>
          </cell>
        </row>
        <row r="13">
          <cell r="B13" t="str">
            <v>PT05100029</v>
          </cell>
          <cell r="C13" t="str">
            <v>200 L</v>
          </cell>
          <cell r="D13" t="str">
            <v>ISO VG 32</v>
          </cell>
          <cell r="E13" t="str">
            <v>TAMBOR</v>
          </cell>
          <cell r="F13">
            <v>19518.96</v>
          </cell>
          <cell r="G13">
            <v>-6.3421094301055247E-2</v>
          </cell>
          <cell r="H13">
            <v>20840.7</v>
          </cell>
          <cell r="I13">
            <v>19518.96</v>
          </cell>
          <cell r="L13" t="str">
            <v>PT03200010</v>
          </cell>
          <cell r="M13" t="str">
            <v>200 L</v>
          </cell>
          <cell r="N13" t="str">
            <v>ISO VG 46</v>
          </cell>
          <cell r="O13" t="str">
            <v>TAMBOR</v>
          </cell>
          <cell r="P13">
            <v>21784.97</v>
          </cell>
          <cell r="Q13">
            <v>-3.7738971020200296E-2</v>
          </cell>
          <cell r="R13">
            <v>22639.356</v>
          </cell>
          <cell r="S13">
            <v>21784.97</v>
          </cell>
        </row>
        <row r="14">
          <cell r="B14" t="str">
            <v>PT05100018</v>
          </cell>
          <cell r="C14" t="str">
            <v>19 L</v>
          </cell>
          <cell r="D14" t="str">
            <v>ISO VG 46</v>
          </cell>
          <cell r="E14" t="str">
            <v>CUBETA</v>
          </cell>
          <cell r="F14">
            <v>1929.12</v>
          </cell>
          <cell r="G14">
            <v>-6.2459905522832204E-2</v>
          </cell>
          <cell r="H14">
            <v>2057.6400000000003</v>
          </cell>
          <cell r="I14">
            <v>1929.12</v>
          </cell>
          <cell r="L14" t="str">
            <v>PT03200007</v>
          </cell>
          <cell r="M14" t="str">
            <v>19 L</v>
          </cell>
          <cell r="N14" t="str">
            <v>ISO VG 68</v>
          </cell>
          <cell r="O14" t="str">
            <v>CUBETA</v>
          </cell>
          <cell r="P14">
            <v>2222.61</v>
          </cell>
          <cell r="Q14">
            <v>-3.7000738299000524E-2</v>
          </cell>
          <cell r="R14">
            <v>2308.0079999999998</v>
          </cell>
          <cell r="S14">
            <v>2222.61</v>
          </cell>
        </row>
        <row r="15">
          <cell r="B15" t="str">
            <v>PT05100030</v>
          </cell>
          <cell r="C15" t="str">
            <v>200 L</v>
          </cell>
          <cell r="D15" t="str">
            <v>ISO VG 46</v>
          </cell>
          <cell r="E15" t="str">
            <v>TAMBOR</v>
          </cell>
          <cell r="F15" t="str">
            <v>SIN DATOS</v>
          </cell>
          <cell r="G15" t="str">
            <v/>
          </cell>
          <cell r="H15">
            <v>0</v>
          </cell>
          <cell r="I15" t="str">
            <v>SIN DATOS</v>
          </cell>
          <cell r="L15" t="str">
            <v>PT03200011</v>
          </cell>
          <cell r="M15" t="str">
            <v>200 L</v>
          </cell>
          <cell r="N15" t="str">
            <v>ISO VG 68</v>
          </cell>
          <cell r="O15" t="str">
            <v>TAMBOR</v>
          </cell>
          <cell r="P15">
            <v>23306.79</v>
          </cell>
          <cell r="Q15">
            <v>-3.6744875074516847E-2</v>
          </cell>
          <cell r="R15">
            <v>24195.864000000001</v>
          </cell>
          <cell r="S15">
            <v>23306.79</v>
          </cell>
        </row>
        <row r="16">
          <cell r="B16" t="str">
            <v>PT05100019</v>
          </cell>
          <cell r="C16" t="str">
            <v>19 L</v>
          </cell>
          <cell r="D16" t="str">
            <v>ISO VG 68</v>
          </cell>
          <cell r="E16" t="str">
            <v>CUBETA</v>
          </cell>
          <cell r="F16">
            <v>1959.58</v>
          </cell>
          <cell r="G16">
            <v>-5.8142374028380961E-2</v>
          </cell>
          <cell r="H16">
            <v>2080.5479999999998</v>
          </cell>
          <cell r="I16">
            <v>1959.58</v>
          </cell>
          <cell r="L16" t="str">
            <v>PT03200008</v>
          </cell>
          <cell r="M16" t="str">
            <v>19 L</v>
          </cell>
          <cell r="N16" t="str">
            <v>ISO VG 100</v>
          </cell>
          <cell r="O16" t="str">
            <v>CUBETA</v>
          </cell>
          <cell r="P16">
            <v>2345.37</v>
          </cell>
          <cell r="Q16">
            <v>-3.6449731563145571E-2</v>
          </cell>
          <cell r="R16">
            <v>2434.0920000000001</v>
          </cell>
          <cell r="S16">
            <v>2345.37</v>
          </cell>
        </row>
        <row r="17">
          <cell r="B17" t="str">
            <v>PT05100031</v>
          </cell>
          <cell r="C17" t="str">
            <v>200 L</v>
          </cell>
          <cell r="D17" t="str">
            <v>ISO VG 68</v>
          </cell>
          <cell r="E17" t="str">
            <v>TAMBOR</v>
          </cell>
          <cell r="F17">
            <v>20538.099999999999</v>
          </cell>
          <cell r="G17">
            <v>-5.7955499094929919E-2</v>
          </cell>
          <cell r="H17">
            <v>21801.624</v>
          </cell>
          <cell r="I17">
            <v>20538.099999999999</v>
          </cell>
          <cell r="L17" t="str">
            <v>PT03200012</v>
          </cell>
          <cell r="M17" t="str">
            <v>200 L</v>
          </cell>
          <cell r="N17" t="str">
            <v>ISO VG 100</v>
          </cell>
          <cell r="O17" t="str">
            <v>TAMBOR</v>
          </cell>
          <cell r="P17" t="str">
            <v>SIN SATOS</v>
          </cell>
          <cell r="Q17" t="str">
            <v/>
          </cell>
          <cell r="R17">
            <v>0</v>
          </cell>
          <cell r="S17" t="str">
            <v>SIN SATOS</v>
          </cell>
        </row>
        <row r="18">
          <cell r="B18" t="str">
            <v>PT05100020</v>
          </cell>
          <cell r="C18" t="str">
            <v>19 L</v>
          </cell>
          <cell r="D18" t="str">
            <v>ISO VG 100</v>
          </cell>
          <cell r="E18" t="str">
            <v>CUBETA</v>
          </cell>
          <cell r="F18">
            <v>1960.8</v>
          </cell>
          <cell r="G18">
            <v>-5.3899912569698061E-2</v>
          </cell>
          <cell r="H18">
            <v>2072.5079999999998</v>
          </cell>
          <cell r="I18">
            <v>1960.8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str">
            <v/>
          </cell>
          <cell r="R18">
            <v>0</v>
          </cell>
          <cell r="S18">
            <v>0</v>
          </cell>
        </row>
        <row r="19">
          <cell r="B19" t="str">
            <v>PT05100032</v>
          </cell>
          <cell r="C19" t="str">
            <v>200 L</v>
          </cell>
          <cell r="D19" t="str">
            <v>ISO VG 100</v>
          </cell>
          <cell r="E19" t="str">
            <v>TAMBOR</v>
          </cell>
          <cell r="F19">
            <v>20550.84</v>
          </cell>
          <cell r="G19">
            <v>-5.3693318546687019E-2</v>
          </cell>
          <cell r="H19">
            <v>21716.892</v>
          </cell>
          <cell r="I19">
            <v>20550.84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str">
            <v/>
          </cell>
          <cell r="R19">
            <v>0</v>
          </cell>
          <cell r="S19">
            <v>0</v>
          </cell>
        </row>
        <row r="20">
          <cell r="B20" t="str">
            <v>PT05100021</v>
          </cell>
          <cell r="C20" t="str">
            <v>19 L</v>
          </cell>
          <cell r="D20" t="str">
            <v>ISO VG 150</v>
          </cell>
          <cell r="E20" t="str">
            <v>CUBETA</v>
          </cell>
          <cell r="F20">
            <v>1974.46</v>
          </cell>
          <cell r="G20">
            <v>-5.2787820173317734E-2</v>
          </cell>
          <cell r="H20">
            <v>2084.4960000000001</v>
          </cell>
          <cell r="I20">
            <v>1974.46</v>
          </cell>
          <cell r="L20" t="str">
            <v>PT00800013</v>
          </cell>
          <cell r="M20" t="str">
            <v>19 L</v>
          </cell>
          <cell r="N20" t="str">
            <v>ISO VG 10</v>
          </cell>
          <cell r="O20" t="str">
            <v>CUBETA</v>
          </cell>
          <cell r="P20">
            <v>1838.79</v>
          </cell>
          <cell r="Q20">
            <v>-3.16694471828316E-2</v>
          </cell>
          <cell r="R20">
            <v>1898.9280000000001</v>
          </cell>
          <cell r="S20">
            <v>1838.79</v>
          </cell>
        </row>
        <row r="21">
          <cell r="B21" t="str">
            <v>PT05100033</v>
          </cell>
          <cell r="C21" t="str">
            <v>200 L</v>
          </cell>
          <cell r="D21" t="str">
            <v>ISO VG 150</v>
          </cell>
          <cell r="E21" t="str">
            <v>TAMBOR</v>
          </cell>
          <cell r="F21">
            <v>20694.59</v>
          </cell>
          <cell r="G21">
            <v>-5.2577214998867361E-2</v>
          </cell>
          <cell r="H21">
            <v>21843.036</v>
          </cell>
          <cell r="I21">
            <v>20694.59</v>
          </cell>
          <cell r="L21" t="str">
            <v>PT00800025</v>
          </cell>
          <cell r="M21" t="str">
            <v>200 L</v>
          </cell>
          <cell r="N21" t="str">
            <v>ISO VG 10</v>
          </cell>
          <cell r="O21" t="str">
            <v>TAMBOR</v>
          </cell>
          <cell r="P21">
            <v>19266.52</v>
          </cell>
          <cell r="Q21">
            <v>-3.1334132539034609E-2</v>
          </cell>
          <cell r="R21">
            <v>19889.748</v>
          </cell>
          <cell r="S21">
            <v>19266.52</v>
          </cell>
        </row>
        <row r="22">
          <cell r="B22" t="str">
            <v>PT05100022</v>
          </cell>
          <cell r="C22" t="str">
            <v>19 L</v>
          </cell>
          <cell r="D22" t="str">
            <v>ISO VG 220</v>
          </cell>
          <cell r="E22" t="str">
            <v>CUBETA</v>
          </cell>
          <cell r="F22">
            <v>1975.26</v>
          </cell>
          <cell r="G22">
            <v>-5.361896384198328E-2</v>
          </cell>
          <cell r="H22">
            <v>2087.172</v>
          </cell>
          <cell r="I22">
            <v>1975.26</v>
          </cell>
          <cell r="L22" t="str">
            <v>PT00800014</v>
          </cell>
          <cell r="M22" t="str">
            <v>19 L</v>
          </cell>
          <cell r="N22" t="str">
            <v>ISO VG 15</v>
          </cell>
          <cell r="O22" t="str">
            <v>CUBETA</v>
          </cell>
          <cell r="P22">
            <v>1794.67</v>
          </cell>
          <cell r="Q22">
            <v>-5.3665702757371148E-2</v>
          </cell>
          <cell r="R22">
            <v>1896.444</v>
          </cell>
          <cell r="S22">
            <v>1794.67</v>
          </cell>
        </row>
        <row r="23">
          <cell r="B23" t="str">
            <v>PT05100034</v>
          </cell>
          <cell r="C23" t="str">
            <v>200 L</v>
          </cell>
          <cell r="D23" t="str">
            <v>ISO VG 220</v>
          </cell>
          <cell r="E23" t="str">
            <v>TAMBOR</v>
          </cell>
          <cell r="F23">
            <v>20703.240000000002</v>
          </cell>
          <cell r="G23">
            <v>-5.3406408066677957E-2</v>
          </cell>
          <cell r="H23">
            <v>21871.308000000001</v>
          </cell>
          <cell r="I23">
            <v>20703.240000000002</v>
          </cell>
          <cell r="L23" t="str">
            <v>PT00800026</v>
          </cell>
          <cell r="M23" t="str">
            <v>200 L</v>
          </cell>
          <cell r="N23" t="str">
            <v>ISO VG 15</v>
          </cell>
          <cell r="O23" t="str">
            <v>TAMBOR</v>
          </cell>
          <cell r="P23">
            <v>18802.23</v>
          </cell>
          <cell r="Q23">
            <v>-5.3433484302854772E-2</v>
          </cell>
          <cell r="R23">
            <v>19863.611999999997</v>
          </cell>
          <cell r="S23">
            <v>18802.23</v>
          </cell>
        </row>
        <row r="24">
          <cell r="B24" t="str">
            <v>PT05100023</v>
          </cell>
          <cell r="C24" t="str">
            <v>19 L</v>
          </cell>
          <cell r="D24" t="str">
            <v>ISO VG 320</v>
          </cell>
          <cell r="E24" t="str">
            <v>CUBETA</v>
          </cell>
          <cell r="F24">
            <v>1976.44</v>
          </cell>
          <cell r="G24">
            <v>-5.4363885507812348E-2</v>
          </cell>
          <cell r="H24">
            <v>2090.0640000000003</v>
          </cell>
          <cell r="I24">
            <v>1976.44</v>
          </cell>
          <cell r="L24" t="str">
            <v>PT00800015</v>
          </cell>
          <cell r="M24" t="str">
            <v>19 L</v>
          </cell>
          <cell r="N24" t="str">
            <v>ISO VG 22</v>
          </cell>
          <cell r="O24" t="str">
            <v>CUBETA</v>
          </cell>
          <cell r="P24">
            <v>1814.3</v>
          </cell>
          <cell r="Q24">
            <v>-6.3996764254922289E-2</v>
          </cell>
          <cell r="R24">
            <v>1938.348</v>
          </cell>
          <cell r="S24">
            <v>1814.3</v>
          </cell>
        </row>
        <row r="25">
          <cell r="B25" t="str">
            <v>PT05100035</v>
          </cell>
          <cell r="C25" t="str">
            <v>200 L</v>
          </cell>
          <cell r="D25" t="str">
            <v>ISO VG 320</v>
          </cell>
          <cell r="E25" t="str">
            <v>TAMBOR</v>
          </cell>
          <cell r="F25" t="str">
            <v>SIN DATOS</v>
          </cell>
          <cell r="G25" t="str">
            <v/>
          </cell>
          <cell r="H25">
            <v>0</v>
          </cell>
          <cell r="I25" t="str">
            <v>SIN DATOS</v>
          </cell>
          <cell r="L25" t="str">
            <v>PT00800027</v>
          </cell>
          <cell r="M25" t="str">
            <v>200 L</v>
          </cell>
          <cell r="N25" t="str">
            <v>ISO VG 22</v>
          </cell>
          <cell r="O25" t="str">
            <v>TAMBOR</v>
          </cell>
          <cell r="P25">
            <v>19008.73</v>
          </cell>
          <cell r="Q25">
            <v>-6.3825371525112251E-2</v>
          </cell>
          <cell r="R25">
            <v>20304.684000000001</v>
          </cell>
          <cell r="S25">
            <v>19008.73</v>
          </cell>
        </row>
        <row r="26">
          <cell r="B26" t="str">
            <v>PT05100024</v>
          </cell>
          <cell r="C26" t="str">
            <v>19 L</v>
          </cell>
          <cell r="D26" t="str">
            <v>ISO VG 460</v>
          </cell>
          <cell r="E26" t="str">
            <v>CUBETA</v>
          </cell>
          <cell r="F26" t="str">
            <v>SIN DATOS</v>
          </cell>
          <cell r="G26" t="str">
            <v/>
          </cell>
          <cell r="H26">
            <v>0</v>
          </cell>
          <cell r="I26" t="str">
            <v>SIN DATOS</v>
          </cell>
          <cell r="L26" t="str">
            <v>PT00800016</v>
          </cell>
          <cell r="M26" t="str">
            <v>19 L</v>
          </cell>
          <cell r="N26" t="str">
            <v>ISO VG 32</v>
          </cell>
          <cell r="O26" t="str">
            <v>CUBETA</v>
          </cell>
          <cell r="P26">
            <v>1885.11</v>
          </cell>
          <cell r="Q26">
            <v>-6.3905921330973725E-2</v>
          </cell>
          <cell r="R26">
            <v>2013.8040000000001</v>
          </cell>
          <cell r="S26">
            <v>1885.11</v>
          </cell>
        </row>
        <row r="27">
          <cell r="B27" t="str">
            <v>PT05100036</v>
          </cell>
          <cell r="C27" t="str">
            <v>200 L</v>
          </cell>
          <cell r="D27" t="str">
            <v>ISO VG 460</v>
          </cell>
          <cell r="E27" t="str">
            <v>TAMBOR</v>
          </cell>
          <cell r="F27" t="str">
            <v>SIN DATOS</v>
          </cell>
          <cell r="G27" t="str">
            <v/>
          </cell>
          <cell r="H27">
            <v>0</v>
          </cell>
          <cell r="I27" t="str">
            <v>SIN DATOS</v>
          </cell>
          <cell r="L27" t="str">
            <v>PT00800028</v>
          </cell>
          <cell r="M27" t="str">
            <v>200 L</v>
          </cell>
          <cell r="N27" t="str">
            <v>ISO VG 32</v>
          </cell>
          <cell r="O27" t="str">
            <v>TAMBOR</v>
          </cell>
          <cell r="P27">
            <v>19754.259999999998</v>
          </cell>
          <cell r="Q27">
            <v>-6.3735306657961122E-2</v>
          </cell>
          <cell r="R27">
            <v>21099.011999999999</v>
          </cell>
          <cell r="S27">
            <v>19754.259999999998</v>
          </cell>
        </row>
        <row r="28">
          <cell r="B28" t="str">
            <v>PT05100025</v>
          </cell>
          <cell r="C28" t="str">
            <v>19 L</v>
          </cell>
          <cell r="D28" t="str">
            <v>ISO VG 680</v>
          </cell>
          <cell r="E28" t="str">
            <v>CUBETA</v>
          </cell>
          <cell r="F28">
            <v>2021.12</v>
          </cell>
          <cell r="G28">
            <v>-3.746840169235488E-2</v>
          </cell>
          <cell r="H28">
            <v>2099.7959999999998</v>
          </cell>
          <cell r="I28">
            <v>2021.12</v>
          </cell>
          <cell r="L28" t="str">
            <v>PT00800017</v>
          </cell>
          <cell r="M28" t="str">
            <v>19 L</v>
          </cell>
          <cell r="N28" t="str">
            <v>ISO VG 46</v>
          </cell>
          <cell r="O28" t="str">
            <v>CUBETA</v>
          </cell>
          <cell r="P28">
            <v>1952.65</v>
          </cell>
          <cell r="Q28">
            <v>-6.1565241797196357E-2</v>
          </cell>
          <cell r="R28">
            <v>2080.752</v>
          </cell>
          <cell r="S28">
            <v>1952.65</v>
          </cell>
        </row>
        <row r="29">
          <cell r="B29" t="str">
            <v>PT05100037</v>
          </cell>
          <cell r="C29" t="str">
            <v>200 L</v>
          </cell>
          <cell r="D29" t="str">
            <v>ISO VG 680</v>
          </cell>
          <cell r="E29" t="str">
            <v>TAMBOR</v>
          </cell>
          <cell r="F29" t="str">
            <v>SIN DATOS</v>
          </cell>
          <cell r="G29" t="str">
            <v/>
          </cell>
          <cell r="H29">
            <v>0</v>
          </cell>
          <cell r="I29" t="str">
            <v>SIN DATOS</v>
          </cell>
          <cell r="L29" t="str">
            <v>PT00800029</v>
          </cell>
          <cell r="M29" t="str">
            <v>200 L</v>
          </cell>
          <cell r="N29" t="str">
            <v>ISO VG 46</v>
          </cell>
          <cell r="O29" t="str">
            <v>TAMBOR</v>
          </cell>
          <cell r="P29">
            <v>20465.2</v>
          </cell>
          <cell r="Q29">
            <v>-6.1391246280458001E-2</v>
          </cell>
          <cell r="R29">
            <v>21803.759999999998</v>
          </cell>
          <cell r="S29">
            <v>20465.2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L30" t="str">
            <v>PT00800018</v>
          </cell>
          <cell r="M30" t="str">
            <v>19 L</v>
          </cell>
          <cell r="N30" t="str">
            <v>ISO VG 68</v>
          </cell>
          <cell r="O30" t="str">
            <v>CUBETA</v>
          </cell>
          <cell r="P30">
            <v>1970.8</v>
          </cell>
          <cell r="Q30">
            <v>-5.9729235607769549E-2</v>
          </cell>
          <cell r="R30">
            <v>2095.9920000000002</v>
          </cell>
          <cell r="S30">
            <v>1970.8</v>
          </cell>
        </row>
        <row r="31">
          <cell r="B31" t="str">
            <v>PT05200001</v>
          </cell>
          <cell r="C31" t="str">
            <v>19 L</v>
          </cell>
          <cell r="D31" t="str">
            <v>ISO VG 22</v>
          </cell>
          <cell r="E31" t="str">
            <v>CUBETA</v>
          </cell>
          <cell r="F31">
            <v>1636.7</v>
          </cell>
          <cell r="G31">
            <v>-7.1691906301400876E-2</v>
          </cell>
          <cell r="H31">
            <v>1763.1</v>
          </cell>
          <cell r="I31">
            <v>1636.7</v>
          </cell>
          <cell r="L31" t="str">
            <v>PT00800030</v>
          </cell>
          <cell r="M31" t="str">
            <v>200 L</v>
          </cell>
          <cell r="N31" t="str">
            <v>ISO VG 68</v>
          </cell>
          <cell r="O31" t="str">
            <v>TAMBOR</v>
          </cell>
          <cell r="P31">
            <v>20656.3</v>
          </cell>
          <cell r="Q31">
            <v>-5.9546899044809365E-2</v>
          </cell>
          <cell r="R31">
            <v>21964.2</v>
          </cell>
          <cell r="S31">
            <v>20656.3</v>
          </cell>
        </row>
        <row r="32">
          <cell r="B32" t="str">
            <v>PT05100038</v>
          </cell>
          <cell r="C32" t="str">
            <v>200 L</v>
          </cell>
          <cell r="D32" t="str">
            <v>ISO VG 22</v>
          </cell>
          <cell r="E32" t="str">
            <v>TAMBOR</v>
          </cell>
          <cell r="F32">
            <v>17139.39</v>
          </cell>
          <cell r="G32">
            <v>-7.1540612713997476E-2</v>
          </cell>
          <cell r="H32">
            <v>18460.031999999999</v>
          </cell>
          <cell r="I32">
            <v>17139.39</v>
          </cell>
          <cell r="L32" t="str">
            <v>PT00800019</v>
          </cell>
          <cell r="M32" t="str">
            <v>19 L</v>
          </cell>
          <cell r="N32" t="str">
            <v>ISO VG 100</v>
          </cell>
          <cell r="O32" t="str">
            <v>CUBETA</v>
          </cell>
          <cell r="P32">
            <v>1984.7</v>
          </cell>
          <cell r="Q32">
            <v>-5.2755870937689076E-2</v>
          </cell>
          <cell r="R32">
            <v>2095.2359999999999</v>
          </cell>
          <cell r="S32">
            <v>1984.7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L33" t="str">
            <v>PT00800031</v>
          </cell>
          <cell r="M33" t="str">
            <v>200 L</v>
          </cell>
          <cell r="N33" t="str">
            <v>ISO VG 100</v>
          </cell>
          <cell r="O33" t="str">
            <v>TAMBOR</v>
          </cell>
          <cell r="P33">
            <v>20802.5</v>
          </cell>
          <cell r="Q33">
            <v>-5.2546385488941083E-2</v>
          </cell>
          <cell r="R33">
            <v>21956.219999999998</v>
          </cell>
          <cell r="S33">
            <v>20802.5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L34" t="str">
            <v>PT00800020</v>
          </cell>
          <cell r="M34" t="str">
            <v>19 L</v>
          </cell>
          <cell r="N34" t="str">
            <v>ISO VG 150</v>
          </cell>
          <cell r="O34" t="str">
            <v>CUBETA</v>
          </cell>
          <cell r="P34">
            <v>1991.42</v>
          </cell>
          <cell r="Q34">
            <v>-5.2246335427374668E-2</v>
          </cell>
          <cell r="R34">
            <v>2101.1999999999998</v>
          </cell>
          <cell r="S34">
            <v>1991.42</v>
          </cell>
        </row>
        <row r="35">
          <cell r="B35" t="str">
            <v>PT03100009</v>
          </cell>
          <cell r="C35" t="str">
            <v>19 L</v>
          </cell>
          <cell r="D35" t="str">
            <v>ISO VG 32</v>
          </cell>
          <cell r="E35" t="str">
            <v>CUBETA</v>
          </cell>
          <cell r="F35">
            <v>1899.12</v>
          </cell>
          <cell r="G35">
            <v>-6.2535171220907904E-2</v>
          </cell>
          <cell r="H35">
            <v>2025.8040000000001</v>
          </cell>
          <cell r="I35">
            <v>1899.12</v>
          </cell>
          <cell r="L35" t="str">
            <v>PT00800032</v>
          </cell>
          <cell r="M35" t="str">
            <v>200 L</v>
          </cell>
          <cell r="N35" t="str">
            <v>ISO VG 150</v>
          </cell>
          <cell r="O35" t="str">
            <v>TAMBOR</v>
          </cell>
          <cell r="P35">
            <v>20873.25</v>
          </cell>
          <cell r="Q35">
            <v>-5.2033228805273724E-2</v>
          </cell>
          <cell r="R35">
            <v>22018.968000000001</v>
          </cell>
          <cell r="S35">
            <v>20873.25</v>
          </cell>
        </row>
        <row r="36">
          <cell r="B36" t="str">
            <v>PT03100017</v>
          </cell>
          <cell r="C36" t="str">
            <v>200 L</v>
          </cell>
          <cell r="D36" t="str">
            <v>ISO VG 32</v>
          </cell>
          <cell r="E36" t="str">
            <v>TAMBOR</v>
          </cell>
          <cell r="F36">
            <v>19899.52</v>
          </cell>
          <cell r="G36">
            <v>-6.2355168074298639E-2</v>
          </cell>
          <cell r="H36">
            <v>21222.876</v>
          </cell>
          <cell r="I36">
            <v>19899.52</v>
          </cell>
          <cell r="L36" t="str">
            <v>PT00800021</v>
          </cell>
          <cell r="M36" t="str">
            <v>19 L</v>
          </cell>
          <cell r="N36" t="str">
            <v>ISO VG 220</v>
          </cell>
          <cell r="O36" t="str">
            <v>CUBETA</v>
          </cell>
          <cell r="P36">
            <v>1990.23</v>
          </cell>
          <cell r="Q36">
            <v>-5.3104696438562637E-2</v>
          </cell>
          <cell r="R36">
            <v>2101.848</v>
          </cell>
          <cell r="S36">
            <v>1990.23</v>
          </cell>
        </row>
        <row r="37">
          <cell r="B37" t="str">
            <v>PT03100010</v>
          </cell>
          <cell r="C37" t="str">
            <v>19 L</v>
          </cell>
          <cell r="D37" t="str">
            <v>ISO VG 46</v>
          </cell>
          <cell r="E37" t="str">
            <v>CUBETA</v>
          </cell>
          <cell r="F37">
            <v>1965.9</v>
          </cell>
          <cell r="G37">
            <v>-6.1443712403322692E-2</v>
          </cell>
          <cell r="H37">
            <v>2094.6</v>
          </cell>
          <cell r="I37">
            <v>1965.9</v>
          </cell>
          <cell r="L37" t="str">
            <v>PT00800033</v>
          </cell>
          <cell r="M37" t="str">
            <v>200 L</v>
          </cell>
          <cell r="N37" t="str">
            <v>ISO VG 220</v>
          </cell>
          <cell r="O37" t="str">
            <v>TAMBOR</v>
          </cell>
          <cell r="P37">
            <v>20860.72</v>
          </cell>
          <cell r="Q37">
            <v>-5.2897009055735467E-2</v>
          </cell>
          <cell r="R37">
            <v>22025.82</v>
          </cell>
          <cell r="S37">
            <v>20860.72</v>
          </cell>
        </row>
        <row r="38">
          <cell r="B38" t="str">
            <v>PT03100018</v>
          </cell>
          <cell r="C38" t="str">
            <v>200 L</v>
          </cell>
          <cell r="D38" t="str">
            <v>ISO VG 46</v>
          </cell>
          <cell r="E38" t="str">
            <v>TAMBOR</v>
          </cell>
          <cell r="F38">
            <v>20604.580000000002</v>
          </cell>
          <cell r="G38">
            <v>-6.1270811464893882E-2</v>
          </cell>
          <cell r="H38">
            <v>21949.440000000002</v>
          </cell>
          <cell r="I38">
            <v>20604.580000000002</v>
          </cell>
          <cell r="L38" t="str">
            <v>PT00800022</v>
          </cell>
          <cell r="M38" t="str">
            <v>19 L</v>
          </cell>
          <cell r="N38" t="str">
            <v>ISO VG 320</v>
          </cell>
          <cell r="O38" t="str">
            <v>CUBETA</v>
          </cell>
          <cell r="P38">
            <v>1861.85</v>
          </cell>
          <cell r="Q38">
            <v>-5.0510582917197011E-2</v>
          </cell>
          <cell r="R38">
            <v>1960.896</v>
          </cell>
          <cell r="S38">
            <v>1861.85</v>
          </cell>
        </row>
        <row r="39">
          <cell r="B39" t="str">
            <v>PT03100011</v>
          </cell>
          <cell r="C39" t="str">
            <v>19 L</v>
          </cell>
          <cell r="D39" t="str">
            <v>ISO VG 68</v>
          </cell>
          <cell r="E39" t="str">
            <v>CUBETA</v>
          </cell>
          <cell r="F39">
            <v>2000.82</v>
          </cell>
          <cell r="G39">
            <v>-5.5197307282576658E-2</v>
          </cell>
          <cell r="H39">
            <v>2117.712</v>
          </cell>
          <cell r="I39">
            <v>2000.82</v>
          </cell>
          <cell r="L39" t="str">
            <v>PT00800034</v>
          </cell>
          <cell r="M39" t="str">
            <v>200 L</v>
          </cell>
          <cell r="N39" t="str">
            <v>ISO VG 320</v>
          </cell>
          <cell r="O39" t="str">
            <v>TAMBOR</v>
          </cell>
          <cell r="P39">
            <v>20861.060000000001</v>
          </cell>
          <cell r="Q39">
            <v>-5.3660098875246476E-2</v>
          </cell>
          <cell r="R39">
            <v>22043.940000000002</v>
          </cell>
          <cell r="S39">
            <v>20861.060000000001</v>
          </cell>
        </row>
        <row r="40">
          <cell r="B40" t="str">
            <v>PT03100019</v>
          </cell>
          <cell r="C40" t="str">
            <v>200 L</v>
          </cell>
          <cell r="D40" t="str">
            <v>ISO VG 68</v>
          </cell>
          <cell r="E40" t="str">
            <v>TAMBOR</v>
          </cell>
          <cell r="F40">
            <v>20972.17</v>
          </cell>
          <cell r="G40">
            <v>-5.4996061764509885E-2</v>
          </cell>
          <cell r="H40">
            <v>22192.68</v>
          </cell>
          <cell r="I40">
            <v>20972.17</v>
          </cell>
          <cell r="L40" t="str">
            <v>PT00800023</v>
          </cell>
          <cell r="M40" t="str">
            <v>19 L</v>
          </cell>
          <cell r="N40" t="str">
            <v>ISO VG 460</v>
          </cell>
          <cell r="O40" t="str">
            <v>CUBETA</v>
          </cell>
          <cell r="P40">
            <v>1994.92</v>
          </cell>
          <cell r="Q40">
            <v>-5.4377153215056984E-2</v>
          </cell>
          <cell r="R40">
            <v>2109.636</v>
          </cell>
          <cell r="S40">
            <v>1994.92</v>
          </cell>
        </row>
        <row r="41">
          <cell r="B41" t="str">
            <v>PT03100012</v>
          </cell>
          <cell r="C41" t="str">
            <v>19 L</v>
          </cell>
          <cell r="D41" t="str">
            <v>ISO VG 100</v>
          </cell>
          <cell r="E41" t="str">
            <v>CUBETA</v>
          </cell>
          <cell r="F41">
            <v>2015.68</v>
          </cell>
          <cell r="G41">
            <v>-4.8228839089252018E-2</v>
          </cell>
          <cell r="H41">
            <v>2117.8199999999997</v>
          </cell>
          <cell r="I41">
            <v>2015.68</v>
          </cell>
          <cell r="L41" t="str">
            <v>PT00800035</v>
          </cell>
          <cell r="M41" t="str">
            <v>200 L</v>
          </cell>
          <cell r="N41" t="str">
            <v>ISO VG 460</v>
          </cell>
          <cell r="O41" t="str">
            <v>TAMBOR</v>
          </cell>
          <cell r="P41">
            <v>20910.060000000001</v>
          </cell>
          <cell r="Q41">
            <v>-5.4176403058109002E-2</v>
          </cell>
          <cell r="R41">
            <v>22107.780000000002</v>
          </cell>
          <cell r="S41">
            <v>20910.060000000001</v>
          </cell>
        </row>
        <row r="42">
          <cell r="B42" t="str">
            <v>PT03100020</v>
          </cell>
          <cell r="C42" t="str">
            <v>200 L</v>
          </cell>
          <cell r="D42" t="str">
            <v>ISO VG 100</v>
          </cell>
          <cell r="E42" t="str">
            <v>TAMBOR</v>
          </cell>
          <cell r="F42">
            <v>21107.74</v>
          </cell>
          <cell r="G42">
            <v>-4.7943156616993887E-2</v>
          </cell>
          <cell r="H42">
            <v>22170.672000000002</v>
          </cell>
          <cell r="I42">
            <v>21107.74</v>
          </cell>
          <cell r="L42" t="str">
            <v>PT00800024</v>
          </cell>
          <cell r="M42" t="str">
            <v>19 L</v>
          </cell>
          <cell r="N42" t="str">
            <v>ISO VG 680</v>
          </cell>
          <cell r="O42" t="str">
            <v>CUBETA</v>
          </cell>
          <cell r="P42">
            <v>1991.66</v>
          </cell>
          <cell r="Q42">
            <v>-5.0516203094548739E-2</v>
          </cell>
          <cell r="R42">
            <v>2097.6239999999998</v>
          </cell>
          <cell r="S42">
            <v>1991.66</v>
          </cell>
        </row>
        <row r="43">
          <cell r="B43" t="str">
            <v>PT03100013</v>
          </cell>
          <cell r="C43" t="str">
            <v>19 L</v>
          </cell>
          <cell r="D43" t="str">
            <v>ISO VG 150</v>
          </cell>
          <cell r="E43" t="str">
            <v>CUBETA</v>
          </cell>
          <cell r="F43">
            <v>2008.24</v>
          </cell>
          <cell r="G43">
            <v>-5.2080265234761502E-2</v>
          </cell>
          <cell r="H43">
            <v>2118.576</v>
          </cell>
          <cell r="I43">
            <v>2008.24</v>
          </cell>
          <cell r="L43" t="str">
            <v>PT00800036</v>
          </cell>
          <cell r="M43" t="str">
            <v>200 L</v>
          </cell>
          <cell r="N43" t="str">
            <v>ISO VG 680</v>
          </cell>
          <cell r="O43" t="str">
            <v>TAMBOR</v>
          </cell>
          <cell r="P43">
            <v>20875.78</v>
          </cell>
          <cell r="Q43">
            <v>-5.0292103311256553E-2</v>
          </cell>
          <cell r="R43">
            <v>21981.264000000003</v>
          </cell>
          <cell r="S43">
            <v>20875.78</v>
          </cell>
        </row>
        <row r="44">
          <cell r="B44" t="str">
            <v>PT03100021</v>
          </cell>
          <cell r="C44" t="str">
            <v>200 L</v>
          </cell>
          <cell r="D44" t="str">
            <v>ISO VG 150</v>
          </cell>
          <cell r="E44" t="str">
            <v>TAMBOR</v>
          </cell>
          <cell r="F44">
            <v>21050.3</v>
          </cell>
          <cell r="G44">
            <v>-5.186516408579489E-2</v>
          </cell>
          <cell r="H44">
            <v>22201.8</v>
          </cell>
          <cell r="I44">
            <v>21050.3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 t="str">
            <v/>
          </cell>
          <cell r="R44">
            <v>0</v>
          </cell>
          <cell r="S44">
            <v>0</v>
          </cell>
        </row>
        <row r="45">
          <cell r="B45" t="str">
            <v>PT03100014</v>
          </cell>
          <cell r="C45" t="str">
            <v>19 L</v>
          </cell>
          <cell r="D45" t="str">
            <v>ISO VG 220</v>
          </cell>
          <cell r="E45" t="str">
            <v>CUBETA</v>
          </cell>
          <cell r="F45">
            <v>2026.1</v>
          </cell>
          <cell r="G45">
            <v>-5.2478679484229795E-2</v>
          </cell>
          <cell r="H45">
            <v>2138.3160000000003</v>
          </cell>
          <cell r="I45">
            <v>2026.1</v>
          </cell>
          <cell r="L45" t="str">
            <v>PT00900005</v>
          </cell>
          <cell r="M45" t="str">
            <v>19 L</v>
          </cell>
          <cell r="N45" t="str">
            <v>ISO VG 32</v>
          </cell>
          <cell r="O45" t="str">
            <v>CUBETA</v>
          </cell>
          <cell r="P45">
            <v>1985.19</v>
          </cell>
          <cell r="Q45">
            <v>-5.9780848077021553E-2</v>
          </cell>
          <cell r="R45">
            <v>2111.4120000000003</v>
          </cell>
          <cell r="S45">
            <v>1985.19</v>
          </cell>
        </row>
        <row r="46">
          <cell r="B46" t="str">
            <v>PT03100022</v>
          </cell>
          <cell r="C46" t="str">
            <v>200 L</v>
          </cell>
          <cell r="D46" t="str">
            <v>ISO VG 220</v>
          </cell>
          <cell r="E46" t="str">
            <v>TAMBOR</v>
          </cell>
          <cell r="F46">
            <v>21238.34</v>
          </cell>
          <cell r="G46">
            <v>-5.2271237253970759E-2</v>
          </cell>
          <cell r="H46">
            <v>22409.724000000002</v>
          </cell>
          <cell r="I46">
            <v>21238.34</v>
          </cell>
          <cell r="L46" t="str">
            <v>PT00900009</v>
          </cell>
          <cell r="M46" t="str">
            <v>200 L</v>
          </cell>
          <cell r="N46" t="str">
            <v>ISO VG 32</v>
          </cell>
          <cell r="O46" t="str">
            <v>TAMBOR</v>
          </cell>
          <cell r="P46">
            <v>20807.38</v>
          </cell>
          <cell r="Q46">
            <v>-5.9599350630568093E-2</v>
          </cell>
          <cell r="R46">
            <v>22126.080000000002</v>
          </cell>
          <cell r="S46">
            <v>20807.38</v>
          </cell>
        </row>
        <row r="47">
          <cell r="B47" t="str">
            <v>PT03100015</v>
          </cell>
          <cell r="C47" t="str">
            <v>19 L</v>
          </cell>
          <cell r="D47" t="str">
            <v>ISO VG 320</v>
          </cell>
          <cell r="E47" t="str">
            <v>CUBETA</v>
          </cell>
          <cell r="F47">
            <v>2014.2</v>
          </cell>
          <cell r="G47">
            <v>-5.3502351441879314E-2</v>
          </cell>
          <cell r="H47">
            <v>2128.056</v>
          </cell>
          <cell r="I47">
            <v>2014.2</v>
          </cell>
          <cell r="L47" t="str">
            <v>PT00900006</v>
          </cell>
          <cell r="M47" t="str">
            <v>19 L</v>
          </cell>
          <cell r="N47" t="str">
            <v>ISO VG 46</v>
          </cell>
          <cell r="O47" t="str">
            <v>CUBETA</v>
          </cell>
          <cell r="P47">
            <v>2060.83</v>
          </cell>
          <cell r="Q47">
            <v>-5.8646458556015357E-2</v>
          </cell>
          <cell r="R47">
            <v>2189.2199999999998</v>
          </cell>
          <cell r="S47">
            <v>2060.83</v>
          </cell>
        </row>
        <row r="48">
          <cell r="B48" t="str">
            <v>PT03100023</v>
          </cell>
          <cell r="C48" t="str">
            <v>200 L</v>
          </cell>
          <cell r="D48" t="str">
            <v>ISO VG 320</v>
          </cell>
          <cell r="E48" t="str">
            <v>TAMBOR</v>
          </cell>
          <cell r="F48">
            <v>21116.17</v>
          </cell>
          <cell r="G48">
            <v>-5.3301867844228523E-2</v>
          </cell>
          <cell r="H48">
            <v>22305.072</v>
          </cell>
          <cell r="I48">
            <v>21116.17</v>
          </cell>
          <cell r="L48" t="str">
            <v>PT00900010</v>
          </cell>
          <cell r="M48" t="str">
            <v>200 L</v>
          </cell>
          <cell r="N48" t="str">
            <v>ISO VG 46</v>
          </cell>
          <cell r="O48" t="str">
            <v>TAMBOR</v>
          </cell>
          <cell r="P48">
            <v>21603.83</v>
          </cell>
          <cell r="Q48">
            <v>-5.8470554354446591E-2</v>
          </cell>
          <cell r="R48">
            <v>22945.464</v>
          </cell>
          <cell r="S48">
            <v>21603.83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L49" t="str">
            <v>PT00900007</v>
          </cell>
          <cell r="M49" t="str">
            <v>19 L</v>
          </cell>
          <cell r="N49" t="str">
            <v>ISO VG 68</v>
          </cell>
          <cell r="O49" t="str">
            <v>CUBETA</v>
          </cell>
          <cell r="P49">
            <v>2075.19</v>
          </cell>
          <cell r="Q49">
            <v>-5.5147902483800082E-2</v>
          </cell>
          <cell r="R49">
            <v>2196.3119999999999</v>
          </cell>
          <cell r="S49">
            <v>2075.19</v>
          </cell>
        </row>
        <row r="50">
          <cell r="B50" t="str">
            <v>PT03300005</v>
          </cell>
          <cell r="C50" t="str">
            <v>19 L</v>
          </cell>
          <cell r="D50" t="str">
            <v>ISO VG 32</v>
          </cell>
          <cell r="E50" t="str">
            <v>CUBETA</v>
          </cell>
          <cell r="F50">
            <v>1967.12</v>
          </cell>
          <cell r="G50">
            <v>-3.6394345885405133E-2</v>
          </cell>
          <cell r="H50">
            <v>2041.4160000000002</v>
          </cell>
          <cell r="I50">
            <v>1967.12</v>
          </cell>
          <cell r="L50" t="str">
            <v>PT00900011</v>
          </cell>
          <cell r="M50" t="str">
            <v>200 L</v>
          </cell>
          <cell r="N50" t="str">
            <v>ISO VG 68</v>
          </cell>
          <cell r="O50" t="str">
            <v>TAMBOR</v>
          </cell>
          <cell r="P50">
            <v>21755.07</v>
          </cell>
          <cell r="Q50">
            <v>-5.4955414716636009E-2</v>
          </cell>
          <cell r="R50">
            <v>23020.151999999998</v>
          </cell>
          <cell r="S50">
            <v>21755.07</v>
          </cell>
        </row>
        <row r="51">
          <cell r="B51" t="str">
            <v>PT03300009</v>
          </cell>
          <cell r="C51" t="str">
            <v>200 L</v>
          </cell>
          <cell r="D51" t="str">
            <v>ISO VG 32</v>
          </cell>
          <cell r="E51" t="str">
            <v>TAMBOR</v>
          </cell>
          <cell r="F51">
            <v>20617.39</v>
          </cell>
          <cell r="G51">
            <v>-3.6102845418075846E-2</v>
          </cell>
          <cell r="H51">
            <v>21389.616000000002</v>
          </cell>
          <cell r="I51">
            <v>20617.39</v>
          </cell>
          <cell r="L51" t="str">
            <v>PT00900008</v>
          </cell>
          <cell r="M51" t="str">
            <v>19 L</v>
          </cell>
          <cell r="N51" t="str">
            <v>ISO VG 100</v>
          </cell>
          <cell r="O51" t="str">
            <v>CUBETA</v>
          </cell>
          <cell r="P51">
            <v>2084.96</v>
          </cell>
          <cell r="Q51">
            <v>-5.0901774415280654E-2</v>
          </cell>
          <cell r="R51">
            <v>2196.7800000000002</v>
          </cell>
          <cell r="S51">
            <v>2084.96</v>
          </cell>
        </row>
        <row r="52">
          <cell r="B52" t="str">
            <v>PT03300006</v>
          </cell>
          <cell r="C52" t="str">
            <v>19 L</v>
          </cell>
          <cell r="D52" t="str">
            <v>ISO VG 46</v>
          </cell>
          <cell r="E52" t="str">
            <v>CUBETA</v>
          </cell>
          <cell r="F52">
            <v>2042.95</v>
          </cell>
          <cell r="G52">
            <v>-3.8827067442775198E-2</v>
          </cell>
          <cell r="H52">
            <v>2125.4760000000001</v>
          </cell>
          <cell r="I52">
            <v>2042.95</v>
          </cell>
          <cell r="L52" t="str">
            <v>PT00900012</v>
          </cell>
          <cell r="M52" t="str">
            <v>200 L</v>
          </cell>
          <cell r="N52" t="str">
            <v>ISO VG 100</v>
          </cell>
          <cell r="O52" t="str">
            <v>TAMBOR</v>
          </cell>
          <cell r="P52">
            <v>21857.87</v>
          </cell>
          <cell r="Q52">
            <v>-5.0692158891225469E-2</v>
          </cell>
          <cell r="R52">
            <v>23025.059999999998</v>
          </cell>
          <cell r="S52">
            <v>21857.87</v>
          </cell>
        </row>
        <row r="53">
          <cell r="B53" t="str">
            <v>PT03300010</v>
          </cell>
          <cell r="C53" t="str">
            <v>200 L</v>
          </cell>
          <cell r="D53" t="str">
            <v>ISO VG 46</v>
          </cell>
          <cell r="E53" t="str">
            <v>TAMBOR</v>
          </cell>
          <cell r="F53">
            <v>21409.22</v>
          </cell>
          <cell r="G53">
            <v>-3.8537330720718077E-2</v>
          </cell>
          <cell r="H53">
            <v>22267.343999999997</v>
          </cell>
          <cell r="I53">
            <v>21409.22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 t="str">
            <v/>
          </cell>
          <cell r="R53">
            <v>0</v>
          </cell>
          <cell r="S53">
            <v>0</v>
          </cell>
        </row>
        <row r="54">
          <cell r="B54" t="str">
            <v>PT03300007</v>
          </cell>
          <cell r="C54" t="str">
            <v>19 L</v>
          </cell>
          <cell r="D54" t="str">
            <v>ISO VG 68</v>
          </cell>
          <cell r="E54" t="str">
            <v>CUBETA</v>
          </cell>
          <cell r="F54">
            <v>2187.44</v>
          </cell>
          <cell r="G54">
            <v>-3.7872150264080973E-2</v>
          </cell>
          <cell r="H54">
            <v>2273.5439999999999</v>
          </cell>
          <cell r="I54">
            <v>2187.44</v>
          </cell>
          <cell r="L54" t="str">
            <v>PT01000007</v>
          </cell>
          <cell r="M54" t="str">
            <v>19 L</v>
          </cell>
          <cell r="N54" t="str">
            <v>ISO VG 15</v>
          </cell>
          <cell r="O54" t="str">
            <v>CUBETA</v>
          </cell>
          <cell r="P54">
            <v>2099.7399999999998</v>
          </cell>
          <cell r="Q54">
            <v>-2.35148146494637E-2</v>
          </cell>
          <cell r="R54">
            <v>2150.3040000000001</v>
          </cell>
          <cell r="S54">
            <v>2099.7399999999998</v>
          </cell>
        </row>
        <row r="55">
          <cell r="B55" t="str">
            <v>PT03300011</v>
          </cell>
          <cell r="C55" t="str">
            <v>200 L</v>
          </cell>
          <cell r="D55" t="str">
            <v>ISO VG 68</v>
          </cell>
          <cell r="E55" t="str">
            <v>TAMBOR</v>
          </cell>
          <cell r="F55">
            <v>22936.62</v>
          </cell>
          <cell r="G55">
            <v>-3.7616528917297498E-2</v>
          </cell>
          <cell r="H55">
            <v>23833.14</v>
          </cell>
          <cell r="I55">
            <v>22936.62</v>
          </cell>
          <cell r="L55" t="str">
            <v>PT01000013</v>
          </cell>
          <cell r="M55" t="str">
            <v>200 L</v>
          </cell>
          <cell r="N55" t="str">
            <v>ISO VG 15</v>
          </cell>
          <cell r="O55" t="str">
            <v>TAMBOR</v>
          </cell>
          <cell r="P55">
            <v>22013.56</v>
          </cell>
          <cell r="Q55">
            <v>-2.3175701784233005E-2</v>
          </cell>
          <cell r="R55">
            <v>22535.843999999997</v>
          </cell>
          <cell r="S55">
            <v>22013.56</v>
          </cell>
        </row>
        <row r="56">
          <cell r="B56" t="str">
            <v>PT03300008</v>
          </cell>
          <cell r="C56" t="str">
            <v>19 L</v>
          </cell>
          <cell r="D56" t="str">
            <v>ISO VG 100</v>
          </cell>
          <cell r="E56" t="str">
            <v>CUBETA</v>
          </cell>
          <cell r="F56">
            <v>2312.2399999999998</v>
          </cell>
          <cell r="G56">
            <v>-3.7149191405866255E-2</v>
          </cell>
          <cell r="H56">
            <v>2401.4520000000002</v>
          </cell>
          <cell r="I56">
            <v>2312.2399999999998</v>
          </cell>
          <cell r="L56" t="str">
            <v>PT01000008</v>
          </cell>
          <cell r="M56" t="str">
            <v>19 L</v>
          </cell>
          <cell r="N56" t="str">
            <v>ISO VG 22</v>
          </cell>
          <cell r="O56" t="str">
            <v>CUBETA</v>
          </cell>
          <cell r="P56">
            <v>2086.9</v>
          </cell>
          <cell r="Q56">
            <v>-4.4044759355251317E-2</v>
          </cell>
          <cell r="R56">
            <v>2183.0520000000001</v>
          </cell>
          <cell r="S56">
            <v>2086.9</v>
          </cell>
        </row>
        <row r="57">
          <cell r="B57" t="str">
            <v>PT03300012</v>
          </cell>
          <cell r="C57" t="str">
            <v>200 L</v>
          </cell>
          <cell r="D57" t="str">
            <v>ISO VG 100</v>
          </cell>
          <cell r="E57" t="str">
            <v>TAMBOR</v>
          </cell>
          <cell r="F57">
            <v>24243.77</v>
          </cell>
          <cell r="G57">
            <v>-3.6885750620484381E-2</v>
          </cell>
          <cell r="H57">
            <v>25172.268</v>
          </cell>
          <cell r="I57">
            <v>24243.77</v>
          </cell>
          <cell r="L57" t="str">
            <v>PT01000014</v>
          </cell>
          <cell r="M57" t="str">
            <v>200 L</v>
          </cell>
          <cell r="N57" t="str">
            <v>ISO VG 22</v>
          </cell>
          <cell r="O57" t="str">
            <v>TAMBOR</v>
          </cell>
          <cell r="P57">
            <v>21878.26</v>
          </cell>
          <cell r="Q57">
            <v>-4.3805578850444116E-2</v>
          </cell>
          <cell r="R57">
            <v>22880.556</v>
          </cell>
          <cell r="S57">
            <v>21878.26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L58" t="str">
            <v>PT01000009</v>
          </cell>
          <cell r="M58" t="str">
            <v>19 L</v>
          </cell>
          <cell r="N58" t="str">
            <v>ISO VG 32</v>
          </cell>
          <cell r="O58" t="str">
            <v>CUBETA</v>
          </cell>
          <cell r="P58">
            <v>2204.12</v>
          </cell>
          <cell r="Q58">
            <v>-4.6122899766996572E-2</v>
          </cell>
          <cell r="R58">
            <v>2310.6959999999999</v>
          </cell>
          <cell r="S58">
            <v>2204.12</v>
          </cell>
        </row>
        <row r="59">
          <cell r="B59" t="str">
            <v>PT03400005</v>
          </cell>
          <cell r="C59" t="str">
            <v>19 L</v>
          </cell>
          <cell r="D59" t="str">
            <v>ISO VG 32</v>
          </cell>
          <cell r="E59" t="str">
            <v>CUBETA</v>
          </cell>
          <cell r="F59">
            <v>1984.22</v>
          </cell>
          <cell r="G59">
            <v>-3.570414951149059E-2</v>
          </cell>
          <cell r="H59">
            <v>2057.6880000000001</v>
          </cell>
          <cell r="I59">
            <v>1984.22</v>
          </cell>
          <cell r="L59" t="str">
            <v>PT01000015</v>
          </cell>
          <cell r="M59" t="str">
            <v>200 L</v>
          </cell>
          <cell r="N59" t="str">
            <v>ISO VG 32</v>
          </cell>
          <cell r="O59" t="str">
            <v>TAMBOR</v>
          </cell>
          <cell r="P59">
            <v>23112.23</v>
          </cell>
          <cell r="Q59">
            <v>-4.5902640105441761E-2</v>
          </cell>
          <cell r="R59">
            <v>24224.184000000001</v>
          </cell>
          <cell r="S59">
            <v>23112.23</v>
          </cell>
        </row>
        <row r="60">
          <cell r="B60" t="str">
            <v>PT03400009</v>
          </cell>
          <cell r="C60" t="str">
            <v>200 L</v>
          </cell>
          <cell r="D60" t="str">
            <v>ISO VG 32</v>
          </cell>
          <cell r="E60" t="str">
            <v>TAMBOR</v>
          </cell>
          <cell r="F60">
            <v>20791.07</v>
          </cell>
          <cell r="G60">
            <v>-3.5386189408296631E-2</v>
          </cell>
          <cell r="H60">
            <v>21553.775999999998</v>
          </cell>
          <cell r="I60">
            <v>20791.07</v>
          </cell>
          <cell r="L60" t="str">
            <v>PT01000010</v>
          </cell>
          <cell r="M60" t="str">
            <v>19 L</v>
          </cell>
          <cell r="N60" t="str">
            <v>ISO VG 46</v>
          </cell>
          <cell r="O60" t="str">
            <v>CUBETA</v>
          </cell>
          <cell r="P60">
            <v>2326.5100000000002</v>
          </cell>
          <cell r="Q60">
            <v>-4.294766737751099E-2</v>
          </cell>
          <cell r="R60">
            <v>2430.9120000000003</v>
          </cell>
          <cell r="S60">
            <v>2326.5100000000002</v>
          </cell>
        </row>
      </sheetData>
      <sheetData sheetId="7">
        <row r="3">
          <cell r="B3" t="str">
            <v>PT01000016</v>
          </cell>
          <cell r="C3" t="str">
            <v>200 L</v>
          </cell>
          <cell r="D3" t="str">
            <v>ISO VG 46</v>
          </cell>
          <cell r="E3" t="str">
            <v>TAMBOR</v>
          </cell>
          <cell r="F3">
            <v>24400.54</v>
          </cell>
          <cell r="G3">
            <v>-4.2727313100175079E-2</v>
          </cell>
          <cell r="H3">
            <v>25489.644</v>
          </cell>
          <cell r="I3">
            <v>24400.54</v>
          </cell>
          <cell r="L3" t="str">
            <v>PT02500009</v>
          </cell>
          <cell r="M3" t="str">
            <v>200 L</v>
          </cell>
          <cell r="N3" t="str">
            <v>ISO VG 150</v>
          </cell>
          <cell r="O3" t="str">
            <v>TAMBOR</v>
          </cell>
          <cell r="P3">
            <v>92924.12</v>
          </cell>
          <cell r="Q3">
            <v>-2.7050034675773049E-2</v>
          </cell>
          <cell r="R3">
            <v>95507.603999999992</v>
          </cell>
          <cell r="S3">
            <v>92924.12</v>
          </cell>
        </row>
        <row r="4">
          <cell r="B4" t="str">
            <v>PT01000011</v>
          </cell>
          <cell r="C4" t="str">
            <v>19 L</v>
          </cell>
          <cell r="D4" t="str">
            <v>ISO VG 68</v>
          </cell>
          <cell r="E4" t="str">
            <v>CUBETA</v>
          </cell>
          <cell r="F4">
            <v>2579.52</v>
          </cell>
          <cell r="G4">
            <v>-3.5158196173129208E-2</v>
          </cell>
          <cell r="H4">
            <v>2673.5159999999996</v>
          </cell>
          <cell r="I4">
            <v>2579.52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 t="str">
            <v/>
          </cell>
          <cell r="R4">
            <v>0</v>
          </cell>
          <cell r="S4">
            <v>0</v>
          </cell>
        </row>
        <row r="5">
          <cell r="B5" t="str">
            <v>PT01000017</v>
          </cell>
          <cell r="C5" t="str">
            <v>200 L</v>
          </cell>
          <cell r="D5" t="str">
            <v>ISO VG 68</v>
          </cell>
          <cell r="E5" t="str">
            <v>TAMBOR</v>
          </cell>
          <cell r="F5">
            <v>27063.74</v>
          </cell>
          <cell r="G5">
            <v>-3.4932471011680288E-2</v>
          </cell>
          <cell r="H5">
            <v>28043.364000000001</v>
          </cell>
          <cell r="I5">
            <v>27063.74</v>
          </cell>
          <cell r="L5" t="str">
            <v>PT02900003</v>
          </cell>
          <cell r="M5" t="str">
            <v>19 L</v>
          </cell>
          <cell r="N5" t="str">
            <v>ISO VG 38</v>
          </cell>
          <cell r="O5" t="str">
            <v>CUBETA</v>
          </cell>
          <cell r="P5">
            <v>10422.09</v>
          </cell>
          <cell r="Q5">
            <v>-2.4407572823386126E-2</v>
          </cell>
          <cell r="R5">
            <v>10682.832</v>
          </cell>
          <cell r="S5">
            <v>10422.09</v>
          </cell>
        </row>
        <row r="6">
          <cell r="B6" t="str">
            <v>PT01000012</v>
          </cell>
          <cell r="C6" t="str">
            <v>19 L</v>
          </cell>
          <cell r="D6" t="str">
            <v>ISO VG 100</v>
          </cell>
          <cell r="E6" t="str">
            <v>CUBETA</v>
          </cell>
          <cell r="F6">
            <v>2803.94</v>
          </cell>
          <cell r="G6">
            <v>-2.95958824083149E-2</v>
          </cell>
          <cell r="H6">
            <v>2889.4560000000001</v>
          </cell>
          <cell r="I6">
            <v>2803.94</v>
          </cell>
          <cell r="L6" t="str">
            <v>PT02900005</v>
          </cell>
          <cell r="M6" t="str">
            <v>200 L</v>
          </cell>
          <cell r="N6" t="str">
            <v>ISO VG 38</v>
          </cell>
          <cell r="O6" t="str">
            <v>TAMBOR</v>
          </cell>
          <cell r="P6">
            <v>109617.16</v>
          </cell>
          <cell r="Q6">
            <v>-2.4341329669418488E-2</v>
          </cell>
          <cell r="R6">
            <v>112351.95600000001</v>
          </cell>
          <cell r="S6">
            <v>109617.16</v>
          </cell>
        </row>
        <row r="7">
          <cell r="B7" t="str">
            <v>PT01000018</v>
          </cell>
          <cell r="C7" t="str">
            <v>200 L</v>
          </cell>
          <cell r="D7" t="str">
            <v>ISO VG 100</v>
          </cell>
          <cell r="E7" t="str">
            <v>TAMBOR</v>
          </cell>
          <cell r="F7">
            <v>29426.14</v>
          </cell>
          <cell r="G7">
            <v>-2.9366904557395324E-2</v>
          </cell>
          <cell r="H7">
            <v>30316.440000000002</v>
          </cell>
          <cell r="I7">
            <v>29426.14</v>
          </cell>
          <cell r="L7" t="str">
            <v>PT02900004</v>
          </cell>
          <cell r="M7" t="str">
            <v>19 L</v>
          </cell>
          <cell r="N7" t="str">
            <v>ISO VG 55</v>
          </cell>
          <cell r="O7" t="str">
            <v>CUBETA</v>
          </cell>
          <cell r="P7">
            <v>9443.4699999999993</v>
          </cell>
          <cell r="Q7">
            <v>-2.5978459754892658E-2</v>
          </cell>
          <cell r="R7">
            <v>9695.34</v>
          </cell>
          <cell r="S7">
            <v>9443.4699999999993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str">
            <v/>
          </cell>
          <cell r="H8">
            <v>0</v>
          </cell>
          <cell r="I8">
            <v>0</v>
          </cell>
          <cell r="L8" t="str">
            <v>PT02900006</v>
          </cell>
          <cell r="M8" t="str">
            <v>200 L</v>
          </cell>
          <cell r="N8" t="str">
            <v>ISO VG 55</v>
          </cell>
          <cell r="O8" t="str">
            <v>TAMBOR</v>
          </cell>
          <cell r="P8">
            <v>99315.9</v>
          </cell>
          <cell r="Q8">
            <v>-2.5907076643720162E-2</v>
          </cell>
          <cell r="R8">
            <v>101957.31599999999</v>
          </cell>
          <cell r="S8">
            <v>99315.9</v>
          </cell>
        </row>
        <row r="9">
          <cell r="B9" t="str">
            <v>PT01200004</v>
          </cell>
          <cell r="C9" t="str">
            <v>19 L</v>
          </cell>
          <cell r="D9" t="str">
            <v>ISO VG 32</v>
          </cell>
          <cell r="E9" t="str">
            <v>CUBETA</v>
          </cell>
          <cell r="F9">
            <v>3490.84</v>
          </cell>
          <cell r="G9">
            <v>-5.586424160597514E-2</v>
          </cell>
          <cell r="H9">
            <v>3697.3919999999998</v>
          </cell>
          <cell r="I9">
            <v>3490.84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str">
            <v/>
          </cell>
          <cell r="R9">
            <v>0</v>
          </cell>
          <cell r="S9">
            <v>0</v>
          </cell>
        </row>
        <row r="10">
          <cell r="B10" t="str">
            <v>PT01200007</v>
          </cell>
          <cell r="C10" t="str">
            <v>200 L</v>
          </cell>
          <cell r="D10" t="str">
            <v>ISO VG 32</v>
          </cell>
          <cell r="E10" t="str">
            <v>TAMBOR</v>
          </cell>
          <cell r="F10">
            <v>36656.58</v>
          </cell>
          <cell r="G10">
            <v>-5.5751996011223159E-2</v>
          </cell>
          <cell r="H10">
            <v>38820.923999999999</v>
          </cell>
          <cell r="I10">
            <v>36656.58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 t="str">
            <v/>
          </cell>
          <cell r="R10">
            <v>0</v>
          </cell>
          <cell r="S10">
            <v>0</v>
          </cell>
        </row>
        <row r="11">
          <cell r="B11" t="str">
            <v>PT01200005</v>
          </cell>
          <cell r="C11" t="str">
            <v>19 L</v>
          </cell>
          <cell r="D11" t="str">
            <v>ISO VG 46</v>
          </cell>
          <cell r="E11" t="str">
            <v>CUBETA</v>
          </cell>
          <cell r="F11">
            <v>3577.99</v>
          </cell>
          <cell r="G11">
            <v>-5.2509347823784358E-2</v>
          </cell>
          <cell r="H11">
            <v>3776.28</v>
          </cell>
          <cell r="I11">
            <v>3577.99</v>
          </cell>
          <cell r="L11" t="str">
            <v>PT05300010</v>
          </cell>
          <cell r="M11" t="str">
            <v>19 L</v>
          </cell>
          <cell r="N11" t="str">
            <v>ISO VG 46</v>
          </cell>
          <cell r="O11" t="str">
            <v>CUBETA</v>
          </cell>
          <cell r="P11">
            <v>1969.75</v>
          </cell>
          <cell r="Q11">
            <v>-6.0816287607876829E-2</v>
          </cell>
          <cell r="R11">
            <v>2097.3000000000002</v>
          </cell>
          <cell r="S11">
            <v>1969.75</v>
          </cell>
        </row>
        <row r="12">
          <cell r="B12" t="str">
            <v>PT01200008</v>
          </cell>
          <cell r="C12" t="str">
            <v>200 L</v>
          </cell>
          <cell r="D12" t="str">
            <v>ISO VG 46</v>
          </cell>
          <cell r="E12" t="str">
            <v>TAMBOR</v>
          </cell>
          <cell r="F12">
            <v>37574.019999999997</v>
          </cell>
          <cell r="G12">
            <v>-5.2389845611301777E-2</v>
          </cell>
          <cell r="H12">
            <v>39651.347999999998</v>
          </cell>
          <cell r="I12">
            <v>37574.019999999997</v>
          </cell>
          <cell r="L12" t="str">
            <v>PT05300019</v>
          </cell>
          <cell r="M12" t="str">
            <v>200 L</v>
          </cell>
          <cell r="N12" t="str">
            <v>ISO VG 46</v>
          </cell>
          <cell r="O12" t="str">
            <v>TAMBOR</v>
          </cell>
          <cell r="P12">
            <v>20647.939999999999</v>
          </cell>
          <cell r="Q12">
            <v>-6.064396118966997E-2</v>
          </cell>
          <cell r="R12">
            <v>21980.951999999997</v>
          </cell>
          <cell r="S12">
            <v>20647.939999999999</v>
          </cell>
        </row>
        <row r="13">
          <cell r="B13" t="str">
            <v>PT01200006</v>
          </cell>
          <cell r="C13" t="str">
            <v>19 L</v>
          </cell>
          <cell r="D13" t="str">
            <v>ISO VG 68</v>
          </cell>
          <cell r="E13" t="str">
            <v>CUBETA</v>
          </cell>
          <cell r="F13">
            <v>3900.27</v>
          </cell>
          <cell r="G13">
            <v>-4.3590143480973231E-2</v>
          </cell>
          <cell r="H13">
            <v>4078.0320000000002</v>
          </cell>
          <cell r="I13">
            <v>3900.27</v>
          </cell>
          <cell r="L13" t="str">
            <v>PT05300011</v>
          </cell>
          <cell r="M13" t="str">
            <v>19 L</v>
          </cell>
          <cell r="N13" t="str">
            <v>ISO VG 68</v>
          </cell>
          <cell r="O13" t="str">
            <v>CUBETA</v>
          </cell>
          <cell r="P13">
            <v>2037.81</v>
          </cell>
          <cell r="Q13">
            <v>-5.9854729860653544E-2</v>
          </cell>
          <cell r="R13">
            <v>2167.5479999999998</v>
          </cell>
          <cell r="S13">
            <v>2037.81</v>
          </cell>
        </row>
        <row r="14">
          <cell r="B14" t="str">
            <v>PT01200009</v>
          </cell>
          <cell r="C14" t="str">
            <v>200 L</v>
          </cell>
          <cell r="D14" t="str">
            <v>ISO VG 68</v>
          </cell>
          <cell r="E14" t="str">
            <v>TAMBOR</v>
          </cell>
          <cell r="F14">
            <v>40966.21</v>
          </cell>
          <cell r="G14">
            <v>-4.3458998537573512E-2</v>
          </cell>
          <cell r="H14">
            <v>42827.448000000004</v>
          </cell>
          <cell r="I14">
            <v>40966.21</v>
          </cell>
          <cell r="L14" t="str">
            <v>PT05300020</v>
          </cell>
          <cell r="M14" t="str">
            <v>200 L</v>
          </cell>
          <cell r="N14" t="str">
            <v>ISO VG 68</v>
          </cell>
          <cell r="O14" t="str">
            <v>TAMBOR</v>
          </cell>
          <cell r="P14">
            <v>21359.08</v>
          </cell>
          <cell r="Q14">
            <v>-5.9676486602806333E-2</v>
          </cell>
          <cell r="R14">
            <v>22714.608</v>
          </cell>
          <cell r="S14">
            <v>21359.08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 t="str">
            <v/>
          </cell>
          <cell r="H15">
            <v>0</v>
          </cell>
          <cell r="I15">
            <v>0</v>
          </cell>
          <cell r="L15" t="str">
            <v>PT05300012</v>
          </cell>
          <cell r="M15" t="str">
            <v>19 L</v>
          </cell>
          <cell r="N15" t="str">
            <v>ISO VG 100</v>
          </cell>
          <cell r="O15" t="str">
            <v>CUBETA</v>
          </cell>
          <cell r="P15">
            <v>2051.9299999999998</v>
          </cell>
          <cell r="Q15">
            <v>-5.4789964585659545E-2</v>
          </cell>
          <cell r="R15">
            <v>2170.8719999999998</v>
          </cell>
          <cell r="S15">
            <v>2051.9299999999998</v>
          </cell>
        </row>
        <row r="16">
          <cell r="B16" t="str">
            <v>PT01300002</v>
          </cell>
          <cell r="C16" t="str">
            <v>19 L</v>
          </cell>
          <cell r="D16" t="str">
            <v>ISO VG 46</v>
          </cell>
          <cell r="E16" t="str">
            <v>CUBETA</v>
          </cell>
          <cell r="F16">
            <v>3453.49</v>
          </cell>
          <cell r="G16">
            <v>-4.628282580575338E-2</v>
          </cell>
          <cell r="H16">
            <v>3621.0840000000003</v>
          </cell>
          <cell r="I16">
            <v>3453.49</v>
          </cell>
          <cell r="L16" t="str">
            <v>PT05300021</v>
          </cell>
          <cell r="M16" t="str">
            <v>200 L</v>
          </cell>
          <cell r="N16" t="str">
            <v>ISO VG 100</v>
          </cell>
          <cell r="O16" t="str">
            <v>TAMBOR</v>
          </cell>
          <cell r="P16">
            <v>21513.06</v>
          </cell>
          <cell r="Q16">
            <v>-5.4596223668910371E-2</v>
          </cell>
          <cell r="R16">
            <v>22755.42</v>
          </cell>
          <cell r="S16">
            <v>21513.06</v>
          </cell>
        </row>
        <row r="17">
          <cell r="B17" t="str">
            <v>PT01300003</v>
          </cell>
          <cell r="C17" t="str">
            <v>200 L</v>
          </cell>
          <cell r="D17" t="str">
            <v>ISO VG 46</v>
          </cell>
          <cell r="E17" t="str">
            <v>TAMBOR</v>
          </cell>
          <cell r="F17">
            <v>36266.31</v>
          </cell>
          <cell r="G17">
            <v>-4.6144928762106296E-2</v>
          </cell>
          <cell r="H17">
            <v>38020.775999999998</v>
          </cell>
          <cell r="I17">
            <v>36266.31</v>
          </cell>
          <cell r="L17" t="str">
            <v>PT05300013</v>
          </cell>
          <cell r="M17" t="str">
            <v>19 L</v>
          </cell>
          <cell r="N17" t="str">
            <v>ISO VG 150</v>
          </cell>
          <cell r="O17" t="str">
            <v>CUBETA</v>
          </cell>
          <cell r="P17">
            <v>2068.5100000000002</v>
          </cell>
          <cell r="Q17">
            <v>-5.0647493372693253E-2</v>
          </cell>
          <cell r="R17">
            <v>2178.864</v>
          </cell>
          <cell r="S17">
            <v>2068.5100000000002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str">
            <v/>
          </cell>
          <cell r="H18">
            <v>0</v>
          </cell>
          <cell r="I18">
            <v>0</v>
          </cell>
          <cell r="L18" t="str">
            <v>PT05300022</v>
          </cell>
          <cell r="M18" t="str">
            <v>200 L</v>
          </cell>
          <cell r="N18" t="str">
            <v>ISO VG 150</v>
          </cell>
          <cell r="O18" t="str">
            <v>TAMBOR</v>
          </cell>
          <cell r="P18">
            <v>21687.59</v>
          </cell>
          <cell r="Q18">
            <v>-5.0437652837856395E-2</v>
          </cell>
          <cell r="R18">
            <v>22839.564000000002</v>
          </cell>
          <cell r="S18">
            <v>21687.59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 t="str">
            <v/>
          </cell>
          <cell r="H19">
            <v>0</v>
          </cell>
          <cell r="I19">
            <v>0</v>
          </cell>
          <cell r="L19" t="str">
            <v>PT05300014</v>
          </cell>
          <cell r="M19" t="str">
            <v>19 L</v>
          </cell>
          <cell r="N19" t="str">
            <v>ISO VG 220</v>
          </cell>
          <cell r="O19" t="str">
            <v>CUBETA</v>
          </cell>
          <cell r="P19">
            <v>2066.7600000000002</v>
          </cell>
          <cell r="Q19">
            <v>-5.1398420374307197E-2</v>
          </cell>
          <cell r="R19">
            <v>2178.7439999999997</v>
          </cell>
          <cell r="S19">
            <v>2066.7600000000002</v>
          </cell>
        </row>
        <row r="20">
          <cell r="B20" t="str">
            <v>PT00700002</v>
          </cell>
          <cell r="C20" t="str">
            <v>19 L</v>
          </cell>
          <cell r="D20" t="str">
            <v>ISO VG 22</v>
          </cell>
          <cell r="E20" t="str">
            <v>CUBETA</v>
          </cell>
          <cell r="F20">
            <v>1822.07</v>
          </cell>
          <cell r="G20">
            <v>-6.3848042993516096E-2</v>
          </cell>
          <cell r="H20">
            <v>1946.3400000000001</v>
          </cell>
          <cell r="I20">
            <v>1822.07</v>
          </cell>
          <cell r="L20" t="str">
            <v>PT05300023</v>
          </cell>
          <cell r="M20" t="str">
            <v>200 L</v>
          </cell>
          <cell r="N20" t="str">
            <v>ISO VG 220</v>
          </cell>
          <cell r="O20" t="str">
            <v>TAMBOR</v>
          </cell>
          <cell r="P20">
            <v>21669.05</v>
          </cell>
          <cell r="Q20">
            <v>-5.1196560583427253E-2</v>
          </cell>
          <cell r="R20">
            <v>22838.292000000001</v>
          </cell>
          <cell r="S20">
            <v>21669.05</v>
          </cell>
        </row>
        <row r="21">
          <cell r="B21" t="str">
            <v>PT00700004</v>
          </cell>
          <cell r="C21" t="str">
            <v>200 L</v>
          </cell>
          <cell r="D21" t="str">
            <v>ISO VG 22</v>
          </cell>
          <cell r="E21" t="str">
            <v>TAMBOR</v>
          </cell>
          <cell r="F21">
            <v>19069.61</v>
          </cell>
          <cell r="G21">
            <v>7.6819393309692119E-2</v>
          </cell>
          <cell r="H21">
            <v>17709.2</v>
          </cell>
          <cell r="I21">
            <v>19069.61</v>
          </cell>
          <cell r="L21" t="str">
            <v>PT05300015</v>
          </cell>
          <cell r="M21" t="str">
            <v>19 L</v>
          </cell>
          <cell r="N21" t="str">
            <v>ISO VG 320</v>
          </cell>
          <cell r="O21" t="str">
            <v>CUBETA</v>
          </cell>
          <cell r="P21">
            <v>2071.3000000000002</v>
          </cell>
          <cell r="Q21">
            <v>-5.2170220399138212E-2</v>
          </cell>
          <cell r="R21">
            <v>2185.308</v>
          </cell>
          <cell r="S21">
            <v>2071.3000000000002</v>
          </cell>
        </row>
        <row r="22">
          <cell r="B22" t="str">
            <v>PT00700005</v>
          </cell>
          <cell r="C22" t="str">
            <v>200 L</v>
          </cell>
          <cell r="D22" t="str">
            <v>ISO VG 32</v>
          </cell>
          <cell r="E22" t="str">
            <v>TAMBOR</v>
          </cell>
          <cell r="F22" t="str">
            <v>SIN DATOS</v>
          </cell>
          <cell r="G22" t="str">
            <v/>
          </cell>
          <cell r="H22">
            <v>0</v>
          </cell>
          <cell r="I22" t="str">
            <v>SIN DATOS</v>
          </cell>
          <cell r="L22" t="str">
            <v>PT05300024</v>
          </cell>
          <cell r="M22" t="str">
            <v>200 L</v>
          </cell>
          <cell r="N22" t="str">
            <v>ISO VG 320</v>
          </cell>
          <cell r="O22" t="str">
            <v>TAMBOR</v>
          </cell>
          <cell r="P22">
            <v>21716.82</v>
          </cell>
          <cell r="Q22">
            <v>-5.1971114935212892E-2</v>
          </cell>
          <cell r="R22">
            <v>22907.34</v>
          </cell>
          <cell r="S22">
            <v>21716.82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 t="str">
            <v/>
          </cell>
          <cell r="H23">
            <v>0</v>
          </cell>
          <cell r="I23">
            <v>0</v>
          </cell>
          <cell r="L23" t="str">
            <v>PT05300016</v>
          </cell>
          <cell r="M23" t="str">
            <v>19 L</v>
          </cell>
          <cell r="N23" t="str">
            <v>ISO VG 460</v>
          </cell>
          <cell r="O23" t="str">
            <v>CUBETA</v>
          </cell>
          <cell r="P23">
            <v>2067.7399999999998</v>
          </cell>
          <cell r="Q23">
            <v>-5.2894348714284445E-2</v>
          </cell>
          <cell r="R23">
            <v>2183.2199999999998</v>
          </cell>
          <cell r="S23">
            <v>2067.7399999999998</v>
          </cell>
        </row>
        <row r="24">
          <cell r="B24" t="str">
            <v>PT03600003</v>
          </cell>
          <cell r="C24" t="str">
            <v>19 L</v>
          </cell>
          <cell r="D24" t="str">
            <v>ISO VG 22</v>
          </cell>
          <cell r="E24" t="str">
            <v>CUBETA</v>
          </cell>
          <cell r="F24">
            <v>2499.11</v>
          </cell>
          <cell r="G24">
            <v>-2.1145307501167165E-2</v>
          </cell>
          <cell r="H24">
            <v>2553.096</v>
          </cell>
          <cell r="I24">
            <v>2499.11</v>
          </cell>
          <cell r="L24" t="str">
            <v>PT05300025</v>
          </cell>
          <cell r="M24" t="str">
            <v>200 L</v>
          </cell>
          <cell r="N24" t="str">
            <v>ISO VG 460</v>
          </cell>
          <cell r="O24" t="str">
            <v>TAMBOR</v>
          </cell>
          <cell r="P24" t="str">
            <v>SIN DATOS</v>
          </cell>
          <cell r="Q24" t="str">
            <v/>
          </cell>
          <cell r="R24">
            <v>0</v>
          </cell>
          <cell r="S24" t="str">
            <v>SIN DATOS</v>
          </cell>
        </row>
        <row r="25">
          <cell r="B25" t="str">
            <v>PT03600005</v>
          </cell>
          <cell r="C25" t="str">
            <v>200 L</v>
          </cell>
          <cell r="D25" t="str">
            <v>ISO VG 22</v>
          </cell>
          <cell r="E25" t="str">
            <v>TAMBOR</v>
          </cell>
          <cell r="F25">
            <v>26217.25</v>
          </cell>
          <cell r="G25">
            <v>-2.0856890133399975E-2</v>
          </cell>
          <cell r="H25">
            <v>26775.707999999999</v>
          </cell>
          <cell r="I25">
            <v>26217.25</v>
          </cell>
          <cell r="L25" t="str">
            <v>PT05300017</v>
          </cell>
          <cell r="M25" t="str">
            <v>19 L</v>
          </cell>
          <cell r="N25" t="str">
            <v>ISO VG 680</v>
          </cell>
          <cell r="O25" t="str">
            <v>CUBETA</v>
          </cell>
          <cell r="P25">
            <v>2111.61</v>
          </cell>
          <cell r="Q25">
            <v>-3.6997613939844909E-2</v>
          </cell>
          <cell r="R25">
            <v>2192.7359999999999</v>
          </cell>
          <cell r="S25">
            <v>2111.61</v>
          </cell>
        </row>
        <row r="26">
          <cell r="B26" t="str">
            <v>PT03600004</v>
          </cell>
          <cell r="C26" t="str">
            <v>19 L</v>
          </cell>
          <cell r="D26" t="str">
            <v>ISO VG 32</v>
          </cell>
          <cell r="E26" t="str">
            <v>CUBETA</v>
          </cell>
          <cell r="F26">
            <v>2506.5300000000002</v>
          </cell>
          <cell r="G26">
            <v>-3.7829932286148504E-2</v>
          </cell>
          <cell r="H26">
            <v>2605.08</v>
          </cell>
          <cell r="I26">
            <v>2506.5300000000002</v>
          </cell>
          <cell r="L26" t="str">
            <v>PT05300026</v>
          </cell>
          <cell r="M26" t="str">
            <v>200 L</v>
          </cell>
          <cell r="N26" t="str">
            <v>ISO VG 680</v>
          </cell>
          <cell r="O26" t="str">
            <v>TAMBOR</v>
          </cell>
          <cell r="P26">
            <v>22141.119999999999</v>
          </cell>
          <cell r="Q26">
            <v>-3.6739188618679086E-2</v>
          </cell>
          <cell r="R26">
            <v>22985.592000000001</v>
          </cell>
          <cell r="S26">
            <v>22141.119999999999</v>
          </cell>
        </row>
        <row r="27">
          <cell r="B27" t="str">
            <v>PT03600006</v>
          </cell>
          <cell r="C27" t="str">
            <v>200 L</v>
          </cell>
          <cell r="D27" t="str">
            <v>ISO VG 32</v>
          </cell>
          <cell r="E27" t="str">
            <v>TAMBOR</v>
          </cell>
          <cell r="F27">
            <v>26295.46</v>
          </cell>
          <cell r="G27">
            <v>-3.7605594358092298E-2</v>
          </cell>
          <cell r="H27">
            <v>27322.956000000002</v>
          </cell>
          <cell r="I27">
            <v>26295.46</v>
          </cell>
          <cell r="L27" t="str">
            <v>PT05300018</v>
          </cell>
          <cell r="M27" t="str">
            <v>19 L</v>
          </cell>
          <cell r="N27" t="str">
            <v>ISO VG 1000</v>
          </cell>
          <cell r="O27" t="str">
            <v>CUBETA</v>
          </cell>
          <cell r="P27">
            <v>2109.52</v>
          </cell>
          <cell r="Q27">
            <v>-3.4919170957907419E-2</v>
          </cell>
          <cell r="R27">
            <v>2185.848</v>
          </cell>
          <cell r="S27">
            <v>2109.52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 t="str">
            <v/>
          </cell>
          <cell r="H28">
            <v>0</v>
          </cell>
          <cell r="I28">
            <v>0</v>
          </cell>
          <cell r="L28" t="str">
            <v>PT05300027</v>
          </cell>
          <cell r="M28" t="str">
            <v>200 L</v>
          </cell>
          <cell r="N28" t="str">
            <v>ISO VG 1000</v>
          </cell>
          <cell r="O28" t="str">
            <v>TAMBOR</v>
          </cell>
          <cell r="P28">
            <v>22119.17</v>
          </cell>
          <cell r="Q28">
            <v>-3.4650116492251248E-2</v>
          </cell>
          <cell r="R28">
            <v>22913.111999999997</v>
          </cell>
          <cell r="S28">
            <v>22119.17</v>
          </cell>
        </row>
        <row r="29">
          <cell r="B29" t="str">
            <v>PT03800001</v>
          </cell>
          <cell r="C29" t="str">
            <v>19 L</v>
          </cell>
          <cell r="D29" t="str">
            <v>ISO VG 15</v>
          </cell>
          <cell r="E29" t="str">
            <v>CUBETA</v>
          </cell>
          <cell r="F29">
            <v>3783.38</v>
          </cell>
          <cell r="G29" t="str">
            <v/>
          </cell>
          <cell r="H29">
            <v>0</v>
          </cell>
          <cell r="I29">
            <v>3783.38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 t="str">
            <v/>
          </cell>
          <cell r="R29">
            <v>0</v>
          </cell>
          <cell r="S29">
            <v>0</v>
          </cell>
        </row>
        <row r="30">
          <cell r="B30" t="str">
            <v>PT03800002</v>
          </cell>
          <cell r="C30" t="str">
            <v>200 L</v>
          </cell>
          <cell r="D30" t="str">
            <v>ISO VG 15</v>
          </cell>
          <cell r="E30" t="str">
            <v>TAMBOR</v>
          </cell>
          <cell r="F30">
            <v>39735.97</v>
          </cell>
          <cell r="G30">
            <v>-0.10000012683720294</v>
          </cell>
          <cell r="H30">
            <v>44151.084000000003</v>
          </cell>
          <cell r="I30">
            <v>39735.97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 t="str">
            <v/>
          </cell>
          <cell r="R30">
            <v>0</v>
          </cell>
          <cell r="S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 t="str">
            <v/>
          </cell>
          <cell r="H31">
            <v>0</v>
          </cell>
          <cell r="I31">
            <v>0</v>
          </cell>
          <cell r="L31" t="str">
            <v>PT03900009</v>
          </cell>
          <cell r="M31" t="str">
            <v>19 L</v>
          </cell>
          <cell r="N31" t="str">
            <v>ISO VG 68</v>
          </cell>
          <cell r="O31" t="str">
            <v>CUBETA</v>
          </cell>
          <cell r="P31">
            <v>2015.08</v>
          </cell>
          <cell r="Q31">
            <v>-5.4826338856868606E-2</v>
          </cell>
          <cell r="R31">
            <v>2131.9680000000003</v>
          </cell>
          <cell r="S31">
            <v>2015.08</v>
          </cell>
        </row>
        <row r="32">
          <cell r="B32" t="str">
            <v>PT01400002</v>
          </cell>
          <cell r="C32" t="str">
            <v>19 L</v>
          </cell>
          <cell r="D32" t="str">
            <v>ISO VG 32</v>
          </cell>
          <cell r="E32" t="str">
            <v>CUBETA</v>
          </cell>
          <cell r="F32">
            <v>2579.59</v>
          </cell>
          <cell r="G32">
            <v>-7.1036657389961455E-2</v>
          </cell>
          <cell r="H32">
            <v>2776.848</v>
          </cell>
          <cell r="I32">
            <v>2579.59</v>
          </cell>
          <cell r="L32" t="str">
            <v>PT03900017</v>
          </cell>
          <cell r="M32" t="str">
            <v>200 L</v>
          </cell>
          <cell r="N32" t="str">
            <v>ISO VG 68</v>
          </cell>
          <cell r="O32" t="str">
            <v>TAMBOR</v>
          </cell>
          <cell r="P32">
            <v>21122.36</v>
          </cell>
          <cell r="Q32">
            <v>-5.462341335911336E-2</v>
          </cell>
          <cell r="R32">
            <v>22342.799999999999</v>
          </cell>
          <cell r="S32">
            <v>21122.36</v>
          </cell>
        </row>
        <row r="33">
          <cell r="B33" t="str">
            <v>PT01400003</v>
          </cell>
          <cell r="C33" t="str">
            <v>200 L</v>
          </cell>
          <cell r="D33" t="str">
            <v>ISO VG 32</v>
          </cell>
          <cell r="E33" t="str">
            <v>TAMBOR</v>
          </cell>
          <cell r="F33">
            <v>20094.66</v>
          </cell>
          <cell r="G33">
            <v>-6.0418519443283247E-2</v>
          </cell>
          <cell r="H33">
            <v>21386.82</v>
          </cell>
          <cell r="I33">
            <v>20094.66</v>
          </cell>
          <cell r="L33" t="str">
            <v>PT03900010</v>
          </cell>
          <cell r="M33" t="str">
            <v>19 L</v>
          </cell>
          <cell r="N33" t="str">
            <v>ISO VG 100</v>
          </cell>
          <cell r="O33" t="str">
            <v>CUBETA</v>
          </cell>
          <cell r="P33">
            <v>2030</v>
          </cell>
          <cell r="Q33">
            <v>-5.2186694008512502E-2</v>
          </cell>
          <cell r="R33">
            <v>2141.7719999999999</v>
          </cell>
          <cell r="S33">
            <v>2030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 t="str">
            <v/>
          </cell>
          <cell r="H34">
            <v>0</v>
          </cell>
          <cell r="I34">
            <v>0</v>
          </cell>
          <cell r="L34" t="str">
            <v>PT03900018</v>
          </cell>
          <cell r="M34" t="str">
            <v>200 L</v>
          </cell>
          <cell r="N34" t="str">
            <v>ISO VG 100</v>
          </cell>
          <cell r="O34" t="str">
            <v>TAMBOR</v>
          </cell>
          <cell r="P34">
            <v>21279.42</v>
          </cell>
          <cell r="Q34">
            <v>-5.1976282366224758E-2</v>
          </cell>
          <cell r="R34">
            <v>22446.083999999999</v>
          </cell>
          <cell r="S34">
            <v>21279.42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 t="str">
            <v/>
          </cell>
          <cell r="H35">
            <v>0</v>
          </cell>
          <cell r="I35">
            <v>0</v>
          </cell>
          <cell r="L35" t="str">
            <v>PT03900011</v>
          </cell>
          <cell r="M35" t="str">
            <v>19 L</v>
          </cell>
          <cell r="N35" t="str">
            <v>ISO VG 150</v>
          </cell>
          <cell r="O35" t="str">
            <v>CUBETA</v>
          </cell>
          <cell r="P35">
            <v>2035.18</v>
          </cell>
          <cell r="Q35">
            <v>-4.7393036614317596E-2</v>
          </cell>
          <cell r="R35">
            <v>2136.4319999999998</v>
          </cell>
          <cell r="S35">
            <v>2035.18</v>
          </cell>
        </row>
        <row r="36">
          <cell r="B36" t="str">
            <v>PT04300002</v>
          </cell>
          <cell r="C36" t="str">
            <v>19 L</v>
          </cell>
          <cell r="D36" t="str">
            <v>ISO VG 68</v>
          </cell>
          <cell r="E36" t="str">
            <v>CUBETA</v>
          </cell>
          <cell r="F36">
            <v>2026.12</v>
          </cell>
          <cell r="G36">
            <v>-5.6171693908429021E-2</v>
          </cell>
          <cell r="H36">
            <v>2146.7040000000002</v>
          </cell>
          <cell r="I36">
            <v>2026.12</v>
          </cell>
          <cell r="L36" t="str">
            <v>PT03900019</v>
          </cell>
          <cell r="M36" t="str">
            <v>200 L</v>
          </cell>
          <cell r="N36" t="str">
            <v>ISO VG 150</v>
          </cell>
          <cell r="O36" t="str">
            <v>TAMBOR</v>
          </cell>
          <cell r="P36">
            <v>21333.9</v>
          </cell>
          <cell r="Q36">
            <v>-4.7161059030913388E-2</v>
          </cell>
          <cell r="R36">
            <v>22389.827999999998</v>
          </cell>
          <cell r="S36">
            <v>21333.9</v>
          </cell>
        </row>
        <row r="37">
          <cell r="B37" t="str">
            <v>PT04300003</v>
          </cell>
          <cell r="C37" t="str">
            <v>200 L</v>
          </cell>
          <cell r="D37" t="str">
            <v>ISO VG 68</v>
          </cell>
          <cell r="E37" t="str">
            <v>TAMBOR</v>
          </cell>
          <cell r="F37">
            <v>21220.39</v>
          </cell>
          <cell r="G37">
            <v>-5.5938571114102054E-2</v>
          </cell>
          <cell r="H37">
            <v>22477.764000000003</v>
          </cell>
          <cell r="I37">
            <v>21220.39</v>
          </cell>
          <cell r="L37" t="str">
            <v>PT03900012</v>
          </cell>
          <cell r="M37" t="str">
            <v>19 L</v>
          </cell>
          <cell r="N37" t="str">
            <v>ISO VG 220</v>
          </cell>
          <cell r="O37" t="str">
            <v>CUBETA</v>
          </cell>
          <cell r="P37">
            <v>2036.39</v>
          </cell>
          <cell r="Q37">
            <v>-4.9235145043243111E-2</v>
          </cell>
          <cell r="R37">
            <v>2141.8440000000001</v>
          </cell>
          <cell r="S37">
            <v>2036.39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str">
            <v/>
          </cell>
          <cell r="H38">
            <v>0</v>
          </cell>
          <cell r="I38">
            <v>0</v>
          </cell>
          <cell r="L38" t="str">
            <v>PT03900020</v>
          </cell>
          <cell r="M38" t="str">
            <v>200 L</v>
          </cell>
          <cell r="N38" t="str">
            <v>ISO VG 220</v>
          </cell>
          <cell r="O38" t="str">
            <v>TAMBOR</v>
          </cell>
          <cell r="P38">
            <v>21346.6</v>
          </cell>
          <cell r="Q38">
            <v>-4.9010786959990504E-2</v>
          </cell>
          <cell r="R38">
            <v>22446.732</v>
          </cell>
          <cell r="S38">
            <v>21346.6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 t="str">
            <v/>
          </cell>
          <cell r="H39">
            <v>0</v>
          </cell>
          <cell r="I39">
            <v>0</v>
          </cell>
          <cell r="L39" t="str">
            <v>PT03900013</v>
          </cell>
          <cell r="M39" t="str">
            <v>19 L</v>
          </cell>
          <cell r="N39" t="str">
            <v>ISO VG 320</v>
          </cell>
          <cell r="O39" t="str">
            <v>CUBETA</v>
          </cell>
          <cell r="P39">
            <v>2041.55</v>
          </cell>
          <cell r="Q39">
            <v>-5.0888604991511044E-2</v>
          </cell>
          <cell r="R39">
            <v>2151.0120000000002</v>
          </cell>
          <cell r="S39">
            <v>2041.55</v>
          </cell>
        </row>
        <row r="40">
          <cell r="B40" t="str">
            <v>PT02800005</v>
          </cell>
          <cell r="C40" t="str">
            <v>19 L</v>
          </cell>
          <cell r="D40" t="str">
            <v>ISO VG 46</v>
          </cell>
          <cell r="E40" t="str">
            <v>CUBETA</v>
          </cell>
          <cell r="F40">
            <v>2048.08</v>
          </cell>
          <cell r="G40">
            <v>-3.8692973908668216E-2</v>
          </cell>
          <cell r="H40">
            <v>2130.5160000000001</v>
          </cell>
          <cell r="I40">
            <v>2048.08</v>
          </cell>
          <cell r="L40" t="str">
            <v>PT03900021</v>
          </cell>
          <cell r="M40" t="str">
            <v>200 L</v>
          </cell>
          <cell r="N40" t="str">
            <v>ISO VG 320</v>
          </cell>
          <cell r="O40" t="str">
            <v>TAMBOR</v>
          </cell>
          <cell r="P40">
            <v>21400.98</v>
          </cell>
          <cell r="Q40">
            <v>-5.0672598715326145E-2</v>
          </cell>
          <cell r="R40">
            <v>22543.308000000001</v>
          </cell>
          <cell r="S40">
            <v>21400.98</v>
          </cell>
        </row>
        <row r="41">
          <cell r="B41" t="str">
            <v>PT02800009</v>
          </cell>
          <cell r="C41" t="str">
            <v>200 L</v>
          </cell>
          <cell r="D41" t="str">
            <v>ISO VG 46</v>
          </cell>
          <cell r="E41" t="str">
            <v>TAMBOR</v>
          </cell>
          <cell r="F41">
            <v>21469.64</v>
          </cell>
          <cell r="G41">
            <v>-3.8426328516695585E-2</v>
          </cell>
          <cell r="H41">
            <v>22327.608</v>
          </cell>
          <cell r="I41">
            <v>21469.64</v>
          </cell>
          <cell r="L41" t="str">
            <v>PT03900014</v>
          </cell>
          <cell r="M41" t="str">
            <v>19 L</v>
          </cell>
          <cell r="N41" t="str">
            <v>ISO VG 460</v>
          </cell>
          <cell r="O41" t="str">
            <v>CUBETA</v>
          </cell>
          <cell r="P41">
            <v>2036.31</v>
          </cell>
          <cell r="Q41">
            <v>-5.3973820063108469E-2</v>
          </cell>
          <cell r="R41">
            <v>2152.4880000000003</v>
          </cell>
          <cell r="S41">
            <v>2036.31</v>
          </cell>
        </row>
        <row r="42">
          <cell r="B42" t="str">
            <v>PT02800006</v>
          </cell>
          <cell r="C42" t="str">
            <v>19 L</v>
          </cell>
          <cell r="D42" t="str">
            <v>ISO VG 68</v>
          </cell>
          <cell r="E42" t="str">
            <v>CUBETA</v>
          </cell>
          <cell r="F42">
            <v>2187.4299999999998</v>
          </cell>
          <cell r="G42">
            <v>-3.7896861002325921E-2</v>
          </cell>
          <cell r="H42">
            <v>2273.5920000000001</v>
          </cell>
          <cell r="I42">
            <v>2187.4299999999998</v>
          </cell>
          <cell r="L42" t="str">
            <v>PT03900022</v>
          </cell>
          <cell r="M42" t="str">
            <v>200 L</v>
          </cell>
          <cell r="N42" t="str">
            <v>ISO VG 460</v>
          </cell>
          <cell r="O42" t="str">
            <v>TAMBOR</v>
          </cell>
          <cell r="P42">
            <v>21345.79</v>
          </cell>
          <cell r="Q42">
            <v>-5.3772543937993911E-2</v>
          </cell>
          <cell r="R42">
            <v>22558.835999999999</v>
          </cell>
          <cell r="S42">
            <v>21345.79</v>
          </cell>
        </row>
        <row r="43">
          <cell r="B43" t="str">
            <v>PT02800010</v>
          </cell>
          <cell r="C43" t="str">
            <v>200 L</v>
          </cell>
          <cell r="D43" t="str">
            <v>ISO VG 68</v>
          </cell>
          <cell r="E43" t="str">
            <v>TAMBOR</v>
          </cell>
          <cell r="F43">
            <v>22931.34</v>
          </cell>
          <cell r="G43">
            <v>-3.7624864339474873E-2</v>
          </cell>
          <cell r="H43">
            <v>23827.86</v>
          </cell>
          <cell r="I43">
            <v>22931.34</v>
          </cell>
          <cell r="L43" t="str">
            <v>PT03900015</v>
          </cell>
          <cell r="M43" t="str">
            <v>19 L</v>
          </cell>
          <cell r="N43" t="str">
            <v>ISO VG 680</v>
          </cell>
          <cell r="O43" t="str">
            <v>CUBETA</v>
          </cell>
          <cell r="P43">
            <v>2065.06</v>
          </cell>
          <cell r="Q43">
            <v>-3.743499961778185E-2</v>
          </cell>
          <cell r="R43">
            <v>2145.3719999999998</v>
          </cell>
          <cell r="S43">
            <v>2065.06</v>
          </cell>
        </row>
        <row r="44">
          <cell r="B44" t="str">
            <v>PT02800007</v>
          </cell>
          <cell r="C44" t="str">
            <v>19 L</v>
          </cell>
          <cell r="D44" t="str">
            <v>ISO VG 100</v>
          </cell>
          <cell r="E44" t="str">
            <v>CUBETA</v>
          </cell>
          <cell r="F44">
            <v>2310.5300000000002</v>
          </cell>
          <cell r="G44">
            <v>-3.7255098044117751E-2</v>
          </cell>
          <cell r="H44">
            <v>2399.94</v>
          </cell>
          <cell r="I44">
            <v>2310.5300000000002</v>
          </cell>
          <cell r="L44" t="str">
            <v>PT03900023</v>
          </cell>
          <cell r="M44" t="str">
            <v>200 L</v>
          </cell>
          <cell r="N44" t="str">
            <v>ISO VG 680</v>
          </cell>
          <cell r="O44" t="str">
            <v>TAMBOR</v>
          </cell>
          <cell r="P44">
            <v>21648.5</v>
          </cell>
          <cell r="Q44">
            <v>-3.7155818285682374E-2</v>
          </cell>
          <cell r="R44">
            <v>22483.907999999999</v>
          </cell>
          <cell r="S44">
            <v>21648.5</v>
          </cell>
        </row>
        <row r="45">
          <cell r="B45" t="str">
            <v>PT02800011</v>
          </cell>
          <cell r="C45" t="str">
            <v>200 L</v>
          </cell>
          <cell r="D45" t="str">
            <v>ISO VG 100</v>
          </cell>
          <cell r="E45" t="str">
            <v>TAMBOR</v>
          </cell>
          <cell r="F45">
            <v>24211.37</v>
          </cell>
          <cell r="G45">
            <v>-3.6950297195993409E-2</v>
          </cell>
          <cell r="H45">
            <v>25140.311999999998</v>
          </cell>
          <cell r="I45">
            <v>24211.37</v>
          </cell>
          <cell r="L45" t="str">
            <v>PT03900016</v>
          </cell>
          <cell r="M45" t="str">
            <v>19 L</v>
          </cell>
          <cell r="N45" t="str">
            <v>ISO VG 1000</v>
          </cell>
          <cell r="O45" t="str">
            <v>CUBETA</v>
          </cell>
          <cell r="P45">
            <v>2072.98</v>
          </cell>
          <cell r="Q45">
            <v>-3.5647429670898179E-2</v>
          </cell>
          <cell r="R45">
            <v>2149.6080000000002</v>
          </cell>
          <cell r="S45">
            <v>2072.98</v>
          </cell>
        </row>
        <row r="46">
          <cell r="B46" t="str">
            <v>PT02800008</v>
          </cell>
          <cell r="C46" t="str">
            <v>19 L</v>
          </cell>
          <cell r="D46" t="str">
            <v>ISO VG 150</v>
          </cell>
          <cell r="E46" t="str">
            <v>CUBETA</v>
          </cell>
          <cell r="F46">
            <v>2284.12</v>
          </cell>
          <cell r="G46">
            <v>-3.9601329350663406E-2</v>
          </cell>
          <cell r="H46">
            <v>2378.3040000000001</v>
          </cell>
          <cell r="I46">
            <v>2284.12</v>
          </cell>
          <cell r="L46" t="str">
            <v>PT03900024</v>
          </cell>
          <cell r="M46" t="str">
            <v>200 L</v>
          </cell>
          <cell r="N46" t="str">
            <v>ISO VG 1000</v>
          </cell>
          <cell r="O46" t="str">
            <v>TAMBOR</v>
          </cell>
          <cell r="P46">
            <v>21725.279999999999</v>
          </cell>
          <cell r="Q46">
            <v>-3.5347262517323674E-2</v>
          </cell>
          <cell r="R46">
            <v>22521.348000000002</v>
          </cell>
          <cell r="S46">
            <v>21725.279999999999</v>
          </cell>
        </row>
        <row r="47">
          <cell r="B47" t="str">
            <v>PT02800012</v>
          </cell>
          <cell r="C47" t="str">
            <v>200 L</v>
          </cell>
          <cell r="D47" t="str">
            <v>ISO VG 150</v>
          </cell>
          <cell r="E47" t="str">
            <v>TAMBOR</v>
          </cell>
          <cell r="F47">
            <v>23954.39</v>
          </cell>
          <cell r="G47">
            <v>-3.9358702769572873E-2</v>
          </cell>
          <cell r="H47">
            <v>24935.832000000002</v>
          </cell>
          <cell r="I47">
            <v>23954.39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 t="str">
            <v/>
          </cell>
          <cell r="R47">
            <v>0</v>
          </cell>
          <cell r="S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str">
            <v/>
          </cell>
          <cell r="H48">
            <v>0</v>
          </cell>
          <cell r="I48">
            <v>0</v>
          </cell>
          <cell r="L48" t="str">
            <v>PT02300012</v>
          </cell>
          <cell r="M48" t="str">
            <v>19 L</v>
          </cell>
          <cell r="N48" t="str">
            <v>ISO VG 32</v>
          </cell>
          <cell r="O48" t="str">
            <v>CUBETA</v>
          </cell>
          <cell r="P48">
            <v>1928.44</v>
          </cell>
          <cell r="Q48">
            <v>-6.2002653810085295E-2</v>
          </cell>
          <cell r="R48">
            <v>2055.9120000000003</v>
          </cell>
          <cell r="S48">
            <v>1928.44</v>
          </cell>
        </row>
        <row r="49">
          <cell r="B49" t="str">
            <v>PT04200004</v>
          </cell>
          <cell r="C49" t="str">
            <v>19 L</v>
          </cell>
          <cell r="D49" t="str">
            <v>ISO VG 46</v>
          </cell>
          <cell r="E49" t="str">
            <v>CUBETA</v>
          </cell>
          <cell r="F49">
            <v>6425.58</v>
          </cell>
          <cell r="G49">
            <v>-3.3761898317318573E-2</v>
          </cell>
          <cell r="H49">
            <v>6650.1</v>
          </cell>
          <cell r="I49">
            <v>6425.58</v>
          </cell>
          <cell r="L49" t="str">
            <v>PT02300022</v>
          </cell>
          <cell r="M49" t="str">
            <v>200 L</v>
          </cell>
          <cell r="N49" t="str">
            <v>ISO VG 32</v>
          </cell>
          <cell r="O49" t="str">
            <v>TAMBOR</v>
          </cell>
          <cell r="P49">
            <v>20213.09</v>
          </cell>
          <cell r="Q49">
            <v>-6.1834716927187006E-2</v>
          </cell>
          <cell r="R49">
            <v>21545.34</v>
          </cell>
          <cell r="S49">
            <v>20213.09</v>
          </cell>
        </row>
        <row r="50">
          <cell r="B50" t="str">
            <v>PT04200007</v>
          </cell>
          <cell r="C50" t="str">
            <v>200 L</v>
          </cell>
          <cell r="D50" t="str">
            <v>ISO VG 46</v>
          </cell>
          <cell r="E50" t="str">
            <v>TAMBOR</v>
          </cell>
          <cell r="F50">
            <v>67543.56</v>
          </cell>
          <cell r="G50">
            <v>-3.3662317203126069E-2</v>
          </cell>
          <cell r="H50">
            <v>69896.436000000002</v>
          </cell>
          <cell r="I50">
            <v>67543.56</v>
          </cell>
          <cell r="L50" t="str">
            <v>PT02300013</v>
          </cell>
          <cell r="M50" t="str">
            <v>19 L</v>
          </cell>
          <cell r="N50" t="str">
            <v>ISO VG 46</v>
          </cell>
          <cell r="O50" t="str">
            <v>CUBETA</v>
          </cell>
          <cell r="P50">
            <v>1997.33</v>
          </cell>
          <cell r="Q50">
            <v>-6.0942607073408483E-2</v>
          </cell>
          <cell r="R50">
            <v>2126.9520000000002</v>
          </cell>
          <cell r="S50">
            <v>1997.33</v>
          </cell>
        </row>
        <row r="51">
          <cell r="B51" t="str">
            <v>PT04200005</v>
          </cell>
          <cell r="C51" t="str">
            <v>19 L</v>
          </cell>
          <cell r="D51" t="str">
            <v>ISO VG 68</v>
          </cell>
          <cell r="E51" t="str">
            <v>CUBETA</v>
          </cell>
          <cell r="F51">
            <v>7153.91</v>
          </cell>
          <cell r="G51">
            <v>-3.1295480531691844E-2</v>
          </cell>
          <cell r="H51">
            <v>7385.0279999999993</v>
          </cell>
          <cell r="I51">
            <v>7153.91</v>
          </cell>
          <cell r="L51" t="str">
            <v>PT02300023</v>
          </cell>
          <cell r="M51" t="str">
            <v>200 L</v>
          </cell>
          <cell r="N51" t="str">
            <v>ISO VG 46</v>
          </cell>
          <cell r="O51" t="str">
            <v>TAMBOR</v>
          </cell>
          <cell r="P51" t="str">
            <v>SIN DATOS</v>
          </cell>
          <cell r="Q51" t="str">
            <v/>
          </cell>
          <cell r="R51">
            <v>0</v>
          </cell>
          <cell r="S51" t="str">
            <v>SIN DATOS</v>
          </cell>
        </row>
        <row r="52">
          <cell r="B52" t="str">
            <v>PT04200008</v>
          </cell>
          <cell r="C52" t="str">
            <v>200 L</v>
          </cell>
          <cell r="D52" t="str">
            <v>ISO VG 68</v>
          </cell>
          <cell r="E52" t="str">
            <v>TAMBOR</v>
          </cell>
          <cell r="F52">
            <v>68242.649999999994</v>
          </cell>
          <cell r="G52">
            <v>-2.35827375902673E-2</v>
          </cell>
          <cell r="H52">
            <v>69890.868000000002</v>
          </cell>
          <cell r="I52">
            <v>68242.649999999994</v>
          </cell>
          <cell r="L52" t="str">
            <v>PT02300014</v>
          </cell>
          <cell r="M52" t="str">
            <v>19 L</v>
          </cell>
          <cell r="N52" t="str">
            <v>ISO VG 68</v>
          </cell>
          <cell r="O52" t="str">
            <v>CUBETA</v>
          </cell>
          <cell r="P52">
            <v>2016.77</v>
          </cell>
          <cell r="Q52">
            <v>-5.4773166556994712E-2</v>
          </cell>
          <cell r="R52">
            <v>2133.636</v>
          </cell>
          <cell r="S52">
            <v>2016.77</v>
          </cell>
        </row>
        <row r="53">
          <cell r="B53" t="str">
            <v>PT04200006</v>
          </cell>
          <cell r="C53" t="str">
            <v>19 L</v>
          </cell>
          <cell r="D53" t="str">
            <v>ISO VG 100</v>
          </cell>
          <cell r="E53" t="str">
            <v>CUBETA</v>
          </cell>
          <cell r="F53">
            <v>7648.86</v>
          </cell>
          <cell r="G53">
            <v>-2.9882548828912836E-2</v>
          </cell>
          <cell r="H53">
            <v>7884.4680000000008</v>
          </cell>
          <cell r="I53">
            <v>7648.86</v>
          </cell>
          <cell r="L53" t="str">
            <v>PT02300024</v>
          </cell>
          <cell r="M53" t="str">
            <v>200 L</v>
          </cell>
          <cell r="N53" t="str">
            <v>ISO VG 68</v>
          </cell>
          <cell r="O53" t="str">
            <v>TAMBOR</v>
          </cell>
          <cell r="P53">
            <v>21142.85</v>
          </cell>
          <cell r="Q53">
            <v>-5.4582750687816817E-2</v>
          </cell>
          <cell r="R53">
            <v>22363.511999999999</v>
          </cell>
          <cell r="S53">
            <v>21142.85</v>
          </cell>
        </row>
        <row r="54">
          <cell r="B54" t="str">
            <v>PT04200009</v>
          </cell>
          <cell r="C54" t="str">
            <v>200 L</v>
          </cell>
          <cell r="D54" t="str">
            <v>ISO VG 100</v>
          </cell>
          <cell r="E54" t="str">
            <v>TAMBOR</v>
          </cell>
          <cell r="F54" t="str">
            <v>SIN DATOS</v>
          </cell>
          <cell r="G54" t="str">
            <v/>
          </cell>
          <cell r="H54">
            <v>0</v>
          </cell>
          <cell r="I54" t="str">
            <v>SIN DATOS</v>
          </cell>
          <cell r="L54" t="str">
            <v>PT02300015</v>
          </cell>
          <cell r="M54" t="str">
            <v>19 L</v>
          </cell>
          <cell r="N54" t="str">
            <v>ISO VG 100</v>
          </cell>
          <cell r="O54" t="str">
            <v>CUBETA</v>
          </cell>
          <cell r="P54">
            <v>2026.46</v>
          </cell>
          <cell r="Q54">
            <v>-5.2209263603743228E-2</v>
          </cell>
          <cell r="R54">
            <v>2138.0880000000002</v>
          </cell>
          <cell r="S54">
            <v>2026.46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 t="str">
            <v/>
          </cell>
          <cell r="H55">
            <v>0</v>
          </cell>
          <cell r="I55">
            <v>0</v>
          </cell>
          <cell r="L55" t="str">
            <v>PT02300025</v>
          </cell>
          <cell r="M55" t="str">
            <v>200 L</v>
          </cell>
          <cell r="N55" t="str">
            <v>ISO VG 100</v>
          </cell>
          <cell r="O55" t="str">
            <v>TAMBOR</v>
          </cell>
          <cell r="P55">
            <v>21244.93</v>
          </cell>
          <cell r="Q55">
            <v>-5.2006103592580732E-2</v>
          </cell>
          <cell r="R55">
            <v>22410.407999999999</v>
          </cell>
          <cell r="S55">
            <v>21244.93</v>
          </cell>
        </row>
        <row r="56">
          <cell r="B56" t="str">
            <v>PT02500004</v>
          </cell>
          <cell r="C56" t="str">
            <v>19 L</v>
          </cell>
          <cell r="D56" t="str">
            <v>ISO VG 68</v>
          </cell>
          <cell r="E56" t="str">
            <v>CUBETA</v>
          </cell>
          <cell r="F56">
            <v>8049.96</v>
          </cell>
          <cell r="G56">
            <v>-2.8862119933349417E-2</v>
          </cell>
          <cell r="H56">
            <v>8289.2039999999997</v>
          </cell>
          <cell r="I56">
            <v>8049.96</v>
          </cell>
          <cell r="L56" t="str">
            <v>PT02300016</v>
          </cell>
          <cell r="M56" t="str">
            <v>19 L</v>
          </cell>
          <cell r="N56" t="str">
            <v>ISO VG 150</v>
          </cell>
          <cell r="O56" t="str">
            <v>CUBETA</v>
          </cell>
          <cell r="P56">
            <v>2024.55</v>
          </cell>
          <cell r="Q56">
            <v>-5.1969251689977125E-2</v>
          </cell>
          <cell r="R56">
            <v>2135.5320000000002</v>
          </cell>
          <cell r="S56">
            <v>2024.55</v>
          </cell>
        </row>
        <row r="57">
          <cell r="B57" t="str">
            <v>PT02500007</v>
          </cell>
          <cell r="C57" t="str">
            <v>200 L</v>
          </cell>
          <cell r="D57" t="str">
            <v>ISO VG 68</v>
          </cell>
          <cell r="E57" t="str">
            <v>TAMBOR</v>
          </cell>
          <cell r="F57">
            <v>84647.33</v>
          </cell>
          <cell r="G57">
            <v>-2.878126826327454E-2</v>
          </cell>
          <cell r="H57">
            <v>87155.784000000014</v>
          </cell>
          <cell r="I57">
            <v>84647.33</v>
          </cell>
          <cell r="L57" t="str">
            <v>PT02300026</v>
          </cell>
          <cell r="M57" t="str">
            <v>200 L</v>
          </cell>
          <cell r="N57" t="str">
            <v>ISO VG 150</v>
          </cell>
          <cell r="O57" t="str">
            <v>TAMBOR</v>
          </cell>
          <cell r="P57">
            <v>21224.7</v>
          </cell>
          <cell r="Q57">
            <v>-5.1764346371590331E-2</v>
          </cell>
          <cell r="R57">
            <v>22383.360000000001</v>
          </cell>
          <cell r="S57">
            <v>21224.7</v>
          </cell>
        </row>
        <row r="58">
          <cell r="B58" t="str">
            <v>PT02500005</v>
          </cell>
          <cell r="C58" t="str">
            <v>19 L</v>
          </cell>
          <cell r="D58" t="str">
            <v>ISO VG 100</v>
          </cell>
          <cell r="E58" t="str">
            <v>CUBETA</v>
          </cell>
          <cell r="F58">
            <v>8466.24</v>
          </cell>
          <cell r="G58">
            <v>-2.7904080069222958E-2</v>
          </cell>
          <cell r="H58">
            <v>8709.264000000001</v>
          </cell>
          <cell r="I58">
            <v>8466.24</v>
          </cell>
          <cell r="L58" t="str">
            <v>PT02300017</v>
          </cell>
          <cell r="M58" t="str">
            <v>19 L</v>
          </cell>
          <cell r="N58" t="str">
            <v>ISO VG 220</v>
          </cell>
          <cell r="O58" t="str">
            <v>CUBETA</v>
          </cell>
          <cell r="P58">
            <v>2029.62</v>
          </cell>
          <cell r="Q58">
            <v>-4.9482971788243346E-2</v>
          </cell>
          <cell r="R58">
            <v>2135.2800000000002</v>
          </cell>
          <cell r="S58">
            <v>2029.62</v>
          </cell>
        </row>
        <row r="59">
          <cell r="B59" t="str">
            <v>PT02500008</v>
          </cell>
          <cell r="C59" t="str">
            <v>200 L</v>
          </cell>
          <cell r="D59" t="str">
            <v>ISO VG 100</v>
          </cell>
          <cell r="E59" t="str">
            <v>TAMBOR</v>
          </cell>
          <cell r="F59" t="str">
            <v>SIN DATOS</v>
          </cell>
          <cell r="G59" t="str">
            <v/>
          </cell>
          <cell r="H59">
            <v>0</v>
          </cell>
          <cell r="I59" t="str">
            <v>SIN DATOS</v>
          </cell>
          <cell r="L59" t="str">
            <v>PT02300027</v>
          </cell>
          <cell r="M59" t="str">
            <v>200 L</v>
          </cell>
          <cell r="N59" t="str">
            <v>ISO VG 220</v>
          </cell>
          <cell r="O59" t="str">
            <v>TAMBOR</v>
          </cell>
          <cell r="P59">
            <v>21257.279999999999</v>
          </cell>
          <cell r="Q59">
            <v>-4.9211863060401706E-2</v>
          </cell>
          <cell r="R59">
            <v>22357.536</v>
          </cell>
          <cell r="S59">
            <v>21257.279999999999</v>
          </cell>
        </row>
        <row r="60">
          <cell r="B60" t="str">
            <v>PT02500006</v>
          </cell>
          <cell r="C60" t="str">
            <v>19 L</v>
          </cell>
          <cell r="D60" t="str">
            <v>ISO VG 150</v>
          </cell>
          <cell r="E60" t="str">
            <v>CUBETA</v>
          </cell>
          <cell r="F60">
            <v>8836.25</v>
          </cell>
          <cell r="G60">
            <v>-2.7125432969781982E-2</v>
          </cell>
          <cell r="H60">
            <v>9082.6200000000008</v>
          </cell>
          <cell r="I60">
            <v>8836.25</v>
          </cell>
          <cell r="L60" t="str">
            <v>PT02300018</v>
          </cell>
          <cell r="M60" t="str">
            <v>19 L</v>
          </cell>
          <cell r="N60" t="str">
            <v>ISO VG 320</v>
          </cell>
          <cell r="O60" t="str">
            <v>CUBETA</v>
          </cell>
          <cell r="P60">
            <v>2040.07</v>
          </cell>
          <cell r="Q60">
            <v>-5.0909513840428078E-2</v>
          </cell>
          <cell r="R60">
            <v>2149.5</v>
          </cell>
          <cell r="S60">
            <v>2040.07</v>
          </cell>
        </row>
      </sheetData>
      <sheetData sheetId="8">
        <row r="3">
          <cell r="B3" t="str">
            <v>PT02300028</v>
          </cell>
          <cell r="C3" t="str">
            <v>200 L</v>
          </cell>
          <cell r="D3" t="str">
            <v>ISO VG 320</v>
          </cell>
          <cell r="E3" t="str">
            <v>TAMBOR</v>
          </cell>
          <cell r="F3">
            <v>21388.2</v>
          </cell>
          <cell r="G3">
            <v>-5.0699319322091818E-2</v>
          </cell>
          <cell r="H3">
            <v>22530.480000000003</v>
          </cell>
          <cell r="I3">
            <v>21388.2</v>
          </cell>
          <cell r="L3" t="str">
            <v>PT05000005</v>
          </cell>
          <cell r="M3" t="str">
            <v>200 L</v>
          </cell>
          <cell r="N3" t="str">
            <v>ISO VG 80</v>
          </cell>
          <cell r="O3" t="str">
            <v>TAMBOR</v>
          </cell>
          <cell r="P3">
            <v>36899.85</v>
          </cell>
          <cell r="Q3">
            <v>-5.4153543954970851E-2</v>
          </cell>
          <cell r="R3">
            <v>39012.516000000003</v>
          </cell>
          <cell r="S3">
            <v>36899.85</v>
          </cell>
        </row>
        <row r="4">
          <cell r="B4" t="str">
            <v>PT02300019</v>
          </cell>
          <cell r="C4" t="str">
            <v>19 L</v>
          </cell>
          <cell r="D4" t="str">
            <v>ISO VG 460</v>
          </cell>
          <cell r="E4" t="str">
            <v>CUBETA</v>
          </cell>
          <cell r="F4">
            <v>2032.34</v>
          </cell>
          <cell r="G4">
            <v>-5.4046254612614919E-2</v>
          </cell>
          <cell r="H4">
            <v>2148.4560000000001</v>
          </cell>
          <cell r="I4">
            <v>2032.34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 t="str">
            <v/>
          </cell>
          <cell r="R4">
            <v>0</v>
          </cell>
          <cell r="S4">
            <v>0</v>
          </cell>
        </row>
        <row r="5">
          <cell r="B5" t="str">
            <v>PT02300029</v>
          </cell>
          <cell r="C5" t="str">
            <v>200 L</v>
          </cell>
          <cell r="D5" t="str">
            <v>ISO VG 460</v>
          </cell>
          <cell r="E5" t="str">
            <v>TAMBOR</v>
          </cell>
          <cell r="F5">
            <v>21306.81</v>
          </cell>
          <cell r="G5">
            <v>-5.3851166934700823E-2</v>
          </cell>
          <cell r="H5">
            <v>22519.511999999999</v>
          </cell>
          <cell r="I5">
            <v>21306.81</v>
          </cell>
          <cell r="L5">
            <v>0</v>
          </cell>
          <cell r="M5" t="str">
            <v>19 L</v>
          </cell>
          <cell r="N5">
            <v>0</v>
          </cell>
          <cell r="O5" t="str">
            <v>CUBETA</v>
          </cell>
          <cell r="P5" t="str">
            <v>SIN DATOS</v>
          </cell>
          <cell r="Q5" t="str">
            <v/>
          </cell>
          <cell r="R5">
            <v>2482.5700000000002</v>
          </cell>
          <cell r="S5" t="str">
            <v>SIN DATOS</v>
          </cell>
        </row>
        <row r="6">
          <cell r="B6" t="str">
            <v>PT02300020</v>
          </cell>
          <cell r="C6" t="str">
            <v>19 L</v>
          </cell>
          <cell r="D6" t="str">
            <v>ISO VG 680</v>
          </cell>
          <cell r="E6" t="str">
            <v>CUBETA</v>
          </cell>
          <cell r="F6">
            <v>2070.1799999999998</v>
          </cell>
          <cell r="G6">
            <v>-3.7213351713053178E-2</v>
          </cell>
          <cell r="H6">
            <v>2150.1959999999999</v>
          </cell>
          <cell r="I6">
            <v>2070.1799999999998</v>
          </cell>
          <cell r="L6" t="str">
            <v>PT03000002</v>
          </cell>
          <cell r="M6" t="str">
            <v>200 L</v>
          </cell>
          <cell r="N6">
            <v>0</v>
          </cell>
          <cell r="O6" t="str">
            <v>TAMBOR</v>
          </cell>
          <cell r="P6">
            <v>27683.38</v>
          </cell>
          <cell r="Q6" t="str">
            <v/>
          </cell>
          <cell r="R6">
            <v>0</v>
          </cell>
          <cell r="S6">
            <v>27683.38</v>
          </cell>
        </row>
        <row r="7">
          <cell r="B7" t="str">
            <v>PT02300030</v>
          </cell>
          <cell r="C7" t="str">
            <v>200 L</v>
          </cell>
          <cell r="D7" t="str">
            <v>ISO VG 680</v>
          </cell>
          <cell r="E7" t="str">
            <v>TAMBOR</v>
          </cell>
          <cell r="F7">
            <v>21705.08</v>
          </cell>
          <cell r="G7">
            <v>-3.6947192865599665E-2</v>
          </cell>
          <cell r="H7">
            <v>22537.788</v>
          </cell>
          <cell r="I7">
            <v>21705.08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 t="str">
            <v/>
          </cell>
          <cell r="R7">
            <v>0</v>
          </cell>
          <cell r="S7">
            <v>0</v>
          </cell>
        </row>
        <row r="8">
          <cell r="B8" t="str">
            <v>PT02300021</v>
          </cell>
          <cell r="C8" t="str">
            <v>19 L</v>
          </cell>
          <cell r="D8" t="str">
            <v>ISO VG 1000</v>
          </cell>
          <cell r="E8" t="str">
            <v>CUBETA</v>
          </cell>
          <cell r="F8">
            <v>2072.09</v>
          </cell>
          <cell r="G8">
            <v>-3.5609233919761563E-2</v>
          </cell>
          <cell r="H8">
            <v>2148.6</v>
          </cell>
          <cell r="I8">
            <v>2072.09</v>
          </cell>
          <cell r="L8" t="str">
            <v>PT01800001</v>
          </cell>
          <cell r="M8" t="str">
            <v>19 L</v>
          </cell>
          <cell r="N8">
            <v>0</v>
          </cell>
          <cell r="O8" t="str">
            <v>CUBETA</v>
          </cell>
          <cell r="P8">
            <v>3128.24</v>
          </cell>
          <cell r="Q8">
            <v>-5.9571909571909609E-2</v>
          </cell>
          <cell r="R8">
            <v>3326.4</v>
          </cell>
          <cell r="S8">
            <v>3128.24</v>
          </cell>
        </row>
        <row r="9">
          <cell r="B9" t="str">
            <v>PT02300031</v>
          </cell>
          <cell r="C9" t="str">
            <v>200 L</v>
          </cell>
          <cell r="D9" t="str">
            <v>ISO VG 1000</v>
          </cell>
          <cell r="E9" t="str">
            <v>TAMBOR</v>
          </cell>
          <cell r="F9">
            <v>21725.21</v>
          </cell>
          <cell r="G9">
            <v>-3.5336492692339516E-2</v>
          </cell>
          <cell r="H9">
            <v>22521.024000000001</v>
          </cell>
          <cell r="I9">
            <v>21725.21</v>
          </cell>
          <cell r="L9" t="str">
            <v>PT01800002</v>
          </cell>
          <cell r="M9" t="str">
            <v>200 L</v>
          </cell>
          <cell r="N9">
            <v>0</v>
          </cell>
          <cell r="O9" t="str">
            <v>TAMBOR</v>
          </cell>
          <cell r="P9">
            <v>32866.65</v>
          </cell>
          <cell r="Q9">
            <v>-5.9422779868416709E-2</v>
          </cell>
          <cell r="R9">
            <v>34943.063999999998</v>
          </cell>
          <cell r="S9">
            <v>32866.65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str">
            <v/>
          </cell>
          <cell r="H10">
            <v>0</v>
          </cell>
          <cell r="I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 t="str">
            <v/>
          </cell>
          <cell r="R10">
            <v>0</v>
          </cell>
          <cell r="S10">
            <v>0</v>
          </cell>
        </row>
        <row r="11">
          <cell r="B11" t="str">
            <v>PT04500007</v>
          </cell>
          <cell r="C11" t="str">
            <v>19 L</v>
          </cell>
          <cell r="D11" t="str">
            <v>ISO VG 100</v>
          </cell>
          <cell r="E11" t="str">
            <v>CUBETA</v>
          </cell>
          <cell r="F11">
            <v>7282.33</v>
          </cell>
          <cell r="G11">
            <v>-3.0918964437056218E-2</v>
          </cell>
          <cell r="H11">
            <v>7514.6759999999995</v>
          </cell>
          <cell r="I11">
            <v>7282.33</v>
          </cell>
          <cell r="L11" t="str">
            <v>PT02100002</v>
          </cell>
          <cell r="M11" t="str">
            <v>19 L</v>
          </cell>
          <cell r="N11">
            <v>0</v>
          </cell>
          <cell r="O11" t="str">
            <v>CUBETA</v>
          </cell>
          <cell r="P11">
            <v>4185.9399999999996</v>
          </cell>
          <cell r="Q11">
            <v>-2.7230499944691289E-2</v>
          </cell>
          <cell r="R11">
            <v>4303.116</v>
          </cell>
          <cell r="S11">
            <v>4185.9399999999996</v>
          </cell>
        </row>
        <row r="12">
          <cell r="B12" t="str">
            <v>PT04500013</v>
          </cell>
          <cell r="C12" t="str">
            <v>200 L</v>
          </cell>
          <cell r="D12" t="str">
            <v>ISO VG 100</v>
          </cell>
          <cell r="E12" t="str">
            <v>TAMBOR</v>
          </cell>
          <cell r="F12">
            <v>76561.19</v>
          </cell>
          <cell r="G12">
            <v>-3.0826798731425686E-2</v>
          </cell>
          <cell r="H12">
            <v>78996.396000000008</v>
          </cell>
          <cell r="I12">
            <v>76561.19</v>
          </cell>
          <cell r="L12" t="str">
            <v>PT02100003</v>
          </cell>
          <cell r="M12" t="str">
            <v>200 L</v>
          </cell>
          <cell r="N12">
            <v>0</v>
          </cell>
          <cell r="O12" t="str">
            <v>TAMBOR</v>
          </cell>
          <cell r="P12">
            <v>43946.58</v>
          </cell>
          <cell r="Q12">
            <v>-2.7025167271707118E-2</v>
          </cell>
          <cell r="R12">
            <v>45167.232000000004</v>
          </cell>
          <cell r="S12">
            <v>43946.58</v>
          </cell>
        </row>
        <row r="13">
          <cell r="B13" t="str">
            <v>PT04500008</v>
          </cell>
          <cell r="C13" t="str">
            <v>19 L</v>
          </cell>
          <cell r="D13" t="str">
            <v>ISO VG 150</v>
          </cell>
          <cell r="E13" t="str">
            <v>CUBETA</v>
          </cell>
          <cell r="F13">
            <v>8961.42</v>
          </cell>
          <cell r="G13">
            <v>0.19905749747113877</v>
          </cell>
          <cell r="H13">
            <v>7473.72</v>
          </cell>
          <cell r="I13">
            <v>8961.42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 t="str">
            <v/>
          </cell>
          <cell r="R13">
            <v>0</v>
          </cell>
          <cell r="S13">
            <v>0</v>
          </cell>
        </row>
        <row r="14">
          <cell r="B14" t="str">
            <v>PT04500014</v>
          </cell>
          <cell r="C14" t="str">
            <v>200 L</v>
          </cell>
          <cell r="D14" t="str">
            <v>ISO VG 150</v>
          </cell>
          <cell r="E14" t="str">
            <v>TAMBOR</v>
          </cell>
          <cell r="F14">
            <v>94230.06</v>
          </cell>
          <cell r="G14">
            <v>0.1994838518491362</v>
          </cell>
          <cell r="H14">
            <v>78558.84</v>
          </cell>
          <cell r="I14">
            <v>94230.06</v>
          </cell>
          <cell r="L14" t="str">
            <v>PT02600001</v>
          </cell>
          <cell r="M14" t="str">
            <v>19 L</v>
          </cell>
          <cell r="N14">
            <v>0</v>
          </cell>
          <cell r="O14" t="str">
            <v>CUBETA</v>
          </cell>
          <cell r="P14">
            <v>4247.05</v>
          </cell>
          <cell r="Q14">
            <v>-2.4791183315973964E-2</v>
          </cell>
          <cell r="R14">
            <v>4355.0159999999996</v>
          </cell>
          <cell r="S14">
            <v>4247.05</v>
          </cell>
        </row>
        <row r="15">
          <cell r="B15" t="str">
            <v>PT04500009</v>
          </cell>
          <cell r="C15" t="str">
            <v>19 L</v>
          </cell>
          <cell r="D15" t="str">
            <v>ISO VG 220</v>
          </cell>
          <cell r="E15" t="str">
            <v>CUBETA</v>
          </cell>
          <cell r="F15">
            <v>6939.2</v>
          </cell>
          <cell r="G15">
            <v>-3.1977443311141607E-2</v>
          </cell>
          <cell r="H15">
            <v>7168.4279999999999</v>
          </cell>
          <cell r="I15">
            <v>6939.2</v>
          </cell>
          <cell r="L15" t="str">
            <v>PT02700001</v>
          </cell>
          <cell r="M15" t="str">
            <v>200 L</v>
          </cell>
          <cell r="N15">
            <v>0</v>
          </cell>
          <cell r="O15" t="str">
            <v>TAMBOR</v>
          </cell>
          <cell r="P15">
            <v>44616.38</v>
          </cell>
          <cell r="Q15">
            <v>-2.4629171611686651E-2</v>
          </cell>
          <cell r="R15">
            <v>45742.992000000006</v>
          </cell>
          <cell r="S15">
            <v>44616.38</v>
          </cell>
        </row>
        <row r="16">
          <cell r="B16" t="str">
            <v>PT04500015</v>
          </cell>
          <cell r="C16" t="str">
            <v>200 L</v>
          </cell>
          <cell r="D16" t="str">
            <v>ISO VG 220</v>
          </cell>
          <cell r="E16" t="str">
            <v>TAMBOR</v>
          </cell>
          <cell r="F16">
            <v>72949.210000000006</v>
          </cell>
          <cell r="G16">
            <v>-3.1883481197314767E-2</v>
          </cell>
          <cell r="H16">
            <v>75351.684000000008</v>
          </cell>
          <cell r="I16">
            <v>72949.210000000006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str">
            <v/>
          </cell>
          <cell r="R16">
            <v>0</v>
          </cell>
          <cell r="S16">
            <v>0</v>
          </cell>
        </row>
        <row r="17">
          <cell r="B17" t="str">
            <v>PT04500010</v>
          </cell>
          <cell r="C17" t="str">
            <v>19 L</v>
          </cell>
          <cell r="D17" t="str">
            <v>ISO VG 320</v>
          </cell>
          <cell r="E17" t="str">
            <v>CUBETA</v>
          </cell>
          <cell r="F17">
            <v>7448.61</v>
          </cell>
          <cell r="G17">
            <v>-3.0440983058578119E-2</v>
          </cell>
          <cell r="H17">
            <v>7682.4720000000007</v>
          </cell>
          <cell r="I17">
            <v>7448.61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 t="str">
            <v/>
          </cell>
          <cell r="R17">
            <v>0</v>
          </cell>
          <cell r="S17">
            <v>0</v>
          </cell>
        </row>
        <row r="18">
          <cell r="B18" t="str">
            <v>PT04500016</v>
          </cell>
          <cell r="C18" t="str">
            <v>200 L</v>
          </cell>
          <cell r="D18" t="str">
            <v>ISO VG 320</v>
          </cell>
          <cell r="E18" t="str">
            <v>TAMBOR</v>
          </cell>
          <cell r="F18">
            <v>78311.63</v>
          </cell>
          <cell r="G18">
            <v>-3.0349178962687517E-2</v>
          </cell>
          <cell r="H18">
            <v>80762.712</v>
          </cell>
          <cell r="I18">
            <v>78311.63</v>
          </cell>
          <cell r="L18" t="str">
            <v>PT02400004</v>
          </cell>
          <cell r="M18" t="str">
            <v>19 L</v>
          </cell>
          <cell r="N18" t="str">
            <v>ISO VG 15</v>
          </cell>
          <cell r="O18" t="str">
            <v>CUBETA</v>
          </cell>
          <cell r="P18">
            <v>2167.54</v>
          </cell>
          <cell r="Q18">
            <v>-2.7510076918383364E-2</v>
          </cell>
          <cell r="R18">
            <v>2228.8560000000002</v>
          </cell>
          <cell r="S18">
            <v>2167.54</v>
          </cell>
        </row>
        <row r="19">
          <cell r="B19" t="str">
            <v>PT04500011</v>
          </cell>
          <cell r="C19" t="str">
            <v>19 L</v>
          </cell>
          <cell r="D19" t="str">
            <v>ISO VG 460</v>
          </cell>
          <cell r="E19" t="str">
            <v>CUBETA</v>
          </cell>
          <cell r="F19">
            <v>7916.69</v>
          </cell>
          <cell r="G19">
            <v>1.5430478831992334E-2</v>
          </cell>
          <cell r="H19">
            <v>7796.3879999999999</v>
          </cell>
          <cell r="I19">
            <v>7916.69</v>
          </cell>
          <cell r="L19" t="str">
            <v>PT02400007</v>
          </cell>
          <cell r="M19" t="str">
            <v>200 L</v>
          </cell>
          <cell r="N19" t="str">
            <v>ISO VG 15</v>
          </cell>
          <cell r="O19" t="str">
            <v>TAMBOR</v>
          </cell>
          <cell r="P19">
            <v>22727.19</v>
          </cell>
          <cell r="Q19">
            <v>-2.7203073202752726E-2</v>
          </cell>
          <cell r="R19">
            <v>23362.727999999999</v>
          </cell>
          <cell r="S19">
            <v>22727.19</v>
          </cell>
        </row>
        <row r="20">
          <cell r="B20" t="str">
            <v>PT04500017</v>
          </cell>
          <cell r="C20" t="str">
            <v>200 L</v>
          </cell>
          <cell r="D20" t="str">
            <v>ISO VG 460</v>
          </cell>
          <cell r="E20" t="str">
            <v>TAMBOR</v>
          </cell>
          <cell r="F20">
            <v>83238.759999999995</v>
          </cell>
          <cell r="G20">
            <v>1.5579494827324236E-2</v>
          </cell>
          <cell r="H20">
            <v>81961.835999999996</v>
          </cell>
          <cell r="I20">
            <v>83238.759999999995</v>
          </cell>
          <cell r="L20" t="str">
            <v>PT02400005</v>
          </cell>
          <cell r="M20" t="str">
            <v>19 L</v>
          </cell>
          <cell r="N20" t="str">
            <v>ISO VG 22</v>
          </cell>
          <cell r="O20" t="str">
            <v>CUBETA</v>
          </cell>
          <cell r="P20">
            <v>2008.01</v>
          </cell>
          <cell r="Q20" t="str">
            <v/>
          </cell>
          <cell r="R20">
            <v>0</v>
          </cell>
          <cell r="S20">
            <v>2008.01</v>
          </cell>
        </row>
        <row r="21">
          <cell r="B21" t="str">
            <v>PT04500012</v>
          </cell>
          <cell r="C21" t="str">
            <v>19 L</v>
          </cell>
          <cell r="D21" t="str">
            <v>ISO VG 680</v>
          </cell>
          <cell r="E21" t="str">
            <v>CUBETA</v>
          </cell>
          <cell r="F21">
            <v>7094.77</v>
          </cell>
          <cell r="G21">
            <v>-9.9999797033543558E-2</v>
          </cell>
          <cell r="H21">
            <v>7883.0759999999991</v>
          </cell>
          <cell r="I21">
            <v>7094.77</v>
          </cell>
          <cell r="L21" t="str">
            <v>PT02400008</v>
          </cell>
          <cell r="M21" t="str">
            <v>200 L</v>
          </cell>
          <cell r="N21" t="str">
            <v>ISO VG 22</v>
          </cell>
          <cell r="O21" t="str">
            <v>TAMBOR</v>
          </cell>
          <cell r="P21">
            <v>21047.97</v>
          </cell>
          <cell r="Q21">
            <v>-5.5645139580585257E-2</v>
          </cell>
          <cell r="R21">
            <v>22288.2</v>
          </cell>
          <cell r="S21">
            <v>21047.97</v>
          </cell>
        </row>
        <row r="22">
          <cell r="B22" t="str">
            <v>PT04500018</v>
          </cell>
          <cell r="C22" t="str">
            <v>200 L</v>
          </cell>
          <cell r="D22" t="str">
            <v>ISO VG 680</v>
          </cell>
          <cell r="E22" t="str">
            <v>TAMBOR</v>
          </cell>
          <cell r="F22" t="str">
            <v>SAN DATOS</v>
          </cell>
          <cell r="G22" t="str">
            <v/>
          </cell>
          <cell r="H22">
            <v>0</v>
          </cell>
          <cell r="I22" t="str">
            <v>SAN DATOS</v>
          </cell>
          <cell r="L22" t="str">
            <v>PT02400006</v>
          </cell>
          <cell r="M22" t="str">
            <v>19 L</v>
          </cell>
          <cell r="N22" t="str">
            <v>ISO VG 32</v>
          </cell>
          <cell r="O22" t="str">
            <v>CUBETA</v>
          </cell>
          <cell r="P22">
            <v>1982.11</v>
          </cell>
          <cell r="Q22">
            <v>-5.8875423292632845E-2</v>
          </cell>
          <cell r="R22">
            <v>2106.1080000000002</v>
          </cell>
          <cell r="S22">
            <v>1982.11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 t="str">
            <v/>
          </cell>
          <cell r="H23">
            <v>0</v>
          </cell>
          <cell r="I23">
            <v>0</v>
          </cell>
          <cell r="L23" t="str">
            <v>PT02400009</v>
          </cell>
          <cell r="M23" t="str">
            <v>200 L</v>
          </cell>
          <cell r="N23" t="str">
            <v>ISO VG 32</v>
          </cell>
          <cell r="O23" t="str">
            <v>TAMBOR</v>
          </cell>
          <cell r="P23">
            <v>20775.25</v>
          </cell>
          <cell r="Q23">
            <v>-5.869392964343989E-2</v>
          </cell>
          <cell r="R23">
            <v>22070.664000000001</v>
          </cell>
          <cell r="S23">
            <v>20775.25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str">
            <v/>
          </cell>
          <cell r="H24">
            <v>0</v>
          </cell>
          <cell r="I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 t="str">
            <v/>
          </cell>
          <cell r="R24">
            <v>0</v>
          </cell>
          <cell r="S24">
            <v>0</v>
          </cell>
        </row>
        <row r="25">
          <cell r="B25" t="str">
            <v>PT04100004</v>
          </cell>
          <cell r="C25" t="str">
            <v>19 L</v>
          </cell>
          <cell r="D25" t="str">
            <v>ISO VG 460</v>
          </cell>
          <cell r="E25" t="str">
            <v>CUBETA</v>
          </cell>
          <cell r="F25">
            <v>2083.23</v>
          </cell>
          <cell r="G25">
            <v>-3.8729879233874387E-2</v>
          </cell>
          <cell r="H25">
            <v>2167.1640000000002</v>
          </cell>
          <cell r="I25">
            <v>2083.23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 t="str">
            <v/>
          </cell>
          <cell r="R25">
            <v>0</v>
          </cell>
          <cell r="S25">
            <v>0</v>
          </cell>
        </row>
        <row r="26">
          <cell r="B26" t="str">
            <v>PT04100007</v>
          </cell>
          <cell r="C26" t="str">
            <v>200 L</v>
          </cell>
          <cell r="D26" t="str">
            <v>ISO VG 460</v>
          </cell>
          <cell r="E26" t="str">
            <v>TAMBOR</v>
          </cell>
          <cell r="F26">
            <v>21839.75</v>
          </cell>
          <cell r="G26">
            <v>-3.8459845112775337E-2</v>
          </cell>
          <cell r="H26">
            <v>22713.3</v>
          </cell>
          <cell r="I26">
            <v>21839.75</v>
          </cell>
          <cell r="L26" t="str">
            <v>PT04800002</v>
          </cell>
          <cell r="M26" t="str">
            <v>19 L</v>
          </cell>
          <cell r="N26" t="str">
            <v>ISO VG 32</v>
          </cell>
          <cell r="O26" t="str">
            <v>CUBETA</v>
          </cell>
          <cell r="P26">
            <v>2058.6799999999998</v>
          </cell>
          <cell r="Q26">
            <v>-5.6032427277062591E-2</v>
          </cell>
          <cell r="R26">
            <v>2180.88</v>
          </cell>
          <cell r="S26">
            <v>2058.6799999999998</v>
          </cell>
        </row>
        <row r="27">
          <cell r="B27" t="str">
            <v>PT04100005</v>
          </cell>
          <cell r="C27" t="str">
            <v>19 L</v>
          </cell>
          <cell r="D27" t="str">
            <v>ISO VG 680</v>
          </cell>
          <cell r="E27" t="str">
            <v>CUBETA</v>
          </cell>
          <cell r="F27">
            <v>2042.64</v>
          </cell>
          <cell r="G27">
            <v>-5.0101005591580261E-2</v>
          </cell>
          <cell r="H27">
            <v>2150.3760000000002</v>
          </cell>
          <cell r="I27">
            <v>2042.64</v>
          </cell>
          <cell r="L27" t="str">
            <v>PT04800003</v>
          </cell>
          <cell r="M27" t="str">
            <v>200 L</v>
          </cell>
          <cell r="N27" t="str">
            <v>ISO VG 32</v>
          </cell>
          <cell r="O27" t="str">
            <v>TAMBOR</v>
          </cell>
          <cell r="P27">
            <v>21581.23</v>
          </cell>
          <cell r="Q27">
            <v>-5.584254906232744E-2</v>
          </cell>
          <cell r="R27">
            <v>22857.66</v>
          </cell>
          <cell r="S27">
            <v>21581.23</v>
          </cell>
        </row>
        <row r="28">
          <cell r="B28" t="str">
            <v>PT04100008</v>
          </cell>
          <cell r="C28" t="str">
            <v>200 L</v>
          </cell>
          <cell r="D28" t="str">
            <v>ISO VG 680</v>
          </cell>
          <cell r="E28" t="str">
            <v>TAMBOR</v>
          </cell>
          <cell r="F28">
            <v>21412.400000000001</v>
          </cell>
          <cell r="G28">
            <v>-4.9880771405016011E-2</v>
          </cell>
          <cell r="H28">
            <v>22536.54</v>
          </cell>
          <cell r="I28">
            <v>21412.400000000001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 t="str">
            <v/>
          </cell>
          <cell r="R28">
            <v>0</v>
          </cell>
          <cell r="S28">
            <v>0</v>
          </cell>
        </row>
        <row r="29">
          <cell r="B29" t="str">
            <v>PT04100006</v>
          </cell>
          <cell r="C29" t="str">
            <v>19 L</v>
          </cell>
          <cell r="D29" t="str">
            <v>ISO VG 1000</v>
          </cell>
          <cell r="E29" t="str">
            <v>CUBETA</v>
          </cell>
          <cell r="F29">
            <v>2070.86</v>
          </cell>
          <cell r="G29">
            <v>-3.512548410062577E-2</v>
          </cell>
          <cell r="H29">
            <v>2146.248</v>
          </cell>
          <cell r="I29">
            <v>2070.86</v>
          </cell>
          <cell r="L29" t="str">
            <v>PT04900002</v>
          </cell>
          <cell r="M29" t="str">
            <v>19 L</v>
          </cell>
          <cell r="N29" t="str">
            <v>ISO VG 32</v>
          </cell>
          <cell r="O29" t="str">
            <v>CUBETA</v>
          </cell>
          <cell r="P29">
            <v>2094.2399999999998</v>
          </cell>
          <cell r="Q29">
            <v>-3.272828044894005E-2</v>
          </cell>
          <cell r="R29">
            <v>2165.1</v>
          </cell>
          <cell r="S29">
            <v>2094.2399999999998</v>
          </cell>
        </row>
        <row r="30">
          <cell r="B30" t="str">
            <v>PT04100009</v>
          </cell>
          <cell r="C30" t="str">
            <v>200 L</v>
          </cell>
          <cell r="D30" t="str">
            <v>ISO VG 1000</v>
          </cell>
          <cell r="E30" t="str">
            <v>TAMBOR</v>
          </cell>
          <cell r="F30" t="str">
            <v>SAN DATOS</v>
          </cell>
          <cell r="G30" t="str">
            <v/>
          </cell>
          <cell r="H30">
            <v>0</v>
          </cell>
          <cell r="I30" t="str">
            <v>SAN DATOS</v>
          </cell>
          <cell r="L30" t="str">
            <v>PT04900003</v>
          </cell>
          <cell r="M30" t="str">
            <v>200 L</v>
          </cell>
          <cell r="N30" t="str">
            <v>ISO VG 32</v>
          </cell>
          <cell r="O30" t="str">
            <v>TAMBOR</v>
          </cell>
          <cell r="P30">
            <v>21955.67</v>
          </cell>
          <cell r="Q30">
            <v>-3.2433530586594927E-2</v>
          </cell>
          <cell r="R30">
            <v>22691.64</v>
          </cell>
          <cell r="S30">
            <v>21955.67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 t="str">
            <v/>
          </cell>
          <cell r="H31">
            <v>0</v>
          </cell>
          <cell r="I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 t="str">
            <v/>
          </cell>
          <cell r="R31">
            <v>0</v>
          </cell>
          <cell r="S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 t="str">
            <v/>
          </cell>
          <cell r="H32">
            <v>0</v>
          </cell>
          <cell r="I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 t="str">
            <v/>
          </cell>
          <cell r="R32">
            <v>0</v>
          </cell>
          <cell r="S32">
            <v>0</v>
          </cell>
        </row>
        <row r="33">
          <cell r="B33" t="str">
            <v>PT01700006</v>
          </cell>
          <cell r="C33" t="str">
            <v>19 L</v>
          </cell>
          <cell r="D33" t="str">
            <v>ISO VG 46</v>
          </cell>
          <cell r="E33" t="str">
            <v>CUBETA</v>
          </cell>
          <cell r="F33">
            <v>1992.19</v>
          </cell>
          <cell r="G33">
            <v>-6.0693587110475011E-2</v>
          </cell>
          <cell r="H33">
            <v>2120.9160000000002</v>
          </cell>
          <cell r="I33">
            <v>1992.19</v>
          </cell>
          <cell r="L33" t="str">
            <v>PT04700004</v>
          </cell>
          <cell r="M33" t="str">
            <v>19 L</v>
          </cell>
          <cell r="N33" t="str">
            <v>ISO VG 32</v>
          </cell>
          <cell r="O33" t="str">
            <v>CUBETA</v>
          </cell>
          <cell r="P33">
            <v>7124.17</v>
          </cell>
          <cell r="Q33">
            <v>-9.9999494677692757E-2</v>
          </cell>
          <cell r="R33">
            <v>7915.74</v>
          </cell>
          <cell r="S33">
            <v>7124.17</v>
          </cell>
        </row>
        <row r="34">
          <cell r="B34" t="str">
            <v>PT01700011</v>
          </cell>
          <cell r="C34" t="str">
            <v>200 L</v>
          </cell>
          <cell r="D34" t="str">
            <v>ISO VG 46</v>
          </cell>
          <cell r="E34" t="str">
            <v>TAMBOR</v>
          </cell>
          <cell r="F34">
            <v>20881.310000000001</v>
          </cell>
          <cell r="G34">
            <v>-6.052122323980702E-2</v>
          </cell>
          <cell r="H34">
            <v>22226.484</v>
          </cell>
          <cell r="I34">
            <v>20881.310000000001</v>
          </cell>
          <cell r="L34" t="str">
            <v>PT04700007</v>
          </cell>
          <cell r="M34" t="str">
            <v>200 L</v>
          </cell>
          <cell r="N34" t="str">
            <v>ISO VG 32</v>
          </cell>
          <cell r="O34" t="str">
            <v>TAMBOR</v>
          </cell>
          <cell r="P34">
            <v>74896.34</v>
          </cell>
          <cell r="Q34">
            <v>-9.9999961546851091E-2</v>
          </cell>
          <cell r="R34">
            <v>83218.152000000002</v>
          </cell>
          <cell r="S34">
            <v>74896.34</v>
          </cell>
        </row>
        <row r="35">
          <cell r="B35" t="str">
            <v>PT01700007</v>
          </cell>
          <cell r="C35" t="str">
            <v>19 L</v>
          </cell>
          <cell r="D35" t="str">
            <v>ISO VG 68</v>
          </cell>
          <cell r="E35" t="str">
            <v>CUBETA</v>
          </cell>
          <cell r="F35">
            <v>2031.72</v>
          </cell>
          <cell r="G35">
            <v>-5.775566537554E-2</v>
          </cell>
          <cell r="H35">
            <v>2156.2560000000003</v>
          </cell>
          <cell r="I35">
            <v>2031.72</v>
          </cell>
          <cell r="L35" t="str">
            <v>PT04700005</v>
          </cell>
          <cell r="M35" t="str">
            <v>19 L</v>
          </cell>
          <cell r="N35" t="str">
            <v>ISO VG 46</v>
          </cell>
          <cell r="O35" t="str">
            <v>CUBETA</v>
          </cell>
          <cell r="P35">
            <v>5535.21</v>
          </cell>
          <cell r="Q35">
            <v>-9.9999219541129114E-2</v>
          </cell>
          <cell r="R35">
            <v>6150.2279999999992</v>
          </cell>
          <cell r="S35">
            <v>5535.21</v>
          </cell>
        </row>
        <row r="36">
          <cell r="B36" t="str">
            <v>PT01700012</v>
          </cell>
          <cell r="C36" t="str">
            <v>200 L</v>
          </cell>
          <cell r="D36" t="str">
            <v>ISO VG 68</v>
          </cell>
          <cell r="E36" t="str">
            <v>TAMBOR</v>
          </cell>
          <cell r="F36">
            <v>21297.47</v>
          </cell>
          <cell r="G36">
            <v>-5.757035254418974E-2</v>
          </cell>
          <cell r="H36">
            <v>22598.472000000002</v>
          </cell>
          <cell r="I36">
            <v>21297.47</v>
          </cell>
          <cell r="L36" t="str">
            <v>PT04700008</v>
          </cell>
          <cell r="M36" t="str">
            <v>200 L</v>
          </cell>
          <cell r="N36" t="str">
            <v>ISO VG 46</v>
          </cell>
          <cell r="O36" t="str">
            <v>TAMBOR</v>
          </cell>
          <cell r="P36">
            <v>58176.86</v>
          </cell>
          <cell r="Q36">
            <v>-0.10000011757250404</v>
          </cell>
          <cell r="R36">
            <v>64640.964</v>
          </cell>
          <cell r="S36">
            <v>58176.86</v>
          </cell>
        </row>
        <row r="37">
          <cell r="B37" t="str">
            <v>PT01700008</v>
          </cell>
          <cell r="C37" t="str">
            <v>19 L</v>
          </cell>
          <cell r="D37" t="str">
            <v>ISO VG 100</v>
          </cell>
          <cell r="E37" t="str">
            <v>CUBETA</v>
          </cell>
          <cell r="F37">
            <v>2047.95</v>
          </cell>
          <cell r="G37">
            <v>-5.2795892881920325E-2</v>
          </cell>
          <cell r="H37">
            <v>2162.1</v>
          </cell>
          <cell r="I37">
            <v>2047.95</v>
          </cell>
          <cell r="L37" t="str">
            <v>PT04700006</v>
          </cell>
          <cell r="M37" t="str">
            <v>19 L</v>
          </cell>
          <cell r="N37" t="str">
            <v>ISO VG 68</v>
          </cell>
          <cell r="O37" t="str">
            <v>CUBETA</v>
          </cell>
          <cell r="P37">
            <v>7844.99</v>
          </cell>
          <cell r="Q37">
            <v>-0.10000004588915756</v>
          </cell>
          <cell r="R37">
            <v>8716.6560000000009</v>
          </cell>
          <cell r="S37">
            <v>7844.99</v>
          </cell>
        </row>
        <row r="38">
          <cell r="B38" t="str">
            <v>PT01700013</v>
          </cell>
          <cell r="C38" t="str">
            <v>200 L</v>
          </cell>
          <cell r="D38" t="str">
            <v>ISO VG 100</v>
          </cell>
          <cell r="E38" t="str">
            <v>TAMBOR</v>
          </cell>
          <cell r="F38">
            <v>21468.39</v>
          </cell>
          <cell r="G38">
            <v>-5.2588335662543284E-2</v>
          </cell>
          <cell r="H38">
            <v>22660.043999999998</v>
          </cell>
          <cell r="I38">
            <v>21468.39</v>
          </cell>
          <cell r="L38" t="str">
            <v>PT04700009</v>
          </cell>
          <cell r="M38" t="str">
            <v>200 L</v>
          </cell>
          <cell r="N38" t="str">
            <v>ISO VG 68</v>
          </cell>
          <cell r="O38" t="str">
            <v>TAMBOR</v>
          </cell>
          <cell r="P38">
            <v>82481.8</v>
          </cell>
          <cell r="Q38">
            <v>-9.9999917072607136E-2</v>
          </cell>
          <cell r="R38">
            <v>91646.436000000002</v>
          </cell>
          <cell r="S38">
            <v>82481.8</v>
          </cell>
        </row>
        <row r="39">
          <cell r="B39" t="str">
            <v>PT01700009</v>
          </cell>
          <cell r="C39" t="str">
            <v>19 L</v>
          </cell>
          <cell r="D39" t="str">
            <v>ISO VG 150</v>
          </cell>
          <cell r="E39" t="str">
            <v>CUBETA</v>
          </cell>
          <cell r="F39">
            <v>2051.3000000000002</v>
          </cell>
          <cell r="G39">
            <v>-5.1299127748332563E-2</v>
          </cell>
          <cell r="H39">
            <v>2162.2199999999998</v>
          </cell>
          <cell r="I39">
            <v>2051.3000000000002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 t="str">
            <v/>
          </cell>
          <cell r="R39">
            <v>0</v>
          </cell>
          <cell r="S39">
            <v>0</v>
          </cell>
        </row>
        <row r="40">
          <cell r="B40" t="str">
            <v>PT01700014</v>
          </cell>
          <cell r="C40" t="str">
            <v>200 L</v>
          </cell>
          <cell r="D40" t="str">
            <v>ISO VG 150</v>
          </cell>
          <cell r="E40" t="str">
            <v>TAMBOR</v>
          </cell>
          <cell r="F40">
            <v>21503.51</v>
          </cell>
          <cell r="G40">
            <v>-5.108872222548777E-2</v>
          </cell>
          <cell r="H40">
            <v>22661.243999999999</v>
          </cell>
          <cell r="I40">
            <v>21503.51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 t="str">
            <v/>
          </cell>
          <cell r="R40">
            <v>0</v>
          </cell>
          <cell r="S40">
            <v>0</v>
          </cell>
        </row>
        <row r="41">
          <cell r="B41" t="str">
            <v>PT01700010</v>
          </cell>
          <cell r="C41" t="str">
            <v>19 L</v>
          </cell>
          <cell r="D41" t="str">
            <v>ISO VG 220</v>
          </cell>
          <cell r="E41" t="str">
            <v>CUBETA</v>
          </cell>
          <cell r="F41">
            <v>2057.29</v>
          </cell>
          <cell r="G41">
            <v>-5.1917373135208722E-2</v>
          </cell>
          <cell r="H41">
            <v>2169.9479999999999</v>
          </cell>
          <cell r="I41">
            <v>2057.29</v>
          </cell>
          <cell r="L41">
            <v>0</v>
          </cell>
          <cell r="M41" t="str">
            <v>19 L</v>
          </cell>
          <cell r="N41" t="str">
            <v>TIPO I</v>
          </cell>
          <cell r="O41" t="str">
            <v>CUBETA</v>
          </cell>
          <cell r="P41" t="str">
            <v>SIN DATOS</v>
          </cell>
          <cell r="Q41" t="str">
            <v/>
          </cell>
          <cell r="R41">
            <v>0</v>
          </cell>
          <cell r="S41" t="str">
            <v>SIN DATOS</v>
          </cell>
        </row>
        <row r="42">
          <cell r="B42" t="str">
            <v>PT01700015</v>
          </cell>
          <cell r="C42" t="str">
            <v>200 L</v>
          </cell>
          <cell r="D42" t="str">
            <v>ISO VG 220</v>
          </cell>
          <cell r="E42" t="str">
            <v>TAMBOR</v>
          </cell>
          <cell r="F42">
            <v>21566.51</v>
          </cell>
          <cell r="G42">
            <v>-5.1712250764864964E-2</v>
          </cell>
          <cell r="H42">
            <v>22742.58</v>
          </cell>
          <cell r="I42">
            <v>21566.51</v>
          </cell>
          <cell r="L42">
            <v>0</v>
          </cell>
          <cell r="M42" t="str">
            <v>200 L</v>
          </cell>
          <cell r="N42" t="str">
            <v>TIPO I</v>
          </cell>
          <cell r="O42" t="str">
            <v>TAMBOR</v>
          </cell>
          <cell r="P42" t="str">
            <v>SIN DATOS</v>
          </cell>
          <cell r="Q42" t="str">
            <v/>
          </cell>
          <cell r="R42">
            <v>0</v>
          </cell>
          <cell r="S42" t="str">
            <v>SIN DATOS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 t="str">
            <v/>
          </cell>
          <cell r="H43">
            <v>0</v>
          </cell>
          <cell r="I43">
            <v>0</v>
          </cell>
          <cell r="L43">
            <v>0</v>
          </cell>
          <cell r="M43" t="str">
            <v>19 L</v>
          </cell>
          <cell r="N43" t="str">
            <v>TIPO II</v>
          </cell>
          <cell r="O43" t="str">
            <v>CUBETA</v>
          </cell>
          <cell r="P43" t="str">
            <v>SIN DATOS</v>
          </cell>
          <cell r="Q43" t="str">
            <v/>
          </cell>
          <cell r="R43">
            <v>0</v>
          </cell>
          <cell r="S43" t="str">
            <v>SIN DATOS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str">
            <v/>
          </cell>
          <cell r="H44">
            <v>0</v>
          </cell>
          <cell r="I44">
            <v>0</v>
          </cell>
          <cell r="L44" t="str">
            <v>PT01500001</v>
          </cell>
          <cell r="M44" t="str">
            <v>200 L</v>
          </cell>
          <cell r="N44" t="str">
            <v>TIPO II</v>
          </cell>
          <cell r="O44" t="str">
            <v>TAMBOR</v>
          </cell>
          <cell r="P44">
            <v>16894.82</v>
          </cell>
          <cell r="Q44">
            <v>-7.2460111242287462E-2</v>
          </cell>
          <cell r="R44">
            <v>18214.655999999999</v>
          </cell>
          <cell r="S44">
            <v>16894.82</v>
          </cell>
        </row>
        <row r="45">
          <cell r="B45" t="str">
            <v>PT03500004</v>
          </cell>
          <cell r="C45" t="str">
            <v>19 L</v>
          </cell>
          <cell r="D45" t="str">
            <v>LIGERO</v>
          </cell>
          <cell r="E45" t="str">
            <v>CUBETA</v>
          </cell>
          <cell r="F45">
            <v>2155.16</v>
          </cell>
          <cell r="G45">
            <v>-5.2330346746590539E-2</v>
          </cell>
          <cell r="H45">
            <v>2274.1680000000001</v>
          </cell>
          <cell r="I45">
            <v>2155.16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 t="str">
            <v/>
          </cell>
          <cell r="R45">
            <v>0</v>
          </cell>
          <cell r="S45">
            <v>0</v>
          </cell>
        </row>
        <row r="46">
          <cell r="B46" t="str">
            <v>PT03500007</v>
          </cell>
          <cell r="C46" t="str">
            <v>200 L</v>
          </cell>
          <cell r="D46" t="str">
            <v>LIGERO</v>
          </cell>
          <cell r="E46" t="str">
            <v>TAMBOR</v>
          </cell>
          <cell r="F46">
            <v>22596.959999999999</v>
          </cell>
          <cell r="G46">
            <v>-5.213012497458025E-2</v>
          </cell>
          <cell r="H46">
            <v>23839.727999999999</v>
          </cell>
          <cell r="I46">
            <v>22596.959999999999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 t="str">
            <v/>
          </cell>
          <cell r="R46">
            <v>0</v>
          </cell>
          <cell r="S46">
            <v>0</v>
          </cell>
        </row>
        <row r="47">
          <cell r="B47" t="str">
            <v>PT03500005</v>
          </cell>
          <cell r="C47" t="str">
            <v>19 L</v>
          </cell>
          <cell r="D47" t="str">
            <v>MEDIANO</v>
          </cell>
          <cell r="E47" t="str">
            <v>CUBETA</v>
          </cell>
          <cell r="F47">
            <v>2181.2399999999998</v>
          </cell>
          <cell r="G47">
            <v>-5.1106702860722497E-2</v>
          </cell>
          <cell r="H47">
            <v>2298.7199999999998</v>
          </cell>
          <cell r="I47">
            <v>2181.2399999999998</v>
          </cell>
          <cell r="L47" t="str">
            <v>PT04600003</v>
          </cell>
          <cell r="M47" t="str">
            <v>19 L</v>
          </cell>
          <cell r="N47" t="str">
            <v>ISO VG 22</v>
          </cell>
          <cell r="O47" t="str">
            <v>CUBETA</v>
          </cell>
          <cell r="P47">
            <v>2828.23</v>
          </cell>
          <cell r="Q47">
            <v>-5.9618903979869242E-2</v>
          </cell>
          <cell r="R47">
            <v>3007.5360000000001</v>
          </cell>
          <cell r="S47">
            <v>2828.23</v>
          </cell>
        </row>
        <row r="48">
          <cell r="B48" t="str">
            <v>PT03500008</v>
          </cell>
          <cell r="C48" t="str">
            <v>200 L</v>
          </cell>
          <cell r="D48" t="str">
            <v>MEDIANO</v>
          </cell>
          <cell r="E48" t="str">
            <v>TAMBOR</v>
          </cell>
          <cell r="F48">
            <v>22871.3</v>
          </cell>
          <cell r="G48">
            <v>-5.090763262594078E-2</v>
          </cell>
          <cell r="H48">
            <v>24098.076000000001</v>
          </cell>
          <cell r="I48">
            <v>22871.3</v>
          </cell>
          <cell r="L48" t="str">
            <v>PT04600005</v>
          </cell>
          <cell r="M48" t="str">
            <v>200 L</v>
          </cell>
          <cell r="N48" t="str">
            <v>ISO VG 22</v>
          </cell>
          <cell r="O48" t="str">
            <v>TAMBOR</v>
          </cell>
          <cell r="P48">
            <v>29675.89</v>
          </cell>
          <cell r="Q48">
            <v>-5.9486525151761227E-2</v>
          </cell>
          <cell r="R48">
            <v>31552.86</v>
          </cell>
          <cell r="S48">
            <v>29675.89</v>
          </cell>
        </row>
        <row r="49">
          <cell r="B49" t="str">
            <v>PT03500006</v>
          </cell>
          <cell r="C49" t="str">
            <v>19 L</v>
          </cell>
          <cell r="D49" t="str">
            <v>PESADO</v>
          </cell>
          <cell r="E49" t="str">
            <v>CUBETA</v>
          </cell>
          <cell r="F49">
            <v>2349.98</v>
          </cell>
          <cell r="G49">
            <v>-4.6003328867779025E-2</v>
          </cell>
          <cell r="H49">
            <v>2463.3000000000002</v>
          </cell>
          <cell r="I49">
            <v>2349.98</v>
          </cell>
          <cell r="L49" t="str">
            <v>PT04600006</v>
          </cell>
          <cell r="M49" t="str">
            <v>200 L</v>
          </cell>
          <cell r="N49" t="str">
            <v>ISO VG 32</v>
          </cell>
          <cell r="O49" t="str">
            <v>TAMBOR</v>
          </cell>
          <cell r="P49" t="str">
            <v>SIN DATOS</v>
          </cell>
          <cell r="Q49" t="str">
            <v/>
          </cell>
          <cell r="R49">
            <v>0</v>
          </cell>
          <cell r="S49" t="str">
            <v>SIN DATOS</v>
          </cell>
        </row>
        <row r="50">
          <cell r="B50" t="str">
            <v>PT03500009</v>
          </cell>
          <cell r="C50" t="str">
            <v>200 L</v>
          </cell>
          <cell r="D50" t="str">
            <v>PESADO</v>
          </cell>
          <cell r="E50" t="str">
            <v>TAMBOR</v>
          </cell>
          <cell r="F50">
            <v>24647.59</v>
          </cell>
          <cell r="G50">
            <v>-4.5796121550438218E-2</v>
          </cell>
          <cell r="H50">
            <v>25830.527999999998</v>
          </cell>
          <cell r="I50">
            <v>24647.59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 t="str">
            <v/>
          </cell>
          <cell r="R50">
            <v>0</v>
          </cell>
          <cell r="S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 t="str">
            <v/>
          </cell>
          <cell r="H51">
            <v>0</v>
          </cell>
          <cell r="I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 t="str">
            <v/>
          </cell>
          <cell r="R51">
            <v>0</v>
          </cell>
          <cell r="S51">
            <v>0</v>
          </cell>
        </row>
        <row r="52">
          <cell r="B52" t="str">
            <v>PT04000005</v>
          </cell>
          <cell r="C52" t="str">
            <v>19 L</v>
          </cell>
          <cell r="D52" t="str">
            <v>LIGERO</v>
          </cell>
          <cell r="E52" t="str">
            <v>CUBETA</v>
          </cell>
          <cell r="F52">
            <v>2140.96</v>
          </cell>
          <cell r="G52">
            <v>-5.2665859581306762E-2</v>
          </cell>
          <cell r="H52">
            <v>2259.9839999999999</v>
          </cell>
          <cell r="I52">
            <v>2140.96</v>
          </cell>
          <cell r="L52" t="str">
            <v>PT02200002</v>
          </cell>
          <cell r="M52" t="str">
            <v>19 L</v>
          </cell>
          <cell r="N52" t="str">
            <v>SAE 40</v>
          </cell>
          <cell r="O52" t="str">
            <v>CUBETA</v>
          </cell>
          <cell r="P52">
            <v>2339.42</v>
          </cell>
          <cell r="Q52">
            <v>-2.7677334942635357E-2</v>
          </cell>
          <cell r="R52">
            <v>2406.0120000000002</v>
          </cell>
          <cell r="S52">
            <v>2339.42</v>
          </cell>
        </row>
        <row r="53">
          <cell r="B53" t="str">
            <v>PT04000009</v>
          </cell>
          <cell r="C53" t="str">
            <v>200 L</v>
          </cell>
          <cell r="D53" t="str">
            <v>LIGERO</v>
          </cell>
          <cell r="E53" t="str">
            <v>TAMBOR</v>
          </cell>
          <cell r="F53">
            <v>22447.47</v>
          </cell>
          <cell r="G53">
            <v>-5.2467955455487103E-2</v>
          </cell>
          <cell r="H53">
            <v>23690.46</v>
          </cell>
          <cell r="I53">
            <v>22447.47</v>
          </cell>
          <cell r="L53" t="str">
            <v>PT02200003</v>
          </cell>
          <cell r="M53" t="str">
            <v>200 L</v>
          </cell>
          <cell r="N53" t="str">
            <v>SAE 40</v>
          </cell>
          <cell r="O53" t="str">
            <v>TAMBOR</v>
          </cell>
          <cell r="P53">
            <v>24523.11</v>
          </cell>
          <cell r="Q53">
            <v>-2.7353058903992866E-2</v>
          </cell>
          <cell r="R53">
            <v>25212.756000000001</v>
          </cell>
          <cell r="S53">
            <v>24523.11</v>
          </cell>
        </row>
        <row r="54">
          <cell r="B54" t="str">
            <v>PT04000006</v>
          </cell>
          <cell r="C54" t="str">
            <v>19 L</v>
          </cell>
          <cell r="D54" t="str">
            <v>MEDIANO</v>
          </cell>
          <cell r="E54" t="str">
            <v>CUBETA</v>
          </cell>
          <cell r="F54">
            <v>2330.52</v>
          </cell>
          <cell r="G54">
            <v>-5.1148383566462674E-2</v>
          </cell>
          <cell r="H54">
            <v>2456.1480000000001</v>
          </cell>
          <cell r="I54">
            <v>2330.52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 t="str">
            <v/>
          </cell>
          <cell r="R54">
            <v>0</v>
          </cell>
          <cell r="S54">
            <v>0</v>
          </cell>
        </row>
        <row r="55">
          <cell r="B55" t="str">
            <v>PT04000010</v>
          </cell>
          <cell r="C55" t="str">
            <v>200 L</v>
          </cell>
          <cell r="D55" t="str">
            <v>MEDIANO</v>
          </cell>
          <cell r="E55" t="str">
            <v>TAMBOR</v>
          </cell>
          <cell r="F55">
            <v>24442.66</v>
          </cell>
          <cell r="G55">
            <v>-5.0962725375706452E-2</v>
          </cell>
          <cell r="H55">
            <v>25755.216</v>
          </cell>
          <cell r="I55">
            <v>24442.66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 t="str">
            <v/>
          </cell>
          <cell r="R55">
            <v>0</v>
          </cell>
          <cell r="S55">
            <v>0</v>
          </cell>
        </row>
        <row r="56">
          <cell r="B56" t="str">
            <v>PT04000007</v>
          </cell>
          <cell r="C56" t="str">
            <v>19 L</v>
          </cell>
          <cell r="D56" t="str">
            <v>PESADO</v>
          </cell>
          <cell r="E56" t="str">
            <v>CUBETA</v>
          </cell>
          <cell r="F56">
            <v>3179.24</v>
          </cell>
          <cell r="G56">
            <v>-5.8689074037886479E-2</v>
          </cell>
          <cell r="H56">
            <v>3377.46</v>
          </cell>
          <cell r="I56">
            <v>3179.24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 t="str">
            <v/>
          </cell>
          <cell r="R56">
            <v>0</v>
          </cell>
          <cell r="S56">
            <v>0</v>
          </cell>
        </row>
        <row r="57">
          <cell r="B57" t="str">
            <v>PT04000011</v>
          </cell>
          <cell r="C57" t="str">
            <v>200 L</v>
          </cell>
          <cell r="D57" t="str">
            <v>PESADO</v>
          </cell>
          <cell r="E57" t="str">
            <v>TAMBOR</v>
          </cell>
          <cell r="F57">
            <v>26404.06</v>
          </cell>
          <cell r="G57">
            <v>-4.698741292825559E-2</v>
          </cell>
          <cell r="H57">
            <v>27705.888000000003</v>
          </cell>
          <cell r="I57">
            <v>26404.06</v>
          </cell>
          <cell r="L57" t="str">
            <v>PT40900001</v>
          </cell>
          <cell r="M57" t="str">
            <v>16 KG</v>
          </cell>
          <cell r="N57" t="str">
            <v>NLGI 1</v>
          </cell>
          <cell r="O57" t="str">
            <v>CUBETA</v>
          </cell>
          <cell r="P57">
            <v>2081.69</v>
          </cell>
          <cell r="Q57">
            <v>6.4820498340637744E-2</v>
          </cell>
          <cell r="R57">
            <v>1954.9680000000001</v>
          </cell>
          <cell r="S57">
            <v>2081.69</v>
          </cell>
        </row>
        <row r="58">
          <cell r="B58" t="str">
            <v>PT04000008</v>
          </cell>
          <cell r="C58" t="str">
            <v>19 L</v>
          </cell>
          <cell r="D58" t="str">
            <v>EXTRAPESADO</v>
          </cell>
          <cell r="E58" t="str">
            <v>CUBETA</v>
          </cell>
          <cell r="F58">
            <v>3389.17</v>
          </cell>
          <cell r="G58">
            <v>-5.7854139006940697E-2</v>
          </cell>
          <cell r="H58">
            <v>3597.2879999999996</v>
          </cell>
          <cell r="I58">
            <v>3389.17</v>
          </cell>
          <cell r="L58" t="str">
            <v>PT40900004</v>
          </cell>
          <cell r="M58" t="str">
            <v>170 KG</v>
          </cell>
          <cell r="N58" t="str">
            <v>NLGI 1</v>
          </cell>
          <cell r="O58" t="str">
            <v>TAMBOR</v>
          </cell>
          <cell r="P58" t="str">
            <v>SIN DATOS</v>
          </cell>
          <cell r="Q58" t="str">
            <v/>
          </cell>
          <cell r="R58">
            <v>0</v>
          </cell>
          <cell r="S58" t="str">
            <v>SIN DATOS</v>
          </cell>
        </row>
        <row r="59">
          <cell r="B59" t="str">
            <v>PT04000012</v>
          </cell>
          <cell r="C59" t="str">
            <v>200 L</v>
          </cell>
          <cell r="D59" t="str">
            <v>EXTRAPESADO</v>
          </cell>
          <cell r="E59" t="str">
            <v>TAMBOR</v>
          </cell>
          <cell r="F59">
            <v>28613.8</v>
          </cell>
          <cell r="G59">
            <v>-4.6838422160458637E-2</v>
          </cell>
          <cell r="H59">
            <v>30019.883999999998</v>
          </cell>
          <cell r="I59">
            <v>28613.8</v>
          </cell>
          <cell r="L59" t="str">
            <v>PT40900002</v>
          </cell>
          <cell r="M59" t="str">
            <v>16 KG</v>
          </cell>
          <cell r="N59" t="str">
            <v>NLGI 2</v>
          </cell>
          <cell r="O59" t="str">
            <v>CUBETA</v>
          </cell>
          <cell r="P59">
            <v>2149.4499999999998</v>
          </cell>
          <cell r="Q59">
            <v>6.7758940671061918E-2</v>
          </cell>
          <cell r="R59">
            <v>2013.048</v>
          </cell>
          <cell r="S59">
            <v>2149.4499999999998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 t="str">
            <v/>
          </cell>
          <cell r="H60">
            <v>0</v>
          </cell>
          <cell r="I60">
            <v>0</v>
          </cell>
          <cell r="L60" t="str">
            <v>PT40900005</v>
          </cell>
          <cell r="M60" t="str">
            <v>170 KG</v>
          </cell>
          <cell r="N60" t="str">
            <v>NLGI 2</v>
          </cell>
          <cell r="O60" t="str">
            <v>TAMBOR</v>
          </cell>
          <cell r="P60">
            <v>22566.27</v>
          </cell>
          <cell r="Q60">
            <v>6.8628058239958323E-2</v>
          </cell>
          <cell r="R60">
            <v>21117.048000000003</v>
          </cell>
          <cell r="S60">
            <v>22566.27</v>
          </cell>
        </row>
        <row r="61">
          <cell r="B61" t="str">
            <v>PT05000003</v>
          </cell>
          <cell r="C61" t="str">
            <v>19 L</v>
          </cell>
          <cell r="D61" t="str">
            <v>ISO VG 80</v>
          </cell>
          <cell r="E61" t="str">
            <v>CUBETA</v>
          </cell>
          <cell r="F61">
            <v>3513.96</v>
          </cell>
          <cell r="G61">
            <v>-5.4267471490441865E-2</v>
          </cell>
          <cell r="H61">
            <v>3715.596</v>
          </cell>
          <cell r="I61">
            <v>3513.96</v>
          </cell>
        </row>
      </sheetData>
      <sheetData sheetId="9">
        <row r="3">
          <cell r="B3" t="str">
            <v>PT40900003</v>
          </cell>
          <cell r="C3" t="str">
            <v>16 KG</v>
          </cell>
          <cell r="D3" t="str">
            <v>NLGI 3</v>
          </cell>
          <cell r="E3" t="str">
            <v>CUBETA</v>
          </cell>
          <cell r="F3">
            <v>1974.23</v>
          </cell>
          <cell r="G3">
            <v>7.6822967801617015E-2</v>
          </cell>
          <cell r="H3">
            <v>1833.384</v>
          </cell>
          <cell r="I3">
            <v>1974.23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</row>
        <row r="4">
          <cell r="B4" t="str">
            <v>PT40900006</v>
          </cell>
          <cell r="C4" t="str">
            <v>170 KG</v>
          </cell>
          <cell r="D4" t="str">
            <v>NLGI 3</v>
          </cell>
          <cell r="E4" t="str">
            <v>TAMBOR</v>
          </cell>
          <cell r="F4">
            <v>20754.05</v>
          </cell>
          <cell r="G4">
            <v>7.7711012545327529E-2</v>
          </cell>
          <cell r="H4">
            <v>19257.528000000002</v>
          </cell>
          <cell r="I4">
            <v>20754.05</v>
          </cell>
          <cell r="L4" t="str">
            <v>PT41800001</v>
          </cell>
          <cell r="M4" t="str">
            <v>16 KG</v>
          </cell>
          <cell r="N4" t="str">
            <v>NLGI 1</v>
          </cell>
          <cell r="O4" t="str">
            <v>CUBETA</v>
          </cell>
          <cell r="P4">
            <v>2263.79</v>
          </cell>
          <cell r="Q4">
            <v>2.9637573977953524E-2</v>
          </cell>
          <cell r="R4">
            <v>2198.6280000000002</v>
          </cell>
          <cell r="S4">
            <v>2263.79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L5" t="str">
            <v>PT41800004</v>
          </cell>
          <cell r="M5" t="str">
            <v>170 KG</v>
          </cell>
          <cell r="N5" t="str">
            <v>NLGI 1</v>
          </cell>
          <cell r="O5" t="str">
            <v>TAMBOR</v>
          </cell>
          <cell r="P5">
            <v>23830.6</v>
          </cell>
          <cell r="Q5">
            <v>2.9923115992613436E-2</v>
          </cell>
          <cell r="R5">
            <v>23138.232</v>
          </cell>
          <cell r="S5">
            <v>23830.6</v>
          </cell>
        </row>
        <row r="6">
          <cell r="B6" t="str">
            <v>PT41000001</v>
          </cell>
          <cell r="C6" t="str">
            <v>16 KG</v>
          </cell>
          <cell r="D6" t="str">
            <v>NLGI 2</v>
          </cell>
          <cell r="E6" t="str">
            <v>CUBETA</v>
          </cell>
          <cell r="F6">
            <v>2221.8200000000002</v>
          </cell>
          <cell r="G6">
            <v>7.0884616571040837E-2</v>
          </cell>
          <cell r="H6">
            <v>2074.752</v>
          </cell>
          <cell r="I6">
            <v>2221.8200000000002</v>
          </cell>
          <cell r="L6" t="str">
            <v>PT41800002</v>
          </cell>
          <cell r="M6" t="str">
            <v>16 KG</v>
          </cell>
          <cell r="N6" t="str">
            <v>NLGI 2</v>
          </cell>
          <cell r="O6" t="str">
            <v>CUBETA</v>
          </cell>
          <cell r="P6">
            <v>2413.6</v>
          </cell>
          <cell r="Q6">
            <v>1.8257419660772101E-2</v>
          </cell>
          <cell r="R6">
            <v>2370.3240000000001</v>
          </cell>
          <cell r="S6">
            <v>2413.6</v>
          </cell>
        </row>
        <row r="7">
          <cell r="B7" t="str">
            <v>PT41000003</v>
          </cell>
          <cell r="C7" t="str">
            <v>170 KG</v>
          </cell>
          <cell r="D7" t="str">
            <v>NLGI 2</v>
          </cell>
          <cell r="E7" t="str">
            <v>TAMBOR</v>
          </cell>
          <cell r="F7">
            <v>23384.71</v>
          </cell>
          <cell r="G7">
            <v>7.1608729881597055E-2</v>
          </cell>
          <cell r="H7">
            <v>21822.059999999998</v>
          </cell>
          <cell r="I7">
            <v>23384.71</v>
          </cell>
          <cell r="L7" t="str">
            <v>PT41800005</v>
          </cell>
          <cell r="M7" t="str">
            <v>170 KG</v>
          </cell>
          <cell r="N7" t="str">
            <v>NLGI 2</v>
          </cell>
          <cell r="O7" t="str">
            <v>TAMBOR</v>
          </cell>
          <cell r="P7">
            <v>25422.21</v>
          </cell>
          <cell r="Q7">
            <v>1.8419614258429862E-2</v>
          </cell>
          <cell r="R7">
            <v>24962.411999999997</v>
          </cell>
          <cell r="S7">
            <v>25422.21</v>
          </cell>
        </row>
        <row r="8">
          <cell r="B8" t="str">
            <v>PT41000002</v>
          </cell>
          <cell r="C8" t="str">
            <v>16 KG</v>
          </cell>
          <cell r="D8" t="str">
            <v>NLGI 3</v>
          </cell>
          <cell r="E8" t="str">
            <v>CUBETA</v>
          </cell>
          <cell r="F8">
            <v>2281.31</v>
          </cell>
          <cell r="G8">
            <v>7.2681329511514292E-2</v>
          </cell>
          <cell r="H8">
            <v>2126.7359999999999</v>
          </cell>
          <cell r="I8">
            <v>2281.31</v>
          </cell>
          <cell r="L8" t="str">
            <v>PT41800003</v>
          </cell>
          <cell r="M8" t="str">
            <v>16 KG</v>
          </cell>
          <cell r="N8" t="str">
            <v>NLGI 3</v>
          </cell>
          <cell r="O8" t="str">
            <v>CUBETA</v>
          </cell>
          <cell r="P8">
            <v>2543.83</v>
          </cell>
          <cell r="Q8">
            <v>9.6967531952052433E-3</v>
          </cell>
          <cell r="R8">
            <v>2519.4</v>
          </cell>
          <cell r="S8">
            <v>2543.83</v>
          </cell>
        </row>
        <row r="9">
          <cell r="B9" t="str">
            <v>PT41000004</v>
          </cell>
          <cell r="C9" t="str">
            <v>170 KG</v>
          </cell>
          <cell r="D9" t="str">
            <v>NLGI 3</v>
          </cell>
          <cell r="E9" t="str">
            <v>TAMBOR</v>
          </cell>
          <cell r="F9">
            <v>24016.74</v>
          </cell>
          <cell r="G9">
            <v>7.3402254933404354E-2</v>
          </cell>
          <cell r="H9">
            <v>22374.407999999999</v>
          </cell>
          <cell r="I9">
            <v>24016.74</v>
          </cell>
          <cell r="L9" t="str">
            <v>PT41800006</v>
          </cell>
          <cell r="M9" t="str">
            <v>170 KG</v>
          </cell>
          <cell r="N9" t="str">
            <v>NLGI 3</v>
          </cell>
          <cell r="O9" t="str">
            <v>TAMBOR</v>
          </cell>
          <cell r="P9">
            <v>26806.080000000002</v>
          </cell>
          <cell r="Q9">
            <v>9.7798350514533006E-3</v>
          </cell>
          <cell r="R9">
            <v>26546.46</v>
          </cell>
          <cell r="S9">
            <v>26806.080000000002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B11" t="str">
            <v>PT41100001</v>
          </cell>
          <cell r="C11" t="str">
            <v>16 KG</v>
          </cell>
          <cell r="D11" t="str">
            <v>NLGI 2</v>
          </cell>
          <cell r="E11" t="str">
            <v>CUBETA</v>
          </cell>
          <cell r="F11">
            <v>2333.29</v>
          </cell>
          <cell r="G11">
            <v>6.8086271235475282E-2</v>
          </cell>
          <cell r="H11">
            <v>2184.5520000000001</v>
          </cell>
          <cell r="I11">
            <v>2333.29</v>
          </cell>
          <cell r="L11" t="str">
            <v>PT41900001</v>
          </cell>
          <cell r="M11" t="str">
            <v>16 KG</v>
          </cell>
          <cell r="N11" t="str">
            <v>NLGI 2</v>
          </cell>
          <cell r="O11" t="str">
            <v>CUBETA</v>
          </cell>
          <cell r="P11">
            <v>2470.65</v>
          </cell>
          <cell r="Q11">
            <v>1.7291044923612109E-2</v>
          </cell>
          <cell r="R11">
            <v>2428.6559999999999</v>
          </cell>
          <cell r="S11">
            <v>2470.65</v>
          </cell>
        </row>
        <row r="12">
          <cell r="B12" t="str">
            <v>PT41100003</v>
          </cell>
          <cell r="C12" t="str">
            <v>170 KG</v>
          </cell>
          <cell r="D12" t="str">
            <v>NLGI 2</v>
          </cell>
          <cell r="E12" t="str">
            <v>TAMBOR</v>
          </cell>
          <cell r="F12">
            <v>24569.06</v>
          </cell>
          <cell r="G12">
            <v>6.8746752747354201E-2</v>
          </cell>
          <cell r="H12">
            <v>22988.664000000001</v>
          </cell>
          <cell r="I12">
            <v>24569.06</v>
          </cell>
          <cell r="L12" t="str">
            <v>PT41800007</v>
          </cell>
          <cell r="M12" t="str">
            <v>170 KG</v>
          </cell>
          <cell r="N12" t="str">
            <v>NLGI 2</v>
          </cell>
          <cell r="O12" t="str">
            <v>TAMBOR</v>
          </cell>
          <cell r="P12">
            <v>26028.400000000001</v>
          </cell>
          <cell r="Q12">
            <v>1.7438951473895736E-2</v>
          </cell>
          <cell r="R12">
            <v>25582.272000000001</v>
          </cell>
          <cell r="S12">
            <v>26028.400000000001</v>
          </cell>
        </row>
        <row r="13">
          <cell r="B13" t="str">
            <v>PT41100002</v>
          </cell>
          <cell r="C13" t="str">
            <v>16 KG</v>
          </cell>
          <cell r="D13" t="str">
            <v>NLGI 3</v>
          </cell>
          <cell r="E13" t="str">
            <v>CUBETA</v>
          </cell>
          <cell r="F13">
            <v>2328.6799999999998</v>
          </cell>
          <cell r="G13">
            <v>7.3215424718040323E-2</v>
          </cell>
          <cell r="H13">
            <v>2169.8160000000003</v>
          </cell>
          <cell r="I13">
            <v>2328.6799999999998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B14" t="str">
            <v>PT41100004</v>
          </cell>
          <cell r="C14" t="str">
            <v>170 KG</v>
          </cell>
          <cell r="D14" t="str">
            <v>NLGI 3</v>
          </cell>
          <cell r="E14" t="str">
            <v>TAMBOR</v>
          </cell>
          <cell r="F14">
            <v>24519.96</v>
          </cell>
          <cell r="G14">
            <v>7.3923740077795674E-2</v>
          </cell>
          <cell r="H14">
            <v>22832.124</v>
          </cell>
          <cell r="I14">
            <v>24519.96</v>
          </cell>
          <cell r="L14" t="str">
            <v>PT42000001</v>
          </cell>
          <cell r="M14" t="str">
            <v>16 KG</v>
          </cell>
          <cell r="N14" t="str">
            <v>NLGI 2</v>
          </cell>
          <cell r="O14" t="str">
            <v>CUBETA</v>
          </cell>
          <cell r="P14">
            <v>3543.09</v>
          </cell>
          <cell r="Q14">
            <v>6.4144381172060783E-2</v>
          </cell>
          <cell r="R14">
            <v>3329.52</v>
          </cell>
          <cell r="S14">
            <v>3543.09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L15" t="str">
            <v>PT42000002</v>
          </cell>
          <cell r="M15" t="str">
            <v>170 KG</v>
          </cell>
          <cell r="N15" t="str">
            <v>NLGI 2</v>
          </cell>
          <cell r="O15" t="str">
            <v>TAMBOR</v>
          </cell>
          <cell r="P15">
            <v>37423.160000000003</v>
          </cell>
          <cell r="Q15">
            <v>6.4550580259084667E-2</v>
          </cell>
          <cell r="R15">
            <v>35153.951999999997</v>
          </cell>
          <cell r="S15">
            <v>37423.160000000003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B17" t="str">
            <v>PT40500001</v>
          </cell>
          <cell r="C17" t="str">
            <v>16 K</v>
          </cell>
          <cell r="D17" t="str">
            <v>NLGI 000</v>
          </cell>
          <cell r="E17" t="str">
            <v>CUBETA</v>
          </cell>
          <cell r="F17">
            <v>1760.66</v>
          </cell>
          <cell r="G17">
            <v>5.3800279152391939E-2</v>
          </cell>
          <cell r="H17">
            <v>1670.7719999999999</v>
          </cell>
          <cell r="I17">
            <v>1760.66</v>
          </cell>
          <cell r="L17" t="str">
            <v>PT42100001</v>
          </cell>
          <cell r="M17" t="str">
            <v>16 KG</v>
          </cell>
          <cell r="N17" t="str">
            <v>NLGI 2</v>
          </cell>
          <cell r="O17" t="str">
            <v>CUBETA</v>
          </cell>
          <cell r="P17">
            <v>3952.11</v>
          </cell>
          <cell r="Q17">
            <v>7.3399234735449292E-2</v>
          </cell>
          <cell r="R17">
            <v>3681.8639999999996</v>
          </cell>
          <cell r="S17">
            <v>3952.11</v>
          </cell>
        </row>
        <row r="18">
          <cell r="B18" t="str">
            <v>PT40500007</v>
          </cell>
          <cell r="C18" t="str">
            <v>170 K</v>
          </cell>
          <cell r="D18" t="str">
            <v>NLGI 000</v>
          </cell>
          <cell r="E18" t="str">
            <v>TAMBOR</v>
          </cell>
          <cell r="F18">
            <v>18484.759999999998</v>
          </cell>
          <cell r="G18">
            <v>5.4481189659618012E-2</v>
          </cell>
          <cell r="H18">
            <v>17529.72</v>
          </cell>
          <cell r="I18">
            <v>18484.759999999998</v>
          </cell>
          <cell r="L18" t="str">
            <v>PT42100002</v>
          </cell>
          <cell r="M18" t="str">
            <v>170 KG</v>
          </cell>
          <cell r="N18" t="str">
            <v>NLGI 2</v>
          </cell>
          <cell r="O18" t="str">
            <v>TAMBOR</v>
          </cell>
          <cell r="P18">
            <v>41769.019999999997</v>
          </cell>
          <cell r="Q18">
            <v>7.3820530737387591E-2</v>
          </cell>
          <cell r="R18">
            <v>38897.58</v>
          </cell>
          <cell r="S18">
            <v>41769.019999999997</v>
          </cell>
        </row>
        <row r="19">
          <cell r="B19" t="str">
            <v>PT40500002</v>
          </cell>
          <cell r="C19" t="str">
            <v>16 K</v>
          </cell>
          <cell r="D19" t="str">
            <v>NLGI 00</v>
          </cell>
          <cell r="E19" t="str">
            <v>CUBETA</v>
          </cell>
          <cell r="F19">
            <v>1765.65</v>
          </cell>
          <cell r="G19">
            <v>5.2839652816039751E-2</v>
          </cell>
          <cell r="H19">
            <v>1677.0360000000001</v>
          </cell>
          <cell r="I19">
            <v>1765.65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PT40500008</v>
          </cell>
          <cell r="C20" t="str">
            <v>170 K</v>
          </cell>
          <cell r="D20" t="str">
            <v>NLGI 00</v>
          </cell>
          <cell r="E20" t="str">
            <v>TAMBOR</v>
          </cell>
          <cell r="F20">
            <v>18537.77</v>
          </cell>
          <cell r="G20">
            <v>5.3505537991229035E-2</v>
          </cell>
          <cell r="H20">
            <v>17596.272000000001</v>
          </cell>
          <cell r="I20">
            <v>18537.77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B21" t="str">
            <v>PT40500003</v>
          </cell>
          <cell r="C21" t="str">
            <v>16 K</v>
          </cell>
          <cell r="D21" t="str">
            <v>NLGI 0</v>
          </cell>
          <cell r="E21" t="str">
            <v>CUBETA</v>
          </cell>
          <cell r="F21">
            <v>1776.31</v>
          </cell>
          <cell r="G21">
            <v>4.9903066411329355E-2</v>
          </cell>
          <cell r="H21">
            <v>1691.88</v>
          </cell>
          <cell r="I21">
            <v>1776.31</v>
          </cell>
          <cell r="L21" t="str">
            <v>PT42200001</v>
          </cell>
          <cell r="M21" t="str">
            <v>16 KG</v>
          </cell>
          <cell r="N21" t="str">
            <v>NLGI 2</v>
          </cell>
          <cell r="O21" t="str">
            <v>CUBETA</v>
          </cell>
          <cell r="P21">
            <v>5307.92</v>
          </cell>
          <cell r="Q21">
            <v>4.809046412862239E-2</v>
          </cell>
          <cell r="R21">
            <v>5064.3720000000003</v>
          </cell>
          <cell r="S21">
            <v>5307.92</v>
          </cell>
        </row>
        <row r="22">
          <cell r="B22" t="str">
            <v>PT40500009</v>
          </cell>
          <cell r="C22" t="str">
            <v>170 K</v>
          </cell>
          <cell r="D22" t="str">
            <v>NLGI 0</v>
          </cell>
          <cell r="E22" t="str">
            <v>TAMBOR</v>
          </cell>
          <cell r="F22" t="str">
            <v>SIN DATOS</v>
          </cell>
          <cell r="G22" t="str">
            <v/>
          </cell>
          <cell r="H22">
            <v>0</v>
          </cell>
          <cell r="I22" t="str">
            <v>SIN DATOS</v>
          </cell>
          <cell r="L22" t="str">
            <v>PT42200002</v>
          </cell>
          <cell r="M22" t="str">
            <v>170 KG</v>
          </cell>
          <cell r="N22" t="str">
            <v>NLGI 2</v>
          </cell>
          <cell r="O22" t="str">
            <v>TAMBOR</v>
          </cell>
          <cell r="P22">
            <v>56174.42</v>
          </cell>
          <cell r="Q22">
            <v>4.8290653700460373E-2</v>
          </cell>
          <cell r="R22">
            <v>53586.684000000001</v>
          </cell>
          <cell r="S22">
            <v>56174.42</v>
          </cell>
        </row>
        <row r="23">
          <cell r="B23" t="str">
            <v>PT40500004</v>
          </cell>
          <cell r="C23" t="str">
            <v>16 K</v>
          </cell>
          <cell r="D23" t="str">
            <v>NLGI 1</v>
          </cell>
          <cell r="E23" t="str">
            <v>CUBETA</v>
          </cell>
          <cell r="F23">
            <v>1817.68</v>
          </cell>
          <cell r="G23">
            <v>4.3226329285958709E-2</v>
          </cell>
          <cell r="H23">
            <v>1742.364</v>
          </cell>
          <cell r="I23">
            <v>1817.68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PT40500010</v>
          </cell>
          <cell r="C24" t="str">
            <v>170 K</v>
          </cell>
          <cell r="D24" t="str">
            <v>NLGI 1</v>
          </cell>
          <cell r="E24" t="str">
            <v>TAMBOR</v>
          </cell>
          <cell r="F24">
            <v>19090.72</v>
          </cell>
          <cell r="G24">
            <v>4.3756287451340636E-2</v>
          </cell>
          <cell r="H24">
            <v>18290.400000000001</v>
          </cell>
          <cell r="I24">
            <v>19090.72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PT40500005</v>
          </cell>
          <cell r="C25" t="str">
            <v>16 K</v>
          </cell>
          <cell r="D25" t="str">
            <v>NLGI 2</v>
          </cell>
          <cell r="E25" t="str">
            <v>CUBETA</v>
          </cell>
          <cell r="F25">
            <v>1823.49</v>
          </cell>
          <cell r="G25">
            <v>3.9814833822593432E-2</v>
          </cell>
          <cell r="H25">
            <v>1753.6680000000001</v>
          </cell>
          <cell r="I25">
            <v>1823.49</v>
          </cell>
          <cell r="L25" t="str">
            <v>PT41300001</v>
          </cell>
          <cell r="M25" t="str">
            <v>16 KG</v>
          </cell>
          <cell r="N25" t="str">
            <v>NLGI 000</v>
          </cell>
          <cell r="O25" t="str">
            <v>CUBETA</v>
          </cell>
          <cell r="P25">
            <v>1772.13</v>
          </cell>
          <cell r="Q25">
            <v>5.1953926373375925E-2</v>
          </cell>
          <cell r="R25">
            <v>1684.6079999999999</v>
          </cell>
          <cell r="S25">
            <v>1772.13</v>
          </cell>
        </row>
        <row r="26">
          <cell r="B26" t="str">
            <v>PT40500011</v>
          </cell>
          <cell r="C26" t="str">
            <v>170 K</v>
          </cell>
          <cell r="D26" t="str">
            <v>NLGI 2</v>
          </cell>
          <cell r="E26" t="str">
            <v>TAMBOR</v>
          </cell>
          <cell r="F26">
            <v>19146.55</v>
          </cell>
          <cell r="G26">
            <v>4.030424737948235E-2</v>
          </cell>
          <cell r="H26">
            <v>18404.759999999998</v>
          </cell>
          <cell r="I26">
            <v>19146.55</v>
          </cell>
          <cell r="L26" t="str">
            <v>PT41300003</v>
          </cell>
          <cell r="M26" t="str">
            <v>170 KG</v>
          </cell>
          <cell r="N26" t="str">
            <v>NLGI 000</v>
          </cell>
          <cell r="O26" t="str">
            <v>TAMBOR</v>
          </cell>
          <cell r="P26" t="str">
            <v>SIN DATOS</v>
          </cell>
          <cell r="Q26" t="str">
            <v/>
          </cell>
          <cell r="R26">
            <v>0</v>
          </cell>
          <cell r="S26" t="str">
            <v>SIN DATOS</v>
          </cell>
        </row>
        <row r="27">
          <cell r="B27" t="str">
            <v>PT40500006</v>
          </cell>
          <cell r="C27" t="str">
            <v>16 K</v>
          </cell>
          <cell r="D27" t="str">
            <v>NLGI 3</v>
          </cell>
          <cell r="E27" t="str">
            <v>CUBETA</v>
          </cell>
          <cell r="F27">
            <v>1863.56</v>
          </cell>
          <cell r="G27">
            <v>3.5905029994974802E-2</v>
          </cell>
          <cell r="H27">
            <v>1798.9680000000001</v>
          </cell>
          <cell r="I27">
            <v>1863.56</v>
          </cell>
          <cell r="L27" t="str">
            <v>PT41300002</v>
          </cell>
          <cell r="M27" t="str">
            <v>16 KG</v>
          </cell>
          <cell r="N27" t="str">
            <v>NLGI 00</v>
          </cell>
          <cell r="O27" t="str">
            <v>CUBETA</v>
          </cell>
          <cell r="P27">
            <v>1773.49</v>
          </cell>
          <cell r="Q27">
            <v>5.1345801351136755E-2</v>
          </cell>
          <cell r="R27">
            <v>1686.876</v>
          </cell>
          <cell r="S27">
            <v>1773.49</v>
          </cell>
        </row>
        <row r="28">
          <cell r="B28" t="str">
            <v>PT40500012</v>
          </cell>
          <cell r="C28" t="str">
            <v>170 K</v>
          </cell>
          <cell r="D28" t="str">
            <v>NLGI 3</v>
          </cell>
          <cell r="E28" t="str">
            <v>TAMBOR</v>
          </cell>
          <cell r="F28">
            <v>19578.05</v>
          </cell>
          <cell r="G28">
            <v>3.6324406293180012E-2</v>
          </cell>
          <cell r="H28">
            <v>18891.815999999999</v>
          </cell>
          <cell r="I28">
            <v>19578.05</v>
          </cell>
          <cell r="L28" t="str">
            <v>PT41300004</v>
          </cell>
          <cell r="M28" t="str">
            <v>170 KG</v>
          </cell>
          <cell r="N28" t="str">
            <v>NLGI 00</v>
          </cell>
          <cell r="O28" t="str">
            <v>TAMBOR</v>
          </cell>
          <cell r="P28">
            <v>18621.11</v>
          </cell>
          <cell r="Q28">
            <v>5.1988048501102391E-2</v>
          </cell>
          <cell r="R28">
            <v>17700.876</v>
          </cell>
          <cell r="S28">
            <v>18621.11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B30" t="str">
            <v>PT40600001</v>
          </cell>
          <cell r="C30" t="str">
            <v>16 KG</v>
          </cell>
          <cell r="D30" t="str">
            <v>NLGI 000</v>
          </cell>
          <cell r="E30" t="str">
            <v>CUBETA</v>
          </cell>
          <cell r="F30">
            <v>1926.05</v>
          </cell>
          <cell r="G30">
            <v>5.7228267551948653E-2</v>
          </cell>
          <cell r="H30">
            <v>1821.7920000000001</v>
          </cell>
          <cell r="I30">
            <v>1926.05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B31" t="str">
            <v>PT40600007</v>
          </cell>
          <cell r="C31" t="str">
            <v>170 KG</v>
          </cell>
          <cell r="D31" t="str">
            <v>NLGI 000</v>
          </cell>
          <cell r="E31" t="str">
            <v>TAMBOR</v>
          </cell>
          <cell r="F31">
            <v>20242.07</v>
          </cell>
          <cell r="G31">
            <v>5.789578868832046E-2</v>
          </cell>
          <cell r="H31">
            <v>19134.275999999998</v>
          </cell>
          <cell r="I31">
            <v>20242.07</v>
          </cell>
          <cell r="L31" t="str">
            <v>PT42500001</v>
          </cell>
          <cell r="M31" t="str">
            <v>16 K</v>
          </cell>
          <cell r="N31" t="str">
            <v>NLGI 4</v>
          </cell>
          <cell r="O31" t="str">
            <v>CUBETA</v>
          </cell>
          <cell r="P31">
            <v>5693.91</v>
          </cell>
          <cell r="Q31">
            <v>0.17925302025265477</v>
          </cell>
          <cell r="R31">
            <v>4828.4040000000005</v>
          </cell>
          <cell r="S31">
            <v>5693.91</v>
          </cell>
        </row>
        <row r="32">
          <cell r="B32" t="str">
            <v>PT40600002</v>
          </cell>
          <cell r="C32" t="str">
            <v>16 KG</v>
          </cell>
          <cell r="D32" t="str">
            <v>NLGI 00</v>
          </cell>
          <cell r="E32" t="str">
            <v>CUBETA</v>
          </cell>
          <cell r="F32">
            <v>1925.33</v>
          </cell>
          <cell r="G32">
            <v>5.7355406031768918E-2</v>
          </cell>
          <cell r="H32">
            <v>1820.8920000000001</v>
          </cell>
          <cell r="I32">
            <v>1925.33</v>
          </cell>
          <cell r="L32" t="str">
            <v>PT42400001</v>
          </cell>
          <cell r="M32" t="str">
            <v>170KG</v>
          </cell>
          <cell r="N32" t="str">
            <v>NLGI 4</v>
          </cell>
          <cell r="O32" t="str">
            <v>TAMBOR</v>
          </cell>
          <cell r="P32" t="str">
            <v>SIN DATOS</v>
          </cell>
          <cell r="Q32" t="str">
            <v/>
          </cell>
          <cell r="R32">
            <v>0</v>
          </cell>
          <cell r="S32" t="str">
            <v>SIN DATOS</v>
          </cell>
        </row>
        <row r="33">
          <cell r="B33" t="str">
            <v>PT40600008</v>
          </cell>
          <cell r="C33" t="str">
            <v>170 KG</v>
          </cell>
          <cell r="D33" t="str">
            <v>NLGI 00</v>
          </cell>
          <cell r="E33" t="str">
            <v>TAMBOR</v>
          </cell>
          <cell r="F33">
            <v>20234.490000000002</v>
          </cell>
          <cell r="G33">
            <v>5.8025162339190306E-2</v>
          </cell>
          <cell r="H33">
            <v>19124.772000000001</v>
          </cell>
          <cell r="I33">
            <v>20234.490000000002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B34" t="str">
            <v>PT40600003</v>
          </cell>
          <cell r="C34" t="str">
            <v>16 KG</v>
          </cell>
          <cell r="D34" t="str">
            <v>NLGI 0</v>
          </cell>
          <cell r="E34" t="str">
            <v>CUBETA</v>
          </cell>
          <cell r="F34">
            <v>1933.15</v>
          </cell>
          <cell r="G34">
            <v>5.5120731813815604E-2</v>
          </cell>
          <cell r="H34">
            <v>1832.1599999999999</v>
          </cell>
          <cell r="I34">
            <v>1933.15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B35" t="str">
            <v>PT40600009</v>
          </cell>
          <cell r="C35" t="str">
            <v>170 KG</v>
          </cell>
          <cell r="D35" t="str">
            <v>NLGI 0</v>
          </cell>
          <cell r="E35" t="str">
            <v>TAMBOR</v>
          </cell>
          <cell r="F35">
            <v>20378.41</v>
          </cell>
          <cell r="G35">
            <v>5.5579072252824879E-2</v>
          </cell>
          <cell r="H35">
            <v>19305.432000000001</v>
          </cell>
          <cell r="I35">
            <v>20378.41</v>
          </cell>
          <cell r="L35" t="str">
            <v>PT41600001</v>
          </cell>
          <cell r="M35" t="str">
            <v>16 KG</v>
          </cell>
          <cell r="N35" t="str">
            <v>NLGI 2</v>
          </cell>
          <cell r="O35" t="str">
            <v>CUBETA</v>
          </cell>
          <cell r="P35">
            <v>1636.52</v>
          </cell>
          <cell r="Q35">
            <v>1.5583886886499254E-2</v>
          </cell>
          <cell r="R35">
            <v>1611.4079999999999</v>
          </cell>
          <cell r="S35">
            <v>1636.52</v>
          </cell>
        </row>
        <row r="36">
          <cell r="B36" t="str">
            <v>PT40600004</v>
          </cell>
          <cell r="C36" t="str">
            <v>16 KG</v>
          </cell>
          <cell r="D36" t="str">
            <v>NLGI 1</v>
          </cell>
          <cell r="E36" t="str">
            <v>CUBETA</v>
          </cell>
          <cell r="F36">
            <v>1977</v>
          </cell>
          <cell r="G36">
            <v>4.8995574798637476E-2</v>
          </cell>
          <cell r="H36">
            <v>1884.6599999999999</v>
          </cell>
          <cell r="I36">
            <v>1977</v>
          </cell>
          <cell r="L36">
            <v>0</v>
          </cell>
          <cell r="M36" t="str">
            <v>170 KG</v>
          </cell>
          <cell r="N36" t="str">
            <v>NLGI 2</v>
          </cell>
          <cell r="O36" t="str">
            <v>TAMBOR</v>
          </cell>
          <cell r="P36" t="str">
            <v>SIN DATOS</v>
          </cell>
          <cell r="Q36" t="str">
            <v/>
          </cell>
          <cell r="R36">
            <v>16899.048000000003</v>
          </cell>
          <cell r="S36" t="str">
            <v>SIN DATOS</v>
          </cell>
        </row>
        <row r="37">
          <cell r="B37" t="str">
            <v>PT40600010</v>
          </cell>
          <cell r="C37" t="str">
            <v>170 KG</v>
          </cell>
          <cell r="D37" t="str">
            <v>NLGI 1</v>
          </cell>
          <cell r="E37" t="str">
            <v>TAMBOR</v>
          </cell>
          <cell r="F37">
            <v>20783.34</v>
          </cell>
          <cell r="G37">
            <v>4.9543415935992874E-2</v>
          </cell>
          <cell r="H37">
            <v>19802.268</v>
          </cell>
          <cell r="I37">
            <v>20783.34</v>
          </cell>
          <cell r="L37" t="str">
            <v>PT41600002</v>
          </cell>
          <cell r="M37" t="str">
            <v>16 KG</v>
          </cell>
          <cell r="N37" t="str">
            <v>NLGI 3</v>
          </cell>
          <cell r="O37" t="str">
            <v>CUBETA</v>
          </cell>
          <cell r="P37">
            <v>1651.81</v>
          </cell>
          <cell r="Q37">
            <v>1.3203834423940908E-2</v>
          </cell>
          <cell r="R37">
            <v>1630.2839999999999</v>
          </cell>
          <cell r="S37">
            <v>1651.81</v>
          </cell>
        </row>
        <row r="38">
          <cell r="B38" t="str">
            <v>PT40600005</v>
          </cell>
          <cell r="C38" t="str">
            <v>16 KG</v>
          </cell>
          <cell r="D38" t="str">
            <v>NLGI 2</v>
          </cell>
          <cell r="E38" t="str">
            <v>CUBETA</v>
          </cell>
          <cell r="F38">
            <v>1982.61</v>
          </cell>
          <cell r="G38">
            <v>4.5892206016408421E-2</v>
          </cell>
          <cell r="H38">
            <v>1895.616</v>
          </cell>
          <cell r="I38">
            <v>1982.61</v>
          </cell>
          <cell r="L38" t="str">
            <v>PT41600004</v>
          </cell>
          <cell r="M38" t="str">
            <v>170 KG</v>
          </cell>
          <cell r="N38" t="str">
            <v>NLGI 3</v>
          </cell>
          <cell r="O38" t="str">
            <v>TAMBOR</v>
          </cell>
          <cell r="P38">
            <v>17328.23</v>
          </cell>
          <cell r="Q38">
            <v>1.3375940407174269E-2</v>
          </cell>
          <cell r="R38">
            <v>17099.508000000002</v>
          </cell>
          <cell r="S38">
            <v>17328.23</v>
          </cell>
        </row>
        <row r="39">
          <cell r="B39" t="str">
            <v>PT40600011</v>
          </cell>
          <cell r="C39" t="str">
            <v>170 KG</v>
          </cell>
          <cell r="D39" t="str">
            <v>NLGI 2</v>
          </cell>
          <cell r="E39" t="str">
            <v>TAMBOR</v>
          </cell>
          <cell r="F39">
            <v>20840.59</v>
          </cell>
          <cell r="G39">
            <v>4.6410401788126165E-2</v>
          </cell>
          <cell r="H39">
            <v>19916.268</v>
          </cell>
          <cell r="I39">
            <v>20840.59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B40" t="str">
            <v>PT40600006</v>
          </cell>
          <cell r="C40" t="str">
            <v>16 KG</v>
          </cell>
          <cell r="D40" t="str">
            <v>NLGI 3</v>
          </cell>
          <cell r="E40" t="str">
            <v>CUBETA</v>
          </cell>
          <cell r="F40">
            <v>2021.46</v>
          </cell>
          <cell r="G40">
            <v>4.2238968495557749E-2</v>
          </cell>
          <cell r="H40">
            <v>1939.5360000000001</v>
          </cell>
          <cell r="I40">
            <v>2021.46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B41" t="str">
            <v>PT40600012</v>
          </cell>
          <cell r="C41" t="str">
            <v>170 KG</v>
          </cell>
          <cell r="D41" t="str">
            <v>NLGI 3</v>
          </cell>
          <cell r="E41" t="str">
            <v>TAMBOR</v>
          </cell>
          <cell r="F41">
            <v>21250.12</v>
          </cell>
          <cell r="G41">
            <v>4.2711580441529895E-2</v>
          </cell>
          <cell r="H41">
            <v>20379.672000000002</v>
          </cell>
          <cell r="I41">
            <v>21250.12</v>
          </cell>
          <cell r="L41" t="str">
            <v>PT42700001</v>
          </cell>
          <cell r="M41" t="str">
            <v>16 KG</v>
          </cell>
          <cell r="N41" t="str">
            <v>NLGI 3</v>
          </cell>
          <cell r="O41" t="str">
            <v>CUBETA</v>
          </cell>
          <cell r="P41">
            <v>1928.17</v>
          </cell>
          <cell r="Q41">
            <v>5.6832631763571007E-2</v>
          </cell>
          <cell r="R41">
            <v>1824.48</v>
          </cell>
          <cell r="S41">
            <v>1928.17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L42" t="str">
            <v>PT42700002</v>
          </cell>
          <cell r="M42" t="str">
            <v>170 KG</v>
          </cell>
          <cell r="N42" t="str">
            <v>NLGI 3</v>
          </cell>
          <cell r="O42" t="str">
            <v>TAMBOR</v>
          </cell>
          <cell r="P42">
            <v>20264.59</v>
          </cell>
          <cell r="Q42">
            <v>5.7492321610247199E-2</v>
          </cell>
          <cell r="R42">
            <v>19162.871999999999</v>
          </cell>
          <cell r="S42">
            <v>20264.59</v>
          </cell>
        </row>
        <row r="43">
          <cell r="B43" t="str">
            <v>PT40700001</v>
          </cell>
          <cell r="C43" t="str">
            <v>16 KG</v>
          </cell>
          <cell r="D43" t="str">
            <v>NLGI 1</v>
          </cell>
          <cell r="E43" t="str">
            <v>CUBETA</v>
          </cell>
          <cell r="F43">
            <v>2046.96</v>
          </cell>
          <cell r="G43">
            <v>4.5758846465092207E-2</v>
          </cell>
          <cell r="H43">
            <v>1957.3920000000001</v>
          </cell>
          <cell r="I43">
            <v>2046.96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B44" t="str">
            <v>PT40700004</v>
          </cell>
          <cell r="C44" t="str">
            <v>170 KG</v>
          </cell>
          <cell r="D44" t="str">
            <v>NLGI 1</v>
          </cell>
          <cell r="E44" t="str">
            <v>TAMBOR</v>
          </cell>
          <cell r="F44" t="str">
            <v>SIN DATOS</v>
          </cell>
          <cell r="G44" t="str">
            <v/>
          </cell>
          <cell r="H44">
            <v>0</v>
          </cell>
          <cell r="I44" t="str">
            <v>SIN DATOS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B45" t="str">
            <v>PT40700002</v>
          </cell>
          <cell r="C45" t="str">
            <v>16 KG</v>
          </cell>
          <cell r="D45" t="str">
            <v>NLGI 2</v>
          </cell>
          <cell r="E45" t="str">
            <v>CUBETA</v>
          </cell>
          <cell r="F45">
            <v>2049.44</v>
          </cell>
          <cell r="G45">
            <v>4.2806434805262583E-2</v>
          </cell>
          <cell r="H45">
            <v>1965.3119999999999</v>
          </cell>
          <cell r="I45">
            <v>2049.44</v>
          </cell>
          <cell r="L45" t="str">
            <v>PT41400001</v>
          </cell>
          <cell r="M45" t="str">
            <v>16 KG</v>
          </cell>
          <cell r="N45" t="str">
            <v>NLGI 2</v>
          </cell>
          <cell r="O45" t="str">
            <v>CUBETA</v>
          </cell>
          <cell r="P45">
            <v>2838.17</v>
          </cell>
          <cell r="Q45">
            <v>6.440103088453264E-2</v>
          </cell>
          <cell r="R45">
            <v>2666.4479999999999</v>
          </cell>
          <cell r="S45">
            <v>2838.17</v>
          </cell>
        </row>
        <row r="46">
          <cell r="B46" t="str">
            <v>PT40700005</v>
          </cell>
          <cell r="C46" t="str">
            <v>170 KG</v>
          </cell>
          <cell r="D46" t="str">
            <v>NLGI 2</v>
          </cell>
          <cell r="E46" t="str">
            <v>TAMBOR</v>
          </cell>
          <cell r="F46">
            <v>21553.17</v>
          </cell>
          <cell r="G46">
            <v>4.3269822793162493E-2</v>
          </cell>
          <cell r="H46">
            <v>20659.248</v>
          </cell>
          <cell r="I46">
            <v>21553.17</v>
          </cell>
          <cell r="L46" t="str">
            <v>PT41400002</v>
          </cell>
          <cell r="M46" t="str">
            <v>170 KG</v>
          </cell>
          <cell r="N46" t="str">
            <v>NLGI 2</v>
          </cell>
          <cell r="O46" t="str">
            <v>TAMBOR</v>
          </cell>
          <cell r="P46">
            <v>29933.27</v>
          </cell>
          <cell r="Q46" t="str">
            <v/>
          </cell>
          <cell r="R46">
            <v>0</v>
          </cell>
          <cell r="S46">
            <v>29933.27</v>
          </cell>
        </row>
        <row r="47">
          <cell r="B47" t="str">
            <v>PT40700003</v>
          </cell>
          <cell r="C47" t="str">
            <v>16 KG</v>
          </cell>
          <cell r="D47" t="str">
            <v>NLGI 3</v>
          </cell>
          <cell r="E47" t="str">
            <v>CUBETA</v>
          </cell>
          <cell r="F47">
            <v>2090.09</v>
          </cell>
          <cell r="G47">
            <v>3.9523053539597619E-2</v>
          </cell>
          <cell r="H47">
            <v>2010.624</v>
          </cell>
          <cell r="I47">
            <v>2090.09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B48" t="str">
            <v>PT40700006</v>
          </cell>
          <cell r="C48" t="str">
            <v>170 KG</v>
          </cell>
          <cell r="D48" t="str">
            <v>NLGI 3</v>
          </cell>
          <cell r="E48" t="str">
            <v>TAMBOR</v>
          </cell>
          <cell r="F48" t="str">
            <v>SIN DATOS</v>
          </cell>
          <cell r="G48" t="str">
            <v/>
          </cell>
          <cell r="H48">
            <v>0</v>
          </cell>
          <cell r="I48" t="str">
            <v>SIN DATOS</v>
          </cell>
          <cell r="L48">
            <v>0</v>
          </cell>
          <cell r="M48" t="str">
            <v>16 KG</v>
          </cell>
          <cell r="N48" t="str">
            <v>NLGI 2</v>
          </cell>
          <cell r="O48" t="str">
            <v>CUBETA</v>
          </cell>
          <cell r="P48" t="str">
            <v>SIN DATOS</v>
          </cell>
          <cell r="Q48" t="str">
            <v/>
          </cell>
          <cell r="R48">
            <v>2100.0239999999999</v>
          </cell>
          <cell r="S48" t="str">
            <v>SIN DATOS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L49">
            <v>0</v>
          </cell>
          <cell r="M49" t="str">
            <v>170 KG</v>
          </cell>
          <cell r="N49" t="str">
            <v>NLGI 2</v>
          </cell>
          <cell r="O49" t="str">
            <v>TAMBOR</v>
          </cell>
          <cell r="P49" t="str">
            <v>SIN DATOS</v>
          </cell>
          <cell r="Q49" t="str">
            <v/>
          </cell>
          <cell r="R49">
            <v>0</v>
          </cell>
          <cell r="S49" t="str">
            <v>SIN DATOS</v>
          </cell>
        </row>
        <row r="50">
          <cell r="B50" t="str">
            <v>PT40800001</v>
          </cell>
          <cell r="C50" t="str">
            <v>16 KG</v>
          </cell>
          <cell r="D50" t="str">
            <v>NLGI 1</v>
          </cell>
          <cell r="E50" t="str">
            <v>CUBETA</v>
          </cell>
          <cell r="F50">
            <v>3140.45</v>
          </cell>
          <cell r="G50">
            <v>9.2117709246198887E-2</v>
          </cell>
          <cell r="H50">
            <v>2875.5600000000004</v>
          </cell>
          <cell r="I50">
            <v>3140.45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B51" t="str">
            <v>PT40800005</v>
          </cell>
          <cell r="C51" t="str">
            <v>170 KG</v>
          </cell>
          <cell r="D51" t="str">
            <v>NLGI 1</v>
          </cell>
          <cell r="E51" t="str">
            <v>TAMBOR</v>
          </cell>
          <cell r="F51" t="str">
            <v>SIN DATOS</v>
          </cell>
          <cell r="G51" t="str">
            <v/>
          </cell>
          <cell r="H51">
            <v>0</v>
          </cell>
          <cell r="I51" t="str">
            <v>SIN DATOS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B52" t="str">
            <v>PT40800002</v>
          </cell>
          <cell r="C52" t="str">
            <v>16 KG</v>
          </cell>
          <cell r="D52" t="str">
            <v>NLGI 2</v>
          </cell>
          <cell r="E52" t="str">
            <v>CUBETA</v>
          </cell>
          <cell r="F52">
            <v>3145.87</v>
          </cell>
          <cell r="G52">
            <v>8.9990658816746505E-2</v>
          </cell>
          <cell r="H52">
            <v>2886.1439999999998</v>
          </cell>
          <cell r="I52">
            <v>3145.87</v>
          </cell>
          <cell r="L52" t="str">
            <v>PT41500001</v>
          </cell>
          <cell r="M52" t="str">
            <v>16 KG</v>
          </cell>
          <cell r="N52">
            <v>0</v>
          </cell>
          <cell r="O52" t="str">
            <v>CUBETA</v>
          </cell>
          <cell r="P52">
            <v>1831.86</v>
          </cell>
          <cell r="Q52">
            <v>0</v>
          </cell>
          <cell r="R52">
            <v>1831.86</v>
          </cell>
          <cell r="S52">
            <v>1831.86</v>
          </cell>
        </row>
        <row r="53">
          <cell r="B53" t="str">
            <v>PT40800006</v>
          </cell>
          <cell r="C53" t="str">
            <v>170 KG</v>
          </cell>
          <cell r="D53" t="str">
            <v>NLGI 2</v>
          </cell>
          <cell r="E53" t="str">
            <v>TAMBOR</v>
          </cell>
          <cell r="F53">
            <v>33202.75</v>
          </cell>
          <cell r="G53">
            <v>9.0648581269123341E-2</v>
          </cell>
          <cell r="H53">
            <v>30443.124</v>
          </cell>
          <cell r="I53">
            <v>33202.75</v>
          </cell>
          <cell r="L53" t="str">
            <v>PT41500002</v>
          </cell>
          <cell r="M53" t="str">
            <v>170 KG</v>
          </cell>
          <cell r="N53">
            <v>0</v>
          </cell>
          <cell r="O53" t="str">
            <v>TAMBOR</v>
          </cell>
          <cell r="P53">
            <v>18993.189999999999</v>
          </cell>
          <cell r="Q53">
            <v>0</v>
          </cell>
          <cell r="R53">
            <v>18993.189999999999</v>
          </cell>
          <cell r="S53">
            <v>18993.189999999999</v>
          </cell>
        </row>
        <row r="54">
          <cell r="B54" t="str">
            <v>PT40800003</v>
          </cell>
          <cell r="C54" t="str">
            <v>16 KG</v>
          </cell>
          <cell r="D54" t="str">
            <v>NLGI 3</v>
          </cell>
          <cell r="E54" t="str">
            <v>CUBETA</v>
          </cell>
          <cell r="F54">
            <v>3183.43</v>
          </cell>
          <cell r="G54">
            <v>8.7014273031482681E-2</v>
          </cell>
          <cell r="H54">
            <v>2928.6</v>
          </cell>
          <cell r="I54">
            <v>3183.43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B55" t="str">
            <v>PT40800007</v>
          </cell>
          <cell r="C55" t="str">
            <v>170 KG</v>
          </cell>
          <cell r="D55" t="str">
            <v>NLGI 3</v>
          </cell>
          <cell r="E55" t="str">
            <v>TAMBOR</v>
          </cell>
          <cell r="F55" t="str">
            <v>SIN DATOS</v>
          </cell>
          <cell r="G55" t="str">
            <v/>
          </cell>
          <cell r="H55">
            <v>0</v>
          </cell>
          <cell r="I55" t="str">
            <v>SIN DATOS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L56" t="str">
            <v>PT42300001</v>
          </cell>
          <cell r="M56" t="str">
            <v>16 KG</v>
          </cell>
          <cell r="N56" t="str">
            <v>NLGI 1-2 (INTERMEDIO)</v>
          </cell>
          <cell r="O56" t="str">
            <v>CUBETA</v>
          </cell>
          <cell r="P56">
            <v>3684.56</v>
          </cell>
          <cell r="Q56">
            <v>9.3626822434344836E-2</v>
          </cell>
          <cell r="R56">
            <v>3369.12</v>
          </cell>
          <cell r="S56">
            <v>3684.56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L57" t="str">
            <v>PT42300002</v>
          </cell>
          <cell r="M57" t="str">
            <v>170 KG</v>
          </cell>
          <cell r="N57" t="str">
            <v>NLGI 1-2 (INTERMEDIO)</v>
          </cell>
          <cell r="O57" t="str">
            <v>TAMBOR</v>
          </cell>
          <cell r="P57" t="str">
            <v>SIN DATOS</v>
          </cell>
          <cell r="Q57" t="str">
            <v/>
          </cell>
          <cell r="R57">
            <v>0</v>
          </cell>
          <cell r="S57" t="str">
            <v>SIN DATOS</v>
          </cell>
        </row>
        <row r="58">
          <cell r="B58" t="str">
            <v>PT41700001</v>
          </cell>
          <cell r="C58" t="str">
            <v>16 KG</v>
          </cell>
          <cell r="D58" t="str">
            <v>NLGI 1</v>
          </cell>
          <cell r="E58" t="str">
            <v>CUBETA</v>
          </cell>
          <cell r="F58">
            <v>2090.1799999999998</v>
          </cell>
          <cell r="G58">
            <v>2.6742118345171706E-2</v>
          </cell>
          <cell r="H58">
            <v>2035.74</v>
          </cell>
          <cell r="I58">
            <v>2090.1799999999998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B59" t="str">
            <v>PT41700004</v>
          </cell>
          <cell r="C59" t="str">
            <v>170 KG</v>
          </cell>
          <cell r="D59" t="str">
            <v>NLGI 1</v>
          </cell>
          <cell r="E59" t="str">
            <v>TAMBOR</v>
          </cell>
          <cell r="F59" t="str">
            <v>SIN DATOS</v>
          </cell>
          <cell r="G59" t="str">
            <v/>
          </cell>
          <cell r="H59">
            <v>0</v>
          </cell>
          <cell r="I59" t="str">
            <v>SIN DATOS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0">
          <cell r="B60" t="str">
            <v>PT41700002</v>
          </cell>
          <cell r="C60" t="str">
            <v>16 KG</v>
          </cell>
          <cell r="D60" t="str">
            <v>NLGI 2</v>
          </cell>
          <cell r="E60" t="str">
            <v>CUBETA</v>
          </cell>
          <cell r="F60">
            <v>2092.66</v>
          </cell>
          <cell r="G60">
            <v>2.6483959134101065E-2</v>
          </cell>
          <cell r="H60">
            <v>2038.6680000000001</v>
          </cell>
          <cell r="I60">
            <v>2092.66</v>
          </cell>
          <cell r="L60" t="str">
            <v>PT42600001</v>
          </cell>
          <cell r="M60" t="str">
            <v>170 KG</v>
          </cell>
          <cell r="N60" t="str">
            <v>GRASA BÄTRAK SUDAK-EP</v>
          </cell>
          <cell r="O60" t="str">
            <v>TAMBOR</v>
          </cell>
          <cell r="P60">
            <v>0</v>
          </cell>
          <cell r="Q60">
            <v>0</v>
          </cell>
          <cell r="R60">
            <v>0</v>
          </cell>
          <cell r="S60">
            <v>41229.58</v>
          </cell>
        </row>
      </sheetData>
      <sheetData sheetId="10">
        <row r="1">
          <cell r="B1" t="str">
            <v>Producto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12"/>
  <sheetViews>
    <sheetView showGridLines="0" zoomScaleNormal="100" workbookViewId="0"/>
  </sheetViews>
  <sheetFormatPr baseColWidth="10" defaultColWidth="10.85546875" defaultRowHeight="15" x14ac:dyDescent="0.25"/>
  <cols>
    <col min="1" max="1" width="13.7109375" bestFit="1" customWidth="1"/>
    <col min="2" max="2" width="13" bestFit="1" customWidth="1"/>
    <col min="3" max="3" width="87.140625" bestFit="1" customWidth="1"/>
    <col min="4" max="4" width="20.85546875" bestFit="1" customWidth="1"/>
    <col min="5" max="5" width="30.85546875" bestFit="1" customWidth="1"/>
    <col min="6" max="6" width="12.140625" bestFit="1" customWidth="1"/>
    <col min="7" max="7" width="17.28515625" bestFit="1" customWidth="1"/>
    <col min="8" max="8" width="18.7109375" style="155" bestFit="1" customWidth="1"/>
    <col min="9" max="9" width="15.28515625" style="156" bestFit="1" customWidth="1"/>
    <col min="10" max="10" width="7" bestFit="1" customWidth="1"/>
  </cols>
  <sheetData>
    <row r="1" spans="1:10" ht="30" x14ac:dyDescent="0.25">
      <c r="A1" s="139" t="s">
        <v>579</v>
      </c>
      <c r="B1" s="139" t="s">
        <v>580</v>
      </c>
      <c r="C1" s="139" t="s">
        <v>581</v>
      </c>
      <c r="D1" s="139" t="s">
        <v>582</v>
      </c>
      <c r="E1" s="140" t="s">
        <v>583</v>
      </c>
      <c r="F1" s="139" t="s">
        <v>584</v>
      </c>
      <c r="G1" s="140" t="s">
        <v>585</v>
      </c>
      <c r="H1" s="141" t="s">
        <v>586</v>
      </c>
      <c r="I1" s="142" t="s">
        <v>587</v>
      </c>
    </row>
    <row r="2" spans="1:10" ht="15" customHeight="1" x14ac:dyDescent="0.25">
      <c r="A2" s="143">
        <v>8</v>
      </c>
      <c r="B2" s="143" t="s">
        <v>420</v>
      </c>
      <c r="C2" s="143" t="s">
        <v>588</v>
      </c>
      <c r="D2" s="143" t="s">
        <v>589</v>
      </c>
      <c r="E2" s="143" t="s">
        <v>590</v>
      </c>
      <c r="F2" s="144">
        <v>0.95</v>
      </c>
      <c r="G2" s="143" t="s">
        <v>591</v>
      </c>
      <c r="H2" s="145">
        <v>44.44</v>
      </c>
      <c r="I2" s="146">
        <f>H2*16</f>
        <v>711.04</v>
      </c>
      <c r="J2" s="147">
        <f>(43.25*100/H2)-100</f>
        <v>-2.6777677767776709</v>
      </c>
    </row>
    <row r="3" spans="1:10" ht="15" customHeight="1" x14ac:dyDescent="0.25">
      <c r="A3" s="148">
        <v>11</v>
      </c>
      <c r="B3" s="148" t="s">
        <v>592</v>
      </c>
      <c r="C3" s="148" t="s">
        <v>593</v>
      </c>
      <c r="D3" s="148" t="s">
        <v>594</v>
      </c>
      <c r="E3" s="148" t="s">
        <v>595</v>
      </c>
      <c r="F3" s="149">
        <v>0.95</v>
      </c>
      <c r="G3" s="148" t="s">
        <v>596</v>
      </c>
      <c r="H3" s="150">
        <v>101.1</v>
      </c>
      <c r="I3" s="151">
        <f>H3*16</f>
        <v>1617.6</v>
      </c>
    </row>
    <row r="4" spans="1:10" ht="15" customHeight="1" x14ac:dyDescent="0.25">
      <c r="A4" s="148">
        <v>16</v>
      </c>
      <c r="B4" s="148" t="s">
        <v>428</v>
      </c>
      <c r="C4" s="148" t="s">
        <v>597</v>
      </c>
      <c r="D4" s="148" t="s">
        <v>589</v>
      </c>
      <c r="E4" s="148" t="s">
        <v>598</v>
      </c>
      <c r="F4" s="149">
        <v>0.95</v>
      </c>
      <c r="G4" s="148" t="s">
        <v>591</v>
      </c>
      <c r="H4" s="150">
        <v>54.36</v>
      </c>
      <c r="I4" s="151">
        <f>H4*16</f>
        <v>869.76</v>
      </c>
    </row>
    <row r="5" spans="1:10" ht="15" customHeight="1" x14ac:dyDescent="0.25">
      <c r="A5" s="148">
        <v>17</v>
      </c>
      <c r="B5" s="148" t="s">
        <v>440</v>
      </c>
      <c r="C5" s="148" t="s">
        <v>599</v>
      </c>
      <c r="D5" s="148" t="s">
        <v>600</v>
      </c>
      <c r="E5" s="148" t="s">
        <v>601</v>
      </c>
      <c r="F5" s="149">
        <v>0.95</v>
      </c>
      <c r="G5" s="148" t="s">
        <v>591</v>
      </c>
      <c r="H5" s="150">
        <v>43.26</v>
      </c>
      <c r="I5" s="151">
        <f>H5*16</f>
        <v>692.16</v>
      </c>
    </row>
    <row r="6" spans="1:10" ht="15" customHeight="1" x14ac:dyDescent="0.25">
      <c r="A6" s="148">
        <v>20</v>
      </c>
      <c r="B6" s="148" t="s">
        <v>602</v>
      </c>
      <c r="C6" s="148" t="s">
        <v>603</v>
      </c>
      <c r="D6" s="148" t="s">
        <v>594</v>
      </c>
      <c r="E6" s="148" t="s">
        <v>604</v>
      </c>
      <c r="F6" s="149">
        <v>0.95</v>
      </c>
      <c r="G6" s="148" t="s">
        <v>596</v>
      </c>
      <c r="H6" s="150">
        <v>113.22</v>
      </c>
      <c r="I6" s="151">
        <f>H6*16</f>
        <v>1811.52</v>
      </c>
    </row>
    <row r="7" spans="1:10" ht="15" customHeight="1" x14ac:dyDescent="0.25">
      <c r="A7" s="148">
        <v>39</v>
      </c>
      <c r="B7" s="148" t="s">
        <v>449</v>
      </c>
      <c r="C7" s="148" t="s">
        <v>605</v>
      </c>
      <c r="D7" s="148" t="s">
        <v>606</v>
      </c>
      <c r="E7" s="148" t="s">
        <v>607</v>
      </c>
      <c r="F7" s="149">
        <v>19</v>
      </c>
      <c r="G7" s="148" t="s">
        <v>591</v>
      </c>
      <c r="H7" s="150">
        <v>2102.5500000000002</v>
      </c>
      <c r="I7" s="151">
        <v>2102.5500000000002</v>
      </c>
    </row>
    <row r="8" spans="1:10" ht="15" customHeight="1" x14ac:dyDescent="0.25">
      <c r="A8" s="148">
        <v>40</v>
      </c>
      <c r="B8" s="148" t="s">
        <v>450</v>
      </c>
      <c r="C8" s="148" t="s">
        <v>608</v>
      </c>
      <c r="D8" s="148" t="s">
        <v>606</v>
      </c>
      <c r="E8" s="148" t="s">
        <v>607</v>
      </c>
      <c r="F8" s="149">
        <v>19</v>
      </c>
      <c r="G8" s="148" t="s">
        <v>591</v>
      </c>
      <c r="H8" s="150">
        <v>2216.89</v>
      </c>
      <c r="I8" s="151">
        <v>2216.89</v>
      </c>
    </row>
    <row r="9" spans="1:10" ht="15" customHeight="1" x14ac:dyDescent="0.25">
      <c r="A9" s="148">
        <v>45</v>
      </c>
      <c r="B9" s="148" t="s">
        <v>609</v>
      </c>
      <c r="C9" s="148" t="s">
        <v>610</v>
      </c>
      <c r="D9" s="148" t="s">
        <v>594</v>
      </c>
      <c r="E9" s="148" t="s">
        <v>604</v>
      </c>
      <c r="F9" s="149">
        <v>3.8</v>
      </c>
      <c r="G9" s="148" t="s">
        <v>596</v>
      </c>
      <c r="H9" s="150">
        <v>412.42</v>
      </c>
      <c r="I9" s="151">
        <f>H9*4</f>
        <v>1649.68</v>
      </c>
    </row>
    <row r="10" spans="1:10" ht="15" customHeight="1" x14ac:dyDescent="0.25">
      <c r="A10" s="148">
        <v>48</v>
      </c>
      <c r="B10" s="148" t="s">
        <v>611</v>
      </c>
      <c r="C10" s="148" t="s">
        <v>612</v>
      </c>
      <c r="D10" s="148" t="s">
        <v>600</v>
      </c>
      <c r="E10" s="148" t="s">
        <v>613</v>
      </c>
      <c r="F10" s="149">
        <v>3.8</v>
      </c>
      <c r="G10" s="148" t="s">
        <v>591</v>
      </c>
      <c r="H10" s="150">
        <v>230.12</v>
      </c>
      <c r="I10" s="151">
        <f>H10*4</f>
        <v>920.48</v>
      </c>
    </row>
    <row r="11" spans="1:10" ht="15" customHeight="1" x14ac:dyDescent="0.25">
      <c r="A11" s="148">
        <v>49</v>
      </c>
      <c r="B11" s="148" t="s">
        <v>336</v>
      </c>
      <c r="C11" s="148" t="s">
        <v>614</v>
      </c>
      <c r="D11" s="148" t="s">
        <v>606</v>
      </c>
      <c r="E11" s="148" t="s">
        <v>615</v>
      </c>
      <c r="F11" s="149">
        <v>0.95</v>
      </c>
      <c r="G11" s="148" t="s">
        <v>591</v>
      </c>
      <c r="H11" s="150">
        <v>91.64</v>
      </c>
      <c r="I11" s="151">
        <f>H11*16</f>
        <v>1466.24</v>
      </c>
    </row>
    <row r="12" spans="1:10" ht="15" customHeight="1" x14ac:dyDescent="0.25">
      <c r="A12" s="148">
        <v>50</v>
      </c>
      <c r="B12" s="148" t="s">
        <v>616</v>
      </c>
      <c r="C12" s="148" t="s">
        <v>617</v>
      </c>
      <c r="D12" s="148" t="s">
        <v>606</v>
      </c>
      <c r="E12" s="148" t="s">
        <v>618</v>
      </c>
      <c r="F12" s="149">
        <v>0.95</v>
      </c>
      <c r="G12" s="148" t="s">
        <v>591</v>
      </c>
      <c r="H12" s="150">
        <v>79.349999999999994</v>
      </c>
      <c r="I12" s="151">
        <f>H12*16</f>
        <v>1269.5999999999999</v>
      </c>
    </row>
    <row r="13" spans="1:10" ht="15" customHeight="1" x14ac:dyDescent="0.25">
      <c r="A13" s="148">
        <v>51</v>
      </c>
      <c r="B13" s="148" t="s">
        <v>619</v>
      </c>
      <c r="C13" s="148" t="s">
        <v>620</v>
      </c>
      <c r="D13" s="148" t="s">
        <v>594</v>
      </c>
      <c r="E13" s="148" t="s">
        <v>604</v>
      </c>
      <c r="F13" s="149">
        <v>3.8</v>
      </c>
      <c r="G13" s="148" t="s">
        <v>596</v>
      </c>
      <c r="H13" s="150">
        <v>421.9</v>
      </c>
      <c r="I13" s="151">
        <f>H13*4</f>
        <v>1687.6</v>
      </c>
    </row>
    <row r="14" spans="1:10" ht="15" customHeight="1" x14ac:dyDescent="0.25">
      <c r="A14" s="148">
        <v>52</v>
      </c>
      <c r="B14" s="148" t="s">
        <v>331</v>
      </c>
      <c r="C14" s="148" t="s">
        <v>621</v>
      </c>
      <c r="D14" s="148" t="s">
        <v>606</v>
      </c>
      <c r="E14" s="148" t="s">
        <v>615</v>
      </c>
      <c r="F14" s="149">
        <v>0.95</v>
      </c>
      <c r="G14" s="148" t="s">
        <v>591</v>
      </c>
      <c r="H14" s="150">
        <v>91.39</v>
      </c>
      <c r="I14" s="151">
        <f>H14*16</f>
        <v>1462.24</v>
      </c>
    </row>
    <row r="15" spans="1:10" ht="15" customHeight="1" x14ac:dyDescent="0.25">
      <c r="A15" s="148">
        <v>57</v>
      </c>
      <c r="B15" s="148" t="s">
        <v>622</v>
      </c>
      <c r="C15" s="148" t="s">
        <v>623</v>
      </c>
      <c r="D15" s="148" t="s">
        <v>594</v>
      </c>
      <c r="E15" s="148" t="s">
        <v>624</v>
      </c>
      <c r="F15" s="149">
        <v>0.95</v>
      </c>
      <c r="G15" s="148" t="s">
        <v>596</v>
      </c>
      <c r="H15" s="150">
        <v>99.75</v>
      </c>
      <c r="I15" s="151">
        <f>H15*16</f>
        <v>1596</v>
      </c>
    </row>
    <row r="16" spans="1:10" ht="15" customHeight="1" x14ac:dyDescent="0.25">
      <c r="A16" s="148">
        <v>59</v>
      </c>
      <c r="B16" s="148" t="s">
        <v>625</v>
      </c>
      <c r="C16" s="148" t="s">
        <v>626</v>
      </c>
      <c r="D16" s="148" t="s">
        <v>589</v>
      </c>
      <c r="E16" s="148" t="s">
        <v>627</v>
      </c>
      <c r="F16" s="149">
        <v>0.95</v>
      </c>
      <c r="G16" s="148" t="s">
        <v>596</v>
      </c>
      <c r="H16" s="150">
        <v>83.04</v>
      </c>
      <c r="I16" s="151">
        <f>H16*16</f>
        <v>1328.64</v>
      </c>
    </row>
    <row r="17" spans="1:9" ht="15" customHeight="1" x14ac:dyDescent="0.25">
      <c r="A17" s="148">
        <v>61</v>
      </c>
      <c r="B17" s="148" t="s">
        <v>628</v>
      </c>
      <c r="C17" s="148" t="s">
        <v>629</v>
      </c>
      <c r="D17" s="148" t="s">
        <v>630</v>
      </c>
      <c r="E17" s="148" t="s">
        <v>631</v>
      </c>
      <c r="F17" s="149">
        <v>19</v>
      </c>
      <c r="G17" s="148" t="s">
        <v>591</v>
      </c>
      <c r="H17" s="150">
        <v>1703.51</v>
      </c>
      <c r="I17" s="151">
        <v>1703.51</v>
      </c>
    </row>
    <row r="18" spans="1:9" ht="15" customHeight="1" x14ac:dyDescent="0.25">
      <c r="A18" s="148">
        <v>62</v>
      </c>
      <c r="B18" s="148" t="s">
        <v>632</v>
      </c>
      <c r="C18" s="152" t="s">
        <v>633</v>
      </c>
      <c r="D18" s="148" t="s">
        <v>630</v>
      </c>
      <c r="E18" s="148" t="s">
        <v>634</v>
      </c>
      <c r="F18" s="149">
        <v>19</v>
      </c>
      <c r="G18" s="148" t="s">
        <v>596</v>
      </c>
      <c r="H18" s="150">
        <v>1974.72</v>
      </c>
      <c r="I18" s="151">
        <v>1974.72</v>
      </c>
    </row>
    <row r="19" spans="1:9" ht="15" customHeight="1" x14ac:dyDescent="0.25">
      <c r="A19" s="148">
        <v>65</v>
      </c>
      <c r="B19" s="148" t="s">
        <v>635</v>
      </c>
      <c r="C19" s="148" t="s">
        <v>636</v>
      </c>
      <c r="D19" s="148" t="s">
        <v>630</v>
      </c>
      <c r="E19" s="148" t="s">
        <v>631</v>
      </c>
      <c r="F19" s="149">
        <v>200</v>
      </c>
      <c r="G19" s="148" t="s">
        <v>591</v>
      </c>
      <c r="H19" s="150">
        <v>18032.580000000002</v>
      </c>
      <c r="I19" s="151">
        <v>18032.580000000002</v>
      </c>
    </row>
    <row r="20" spans="1:9" ht="15" customHeight="1" x14ac:dyDescent="0.25">
      <c r="A20" s="148">
        <v>68</v>
      </c>
      <c r="B20" s="148" t="s">
        <v>637</v>
      </c>
      <c r="C20" s="148" t="s">
        <v>638</v>
      </c>
      <c r="D20" s="148" t="s">
        <v>606</v>
      </c>
      <c r="E20" s="148" t="s">
        <v>618</v>
      </c>
      <c r="F20" s="149">
        <v>19</v>
      </c>
      <c r="G20" s="148" t="s">
        <v>596</v>
      </c>
      <c r="H20" s="150">
        <v>1629.39</v>
      </c>
      <c r="I20" s="151">
        <v>1629.39</v>
      </c>
    </row>
    <row r="21" spans="1:9" ht="15" customHeight="1" x14ac:dyDescent="0.25">
      <c r="A21" s="148">
        <v>70</v>
      </c>
      <c r="B21" s="148" t="s">
        <v>639</v>
      </c>
      <c r="C21" s="148" t="s">
        <v>640</v>
      </c>
      <c r="D21" s="148" t="s">
        <v>606</v>
      </c>
      <c r="E21" s="148" t="s">
        <v>618</v>
      </c>
      <c r="F21" s="149">
        <v>200</v>
      </c>
      <c r="G21" s="148" t="s">
        <v>596</v>
      </c>
      <c r="H21" s="150">
        <v>17259.29</v>
      </c>
      <c r="I21" s="151">
        <v>17259.29</v>
      </c>
    </row>
    <row r="22" spans="1:9" ht="15" customHeight="1" x14ac:dyDescent="0.25">
      <c r="A22" s="148">
        <v>72</v>
      </c>
      <c r="B22" s="148" t="s">
        <v>641</v>
      </c>
      <c r="C22" s="152" t="s">
        <v>642</v>
      </c>
      <c r="D22" s="148" t="s">
        <v>594</v>
      </c>
      <c r="E22" s="148" t="s">
        <v>643</v>
      </c>
      <c r="F22" s="149">
        <v>0.95</v>
      </c>
      <c r="G22" s="148" t="s">
        <v>596</v>
      </c>
      <c r="H22" s="150">
        <v>117.74</v>
      </c>
      <c r="I22" s="151">
        <f>H22*16</f>
        <v>1883.84</v>
      </c>
    </row>
    <row r="23" spans="1:9" ht="15" customHeight="1" x14ac:dyDescent="0.25">
      <c r="A23" s="148">
        <v>83</v>
      </c>
      <c r="B23" s="148" t="s">
        <v>345</v>
      </c>
      <c r="C23" s="148" t="s">
        <v>644</v>
      </c>
      <c r="D23" s="148" t="s">
        <v>606</v>
      </c>
      <c r="E23" s="148" t="s">
        <v>645</v>
      </c>
      <c r="F23" s="149">
        <v>19</v>
      </c>
      <c r="G23" s="148" t="s">
        <v>591</v>
      </c>
      <c r="H23" s="150">
        <v>1893.43</v>
      </c>
      <c r="I23" s="151">
        <v>1893.43</v>
      </c>
    </row>
    <row r="24" spans="1:9" ht="15" customHeight="1" x14ac:dyDescent="0.25">
      <c r="A24" s="148">
        <v>84</v>
      </c>
      <c r="B24" s="148" t="s">
        <v>347</v>
      </c>
      <c r="C24" s="148" t="s">
        <v>646</v>
      </c>
      <c r="D24" s="148" t="s">
        <v>606</v>
      </c>
      <c r="E24" s="148" t="s">
        <v>645</v>
      </c>
      <c r="F24" s="149">
        <v>19</v>
      </c>
      <c r="G24" s="148" t="s">
        <v>591</v>
      </c>
      <c r="H24" s="150">
        <v>1888.64</v>
      </c>
      <c r="I24" s="151">
        <v>1888.64</v>
      </c>
    </row>
    <row r="25" spans="1:9" ht="15" customHeight="1" x14ac:dyDescent="0.25">
      <c r="A25" s="148">
        <v>85</v>
      </c>
      <c r="B25" s="148" t="s">
        <v>349</v>
      </c>
      <c r="C25" s="148" t="s">
        <v>647</v>
      </c>
      <c r="D25" s="148" t="s">
        <v>606</v>
      </c>
      <c r="E25" s="148" t="s">
        <v>645</v>
      </c>
      <c r="F25" s="149">
        <v>19</v>
      </c>
      <c r="G25" s="148" t="s">
        <v>591</v>
      </c>
      <c r="H25" s="150">
        <v>1884.3</v>
      </c>
      <c r="I25" s="151">
        <v>1884.3</v>
      </c>
    </row>
    <row r="26" spans="1:9" ht="15" customHeight="1" x14ac:dyDescent="0.25">
      <c r="A26" s="148">
        <v>88</v>
      </c>
      <c r="B26" s="148" t="s">
        <v>648</v>
      </c>
      <c r="C26" s="148" t="s">
        <v>649</v>
      </c>
      <c r="D26" s="148" t="s">
        <v>600</v>
      </c>
      <c r="E26" s="148" t="s">
        <v>650</v>
      </c>
      <c r="F26" s="149">
        <v>0.25</v>
      </c>
      <c r="G26" s="148" t="s">
        <v>596</v>
      </c>
      <c r="H26" s="150">
        <v>33.28</v>
      </c>
      <c r="I26" s="151">
        <f>H26*6</f>
        <v>199.68</v>
      </c>
    </row>
    <row r="27" spans="1:9" ht="15" customHeight="1" x14ac:dyDescent="0.25">
      <c r="A27" s="148">
        <v>89</v>
      </c>
      <c r="B27" s="148" t="s">
        <v>346</v>
      </c>
      <c r="C27" s="148" t="s">
        <v>651</v>
      </c>
      <c r="D27" s="148" t="s">
        <v>606</v>
      </c>
      <c r="E27" s="148" t="s">
        <v>645</v>
      </c>
      <c r="F27" s="149">
        <v>200</v>
      </c>
      <c r="G27" s="148" t="s">
        <v>591</v>
      </c>
      <c r="H27" s="150">
        <v>20035.990000000002</v>
      </c>
      <c r="I27" s="151">
        <v>20035.990000000002</v>
      </c>
    </row>
    <row r="28" spans="1:9" ht="15" customHeight="1" x14ac:dyDescent="0.25">
      <c r="A28" s="148">
        <v>90</v>
      </c>
      <c r="B28" s="148" t="s">
        <v>348</v>
      </c>
      <c r="C28" s="148" t="s">
        <v>652</v>
      </c>
      <c r="D28" s="148" t="s">
        <v>606</v>
      </c>
      <c r="E28" s="148" t="s">
        <v>645</v>
      </c>
      <c r="F28" s="149">
        <v>200</v>
      </c>
      <c r="G28" s="148" t="s">
        <v>591</v>
      </c>
      <c r="H28" s="150">
        <v>20009.310000000001</v>
      </c>
      <c r="I28" s="151">
        <v>20009.310000000001</v>
      </c>
    </row>
    <row r="29" spans="1:9" ht="15" customHeight="1" x14ac:dyDescent="0.25">
      <c r="A29" s="148">
        <v>91</v>
      </c>
      <c r="B29" s="148" t="s">
        <v>350</v>
      </c>
      <c r="C29" s="148" t="s">
        <v>653</v>
      </c>
      <c r="D29" s="148" t="s">
        <v>606</v>
      </c>
      <c r="E29" s="148" t="s">
        <v>645</v>
      </c>
      <c r="F29" s="149">
        <v>200</v>
      </c>
      <c r="G29" s="148" t="s">
        <v>591</v>
      </c>
      <c r="H29" s="150">
        <v>19902.939999999999</v>
      </c>
      <c r="I29" s="151">
        <v>19902.939999999999</v>
      </c>
    </row>
    <row r="30" spans="1:9" ht="15" customHeight="1" x14ac:dyDescent="0.25">
      <c r="A30" s="148">
        <v>93</v>
      </c>
      <c r="B30" s="148" t="s">
        <v>654</v>
      </c>
      <c r="C30" s="148" t="s">
        <v>655</v>
      </c>
      <c r="D30" s="148" t="s">
        <v>594</v>
      </c>
      <c r="E30" s="148" t="s">
        <v>595</v>
      </c>
      <c r="F30" s="149">
        <v>3.8</v>
      </c>
      <c r="G30" s="148" t="s">
        <v>596</v>
      </c>
      <c r="H30" s="150">
        <v>581.5</v>
      </c>
      <c r="I30" s="151">
        <f>H30*4</f>
        <v>2326</v>
      </c>
    </row>
    <row r="31" spans="1:9" ht="15" customHeight="1" x14ac:dyDescent="0.25">
      <c r="A31" s="148">
        <v>94</v>
      </c>
      <c r="B31" s="148" t="s">
        <v>656</v>
      </c>
      <c r="C31" s="148" t="s">
        <v>657</v>
      </c>
      <c r="D31" s="148" t="s">
        <v>594</v>
      </c>
      <c r="E31" s="148" t="s">
        <v>595</v>
      </c>
      <c r="F31" s="149">
        <v>3.8</v>
      </c>
      <c r="G31" s="148" t="s">
        <v>596</v>
      </c>
      <c r="H31" s="150">
        <v>558.79</v>
      </c>
      <c r="I31" s="151">
        <f>H31*4</f>
        <v>2235.16</v>
      </c>
    </row>
    <row r="32" spans="1:9" ht="15" customHeight="1" x14ac:dyDescent="0.25">
      <c r="A32" s="148">
        <v>95</v>
      </c>
      <c r="B32" s="148" t="s">
        <v>658</v>
      </c>
      <c r="C32" s="148" t="s">
        <v>659</v>
      </c>
      <c r="D32" s="148" t="s">
        <v>594</v>
      </c>
      <c r="E32" s="148" t="s">
        <v>595</v>
      </c>
      <c r="F32" s="149">
        <v>3.8</v>
      </c>
      <c r="G32" s="148" t="s">
        <v>596</v>
      </c>
      <c r="H32" s="150">
        <v>571.57000000000005</v>
      </c>
      <c r="I32" s="151">
        <f>H32*4</f>
        <v>2286.2800000000002</v>
      </c>
    </row>
    <row r="33" spans="1:9" ht="15" customHeight="1" x14ac:dyDescent="0.25">
      <c r="A33" s="148">
        <v>101</v>
      </c>
      <c r="B33" s="148" t="s">
        <v>351</v>
      </c>
      <c r="C33" s="148" t="s">
        <v>660</v>
      </c>
      <c r="D33" s="148" t="s">
        <v>606</v>
      </c>
      <c r="E33" s="148" t="s">
        <v>661</v>
      </c>
      <c r="F33" s="149">
        <v>19</v>
      </c>
      <c r="G33" s="148" t="s">
        <v>591</v>
      </c>
      <c r="H33" s="150">
        <v>1975.57</v>
      </c>
      <c r="I33" s="151">
        <v>1975.57</v>
      </c>
    </row>
    <row r="34" spans="1:9" ht="15" customHeight="1" x14ac:dyDescent="0.25">
      <c r="A34" s="148">
        <v>102</v>
      </c>
      <c r="B34" s="148" t="s">
        <v>353</v>
      </c>
      <c r="C34" s="148" t="s">
        <v>662</v>
      </c>
      <c r="D34" s="148" t="s">
        <v>606</v>
      </c>
      <c r="E34" s="148" t="s">
        <v>661</v>
      </c>
      <c r="F34" s="149">
        <v>19</v>
      </c>
      <c r="G34" s="148" t="s">
        <v>591</v>
      </c>
      <c r="H34" s="150">
        <v>1965.31</v>
      </c>
      <c r="I34" s="151">
        <v>1965.31</v>
      </c>
    </row>
    <row r="35" spans="1:9" ht="15" customHeight="1" x14ac:dyDescent="0.25">
      <c r="A35" s="148">
        <v>103</v>
      </c>
      <c r="B35" s="148" t="s">
        <v>355</v>
      </c>
      <c r="C35" s="148" t="s">
        <v>663</v>
      </c>
      <c r="D35" s="148" t="s">
        <v>606</v>
      </c>
      <c r="E35" s="148" t="s">
        <v>661</v>
      </c>
      <c r="F35" s="149">
        <v>19</v>
      </c>
      <c r="G35" s="148" t="s">
        <v>591</v>
      </c>
      <c r="H35" s="150">
        <v>1963.67</v>
      </c>
      <c r="I35" s="151">
        <v>1963.67</v>
      </c>
    </row>
    <row r="36" spans="1:9" ht="15" customHeight="1" x14ac:dyDescent="0.25">
      <c r="A36" s="148">
        <v>107</v>
      </c>
      <c r="B36" s="148" t="s">
        <v>352</v>
      </c>
      <c r="C36" s="148" t="s">
        <v>664</v>
      </c>
      <c r="D36" s="148" t="s">
        <v>606</v>
      </c>
      <c r="E36" s="148" t="s">
        <v>661</v>
      </c>
      <c r="F36" s="149">
        <v>200</v>
      </c>
      <c r="G36" s="148" t="s">
        <v>591</v>
      </c>
      <c r="H36" s="150">
        <v>20902.12</v>
      </c>
      <c r="I36" s="151">
        <v>20902.12</v>
      </c>
    </row>
    <row r="37" spans="1:9" ht="15" customHeight="1" x14ac:dyDescent="0.25">
      <c r="A37" s="148">
        <v>108</v>
      </c>
      <c r="B37" s="148" t="s">
        <v>354</v>
      </c>
      <c r="C37" s="148" t="s">
        <v>665</v>
      </c>
      <c r="D37" s="148" t="s">
        <v>606</v>
      </c>
      <c r="E37" s="148" t="s">
        <v>661</v>
      </c>
      <c r="F37" s="149">
        <v>200</v>
      </c>
      <c r="G37" s="148" t="s">
        <v>591</v>
      </c>
      <c r="H37" s="150">
        <v>20794.060000000001</v>
      </c>
      <c r="I37" s="151">
        <v>20794.060000000001</v>
      </c>
    </row>
    <row r="38" spans="1:9" ht="15" customHeight="1" x14ac:dyDescent="0.25">
      <c r="A38" s="148">
        <v>109</v>
      </c>
      <c r="B38" s="148" t="s">
        <v>356</v>
      </c>
      <c r="C38" s="148" t="s">
        <v>666</v>
      </c>
      <c r="D38" s="148" t="s">
        <v>606</v>
      </c>
      <c r="E38" s="148" t="s">
        <v>661</v>
      </c>
      <c r="F38" s="149">
        <v>200</v>
      </c>
      <c r="G38" s="148" t="s">
        <v>591</v>
      </c>
      <c r="H38" s="150">
        <v>20773.36</v>
      </c>
      <c r="I38" s="151">
        <v>20773.36</v>
      </c>
    </row>
    <row r="39" spans="1:9" ht="15" customHeight="1" x14ac:dyDescent="0.25">
      <c r="A39" s="148">
        <v>122</v>
      </c>
      <c r="B39" s="148" t="s">
        <v>667</v>
      </c>
      <c r="C39" s="148" t="s">
        <v>668</v>
      </c>
      <c r="D39" s="148" t="s">
        <v>594</v>
      </c>
      <c r="E39" s="148" t="s">
        <v>669</v>
      </c>
      <c r="F39" s="149">
        <v>0.95</v>
      </c>
      <c r="G39" s="148" t="s">
        <v>596</v>
      </c>
      <c r="H39" s="150">
        <v>123.07</v>
      </c>
      <c r="I39" s="151">
        <f>H39*15</f>
        <v>1846.05</v>
      </c>
    </row>
    <row r="40" spans="1:9" ht="15" customHeight="1" x14ac:dyDescent="0.25">
      <c r="A40" s="148">
        <v>123</v>
      </c>
      <c r="B40" s="148" t="s">
        <v>670</v>
      </c>
      <c r="C40" s="148" t="s">
        <v>671</v>
      </c>
      <c r="D40" s="148" t="s">
        <v>594</v>
      </c>
      <c r="E40" s="148" t="s">
        <v>669</v>
      </c>
      <c r="F40" s="149">
        <v>0.95</v>
      </c>
      <c r="G40" s="148" t="s">
        <v>596</v>
      </c>
      <c r="H40" s="150">
        <v>139.25</v>
      </c>
      <c r="I40" s="151">
        <f>H40*15</f>
        <v>2088.75</v>
      </c>
    </row>
    <row r="41" spans="1:9" ht="15" customHeight="1" x14ac:dyDescent="0.25">
      <c r="A41" s="148">
        <v>124</v>
      </c>
      <c r="B41" s="148" t="s">
        <v>672</v>
      </c>
      <c r="C41" s="148" t="s">
        <v>673</v>
      </c>
      <c r="D41" s="148" t="s">
        <v>594</v>
      </c>
      <c r="E41" s="148" t="s">
        <v>674</v>
      </c>
      <c r="F41" s="149">
        <v>19</v>
      </c>
      <c r="G41" s="148" t="s">
        <v>591</v>
      </c>
      <c r="H41" s="150">
        <v>2221.88</v>
      </c>
      <c r="I41" s="151">
        <v>2221.88</v>
      </c>
    </row>
    <row r="42" spans="1:9" ht="15" customHeight="1" x14ac:dyDescent="0.25">
      <c r="A42" s="148">
        <v>126</v>
      </c>
      <c r="B42" s="148" t="s">
        <v>675</v>
      </c>
      <c r="C42" s="148" t="s">
        <v>676</v>
      </c>
      <c r="D42" s="148" t="s">
        <v>594</v>
      </c>
      <c r="E42" s="148" t="s">
        <v>674</v>
      </c>
      <c r="F42" s="149">
        <v>200</v>
      </c>
      <c r="G42" s="148" t="s">
        <v>591</v>
      </c>
      <c r="H42" s="150">
        <v>23479.21</v>
      </c>
      <c r="I42" s="151">
        <v>23479.21</v>
      </c>
    </row>
    <row r="43" spans="1:9" ht="15" customHeight="1" x14ac:dyDescent="0.25">
      <c r="A43" s="148">
        <v>127</v>
      </c>
      <c r="B43" s="148" t="s">
        <v>359</v>
      </c>
      <c r="C43" s="148" t="s">
        <v>677</v>
      </c>
      <c r="D43" s="148" t="s">
        <v>606</v>
      </c>
      <c r="E43" s="148" t="s">
        <v>661</v>
      </c>
      <c r="F43" s="149">
        <v>0.95</v>
      </c>
      <c r="G43" s="148" t="s">
        <v>591</v>
      </c>
      <c r="H43" s="150">
        <v>107.96</v>
      </c>
      <c r="I43" s="151">
        <f>H43*16</f>
        <v>1727.36</v>
      </c>
    </row>
    <row r="44" spans="1:9" ht="15" customHeight="1" x14ac:dyDescent="0.25">
      <c r="A44" s="148">
        <v>128</v>
      </c>
      <c r="B44" s="148" t="s">
        <v>360</v>
      </c>
      <c r="C44" s="148" t="s">
        <v>678</v>
      </c>
      <c r="D44" s="148" t="s">
        <v>606</v>
      </c>
      <c r="E44" s="148" t="s">
        <v>661</v>
      </c>
      <c r="F44" s="149">
        <v>5</v>
      </c>
      <c r="G44" s="148" t="s">
        <v>591</v>
      </c>
      <c r="H44" s="150">
        <v>544.80999999999995</v>
      </c>
      <c r="I44" s="151">
        <f>H44*4</f>
        <v>2179.2399999999998</v>
      </c>
    </row>
    <row r="45" spans="1:9" ht="15" customHeight="1" x14ac:dyDescent="0.25">
      <c r="A45" s="148">
        <v>129</v>
      </c>
      <c r="B45" s="148" t="s">
        <v>332</v>
      </c>
      <c r="C45" s="148" t="s">
        <v>679</v>
      </c>
      <c r="D45" s="148" t="s">
        <v>606</v>
      </c>
      <c r="E45" s="148" t="s">
        <v>615</v>
      </c>
      <c r="F45" s="149">
        <v>0.95</v>
      </c>
      <c r="G45" s="148" t="s">
        <v>591</v>
      </c>
      <c r="H45" s="150">
        <v>97.46</v>
      </c>
      <c r="I45" s="151">
        <f>H45*16</f>
        <v>1559.36</v>
      </c>
    </row>
    <row r="46" spans="1:9" ht="15" customHeight="1" x14ac:dyDescent="0.25">
      <c r="A46" s="148">
        <v>130</v>
      </c>
      <c r="B46" s="148" t="s">
        <v>333</v>
      </c>
      <c r="C46" s="148" t="s">
        <v>680</v>
      </c>
      <c r="D46" s="148" t="s">
        <v>606</v>
      </c>
      <c r="E46" s="148" t="s">
        <v>615</v>
      </c>
      <c r="F46" s="149">
        <v>5</v>
      </c>
      <c r="G46" s="148" t="s">
        <v>591</v>
      </c>
      <c r="H46" s="150">
        <v>500.51</v>
      </c>
      <c r="I46" s="151">
        <f>H46*4</f>
        <v>2002.04</v>
      </c>
    </row>
    <row r="47" spans="1:9" ht="15" customHeight="1" x14ac:dyDescent="0.25">
      <c r="A47" s="148">
        <v>131</v>
      </c>
      <c r="B47" s="148" t="s">
        <v>334</v>
      </c>
      <c r="C47" s="148" t="s">
        <v>681</v>
      </c>
      <c r="D47" s="148" t="s">
        <v>606</v>
      </c>
      <c r="E47" s="148" t="s">
        <v>615</v>
      </c>
      <c r="F47" s="149">
        <v>19</v>
      </c>
      <c r="G47" s="148" t="s">
        <v>591</v>
      </c>
      <c r="H47" s="150">
        <v>1830.3</v>
      </c>
      <c r="I47" s="151">
        <v>1830.3</v>
      </c>
    </row>
    <row r="48" spans="1:9" ht="15" customHeight="1" x14ac:dyDescent="0.25">
      <c r="A48" s="148">
        <v>132</v>
      </c>
      <c r="B48" s="148" t="s">
        <v>335</v>
      </c>
      <c r="C48" s="148" t="s">
        <v>682</v>
      </c>
      <c r="D48" s="148" t="s">
        <v>606</v>
      </c>
      <c r="E48" s="148" t="s">
        <v>615</v>
      </c>
      <c r="F48" s="149">
        <v>200</v>
      </c>
      <c r="G48" s="148" t="s">
        <v>591</v>
      </c>
      <c r="H48" s="150">
        <v>19372.91</v>
      </c>
      <c r="I48" s="151">
        <v>19372.91</v>
      </c>
    </row>
    <row r="49" spans="1:9" ht="15" customHeight="1" x14ac:dyDescent="0.25">
      <c r="A49" s="148">
        <v>133</v>
      </c>
      <c r="B49" s="148" t="s">
        <v>337</v>
      </c>
      <c r="C49" s="148" t="s">
        <v>683</v>
      </c>
      <c r="D49" s="148" t="s">
        <v>606</v>
      </c>
      <c r="E49" s="148" t="s">
        <v>615</v>
      </c>
      <c r="F49" s="149">
        <v>0.95</v>
      </c>
      <c r="G49" s="148" t="s">
        <v>591</v>
      </c>
      <c r="H49" s="150">
        <v>98.77</v>
      </c>
      <c r="I49" s="151">
        <f>H49*16</f>
        <v>1580.32</v>
      </c>
    </row>
    <row r="50" spans="1:9" ht="15" customHeight="1" x14ac:dyDescent="0.25">
      <c r="A50" s="148">
        <v>134</v>
      </c>
      <c r="B50" s="148" t="s">
        <v>338</v>
      </c>
      <c r="C50" s="148" t="s">
        <v>684</v>
      </c>
      <c r="D50" s="148" t="s">
        <v>606</v>
      </c>
      <c r="E50" s="148" t="s">
        <v>615</v>
      </c>
      <c r="F50" s="149">
        <v>5</v>
      </c>
      <c r="G50" s="148" t="s">
        <v>591</v>
      </c>
      <c r="H50" s="150">
        <v>499.52</v>
      </c>
      <c r="I50" s="151">
        <f>H50*4</f>
        <v>1998.08</v>
      </c>
    </row>
    <row r="51" spans="1:9" ht="15" customHeight="1" x14ac:dyDescent="0.25">
      <c r="A51" s="148">
        <v>135</v>
      </c>
      <c r="B51" s="148" t="s">
        <v>339</v>
      </c>
      <c r="C51" s="148" t="s">
        <v>685</v>
      </c>
      <c r="D51" s="148" t="s">
        <v>606</v>
      </c>
      <c r="E51" s="148" t="s">
        <v>615</v>
      </c>
      <c r="F51" s="149">
        <v>19</v>
      </c>
      <c r="G51" s="148" t="s">
        <v>591</v>
      </c>
      <c r="H51" s="150">
        <v>1825.26</v>
      </c>
      <c r="I51" s="151">
        <v>1825.26</v>
      </c>
    </row>
    <row r="52" spans="1:9" ht="15" customHeight="1" x14ac:dyDescent="0.25">
      <c r="A52" s="148">
        <v>136</v>
      </c>
      <c r="B52" s="148" t="s">
        <v>340</v>
      </c>
      <c r="C52" s="148" t="s">
        <v>686</v>
      </c>
      <c r="D52" s="148" t="s">
        <v>606</v>
      </c>
      <c r="E52" s="148" t="s">
        <v>615</v>
      </c>
      <c r="F52" s="149">
        <v>200</v>
      </c>
      <c r="G52" s="148" t="s">
        <v>591</v>
      </c>
      <c r="H52" s="150">
        <v>19318.41</v>
      </c>
      <c r="I52" s="151">
        <v>19318.41</v>
      </c>
    </row>
    <row r="53" spans="1:9" ht="15" customHeight="1" x14ac:dyDescent="0.25">
      <c r="A53" s="148">
        <v>137</v>
      </c>
      <c r="B53" s="148" t="s">
        <v>357</v>
      </c>
      <c r="C53" s="148" t="s">
        <v>687</v>
      </c>
      <c r="D53" s="148" t="s">
        <v>606</v>
      </c>
      <c r="E53" s="148" t="s">
        <v>661</v>
      </c>
      <c r="F53" s="149">
        <v>0.95</v>
      </c>
      <c r="G53" s="148" t="s">
        <v>591</v>
      </c>
      <c r="H53" s="150">
        <v>105.36</v>
      </c>
      <c r="I53" s="151">
        <f>H53*16</f>
        <v>1685.76</v>
      </c>
    </row>
    <row r="54" spans="1:9" ht="15" customHeight="1" x14ac:dyDescent="0.25">
      <c r="A54" s="148">
        <v>138</v>
      </c>
      <c r="B54" s="148" t="s">
        <v>358</v>
      </c>
      <c r="C54" s="148" t="s">
        <v>688</v>
      </c>
      <c r="D54" s="148" t="s">
        <v>606</v>
      </c>
      <c r="E54" s="148" t="s">
        <v>661</v>
      </c>
      <c r="F54" s="149">
        <v>5</v>
      </c>
      <c r="G54" s="148" t="s">
        <v>591</v>
      </c>
      <c r="H54" s="150">
        <v>539.55999999999995</v>
      </c>
      <c r="I54" s="151">
        <f>H54*4</f>
        <v>2158.2399999999998</v>
      </c>
    </row>
    <row r="55" spans="1:9" ht="15" customHeight="1" x14ac:dyDescent="0.25">
      <c r="A55" s="148">
        <v>139</v>
      </c>
      <c r="B55" s="148" t="s">
        <v>341</v>
      </c>
      <c r="C55" s="148" t="s">
        <v>689</v>
      </c>
      <c r="D55" s="148" t="s">
        <v>606</v>
      </c>
      <c r="E55" s="148" t="s">
        <v>615</v>
      </c>
      <c r="F55" s="149">
        <v>0.95</v>
      </c>
      <c r="G55" s="148" t="s">
        <v>591</v>
      </c>
      <c r="H55" s="150">
        <v>96.79</v>
      </c>
      <c r="I55" s="151">
        <f>H55*16</f>
        <v>1548.64</v>
      </c>
    </row>
    <row r="56" spans="1:9" ht="15" customHeight="1" x14ac:dyDescent="0.25">
      <c r="A56" s="148">
        <v>140</v>
      </c>
      <c r="B56" s="148" t="s">
        <v>342</v>
      </c>
      <c r="C56" s="148" t="s">
        <v>690</v>
      </c>
      <c r="D56" s="148" t="s">
        <v>606</v>
      </c>
      <c r="E56" s="148" t="s">
        <v>615</v>
      </c>
      <c r="F56" s="149">
        <v>5</v>
      </c>
      <c r="G56" s="148" t="s">
        <v>591</v>
      </c>
      <c r="H56" s="150">
        <v>504.04</v>
      </c>
      <c r="I56" s="151">
        <f>H56*4</f>
        <v>2016.16</v>
      </c>
    </row>
    <row r="57" spans="1:9" ht="15" customHeight="1" x14ac:dyDescent="0.25">
      <c r="A57" s="148">
        <v>141</v>
      </c>
      <c r="B57" s="148" t="s">
        <v>343</v>
      </c>
      <c r="C57" s="148" t="s">
        <v>691</v>
      </c>
      <c r="D57" s="148" t="s">
        <v>606</v>
      </c>
      <c r="E57" s="148" t="s">
        <v>615</v>
      </c>
      <c r="F57" s="149">
        <v>19</v>
      </c>
      <c r="G57" s="148" t="s">
        <v>591</v>
      </c>
      <c r="H57" s="150">
        <v>1819.8</v>
      </c>
      <c r="I57" s="151">
        <v>1819.8</v>
      </c>
    </row>
    <row r="58" spans="1:9" ht="15" customHeight="1" x14ac:dyDescent="0.25">
      <c r="A58" s="148">
        <v>142</v>
      </c>
      <c r="B58" s="148" t="s">
        <v>344</v>
      </c>
      <c r="C58" s="148" t="s">
        <v>692</v>
      </c>
      <c r="D58" s="148" t="s">
        <v>606</v>
      </c>
      <c r="E58" s="148" t="s">
        <v>615</v>
      </c>
      <c r="F58" s="149">
        <v>200</v>
      </c>
      <c r="G58" s="148" t="s">
        <v>591</v>
      </c>
      <c r="H58" s="150">
        <v>19259.939999999999</v>
      </c>
      <c r="I58" s="151">
        <v>19259.939999999999</v>
      </c>
    </row>
    <row r="59" spans="1:9" ht="15" customHeight="1" x14ac:dyDescent="0.25">
      <c r="A59" s="148">
        <v>177</v>
      </c>
      <c r="B59" s="148" t="s">
        <v>382</v>
      </c>
      <c r="C59" s="148" t="s">
        <v>693</v>
      </c>
      <c r="D59" s="148" t="s">
        <v>694</v>
      </c>
      <c r="E59" s="148" t="s">
        <v>695</v>
      </c>
      <c r="F59" s="149">
        <v>19</v>
      </c>
      <c r="G59" s="148" t="s">
        <v>591</v>
      </c>
      <c r="H59" s="150">
        <v>2555.48</v>
      </c>
      <c r="I59" s="151">
        <v>2555.48</v>
      </c>
    </row>
    <row r="60" spans="1:9" ht="15" customHeight="1" x14ac:dyDescent="0.25">
      <c r="A60" s="148">
        <v>178</v>
      </c>
      <c r="B60" s="148" t="s">
        <v>696</v>
      </c>
      <c r="C60" s="148" t="s">
        <v>697</v>
      </c>
      <c r="D60" s="148" t="s">
        <v>694</v>
      </c>
      <c r="E60" s="148" t="s">
        <v>698</v>
      </c>
      <c r="F60" s="149">
        <v>1</v>
      </c>
      <c r="G60" s="148" t="s">
        <v>591</v>
      </c>
      <c r="H60" s="150">
        <v>132.05000000000001</v>
      </c>
      <c r="I60" s="151">
        <f>H60*1000</f>
        <v>132050</v>
      </c>
    </row>
    <row r="61" spans="1:9" ht="15" customHeight="1" x14ac:dyDescent="0.25">
      <c r="A61" s="148">
        <v>179</v>
      </c>
      <c r="B61" s="148" t="s">
        <v>383</v>
      </c>
      <c r="C61" s="148" t="s">
        <v>699</v>
      </c>
      <c r="D61" s="148" t="s">
        <v>694</v>
      </c>
      <c r="E61" s="148" t="s">
        <v>695</v>
      </c>
      <c r="F61" s="149">
        <v>200</v>
      </c>
      <c r="G61" s="148" t="s">
        <v>591</v>
      </c>
      <c r="H61" s="150">
        <v>27038.639999999999</v>
      </c>
      <c r="I61" s="151">
        <v>27038.639999999999</v>
      </c>
    </row>
    <row r="62" spans="1:9" ht="15" customHeight="1" x14ac:dyDescent="0.25">
      <c r="A62" s="148">
        <v>199</v>
      </c>
      <c r="B62" s="148" t="s">
        <v>700</v>
      </c>
      <c r="C62" s="148" t="s">
        <v>701</v>
      </c>
      <c r="D62" s="148" t="s">
        <v>702</v>
      </c>
      <c r="E62" s="148" t="s">
        <v>703</v>
      </c>
      <c r="F62" s="149">
        <v>200</v>
      </c>
      <c r="G62" s="148" t="s">
        <v>596</v>
      </c>
      <c r="H62" s="150">
        <v>16163.94</v>
      </c>
      <c r="I62" s="151">
        <v>16163.94</v>
      </c>
    </row>
    <row r="63" spans="1:9" ht="15" customHeight="1" x14ac:dyDescent="0.25">
      <c r="A63" s="148">
        <v>235</v>
      </c>
      <c r="B63" s="148" t="s">
        <v>394</v>
      </c>
      <c r="C63" s="148" t="s">
        <v>704</v>
      </c>
      <c r="D63" s="148" t="s">
        <v>705</v>
      </c>
      <c r="E63" s="148" t="s">
        <v>706</v>
      </c>
      <c r="F63" s="149">
        <v>0.25</v>
      </c>
      <c r="G63" s="148" t="s">
        <v>591</v>
      </c>
      <c r="H63" s="150">
        <v>34.17</v>
      </c>
      <c r="I63" s="151">
        <f>H63*24</f>
        <v>820.08</v>
      </c>
    </row>
    <row r="64" spans="1:9" ht="15" customHeight="1" x14ac:dyDescent="0.25">
      <c r="A64" s="148">
        <v>236</v>
      </c>
      <c r="B64" s="148" t="s">
        <v>395</v>
      </c>
      <c r="C64" s="148" t="s">
        <v>707</v>
      </c>
      <c r="D64" s="148" t="s">
        <v>705</v>
      </c>
      <c r="E64" s="148" t="s">
        <v>706</v>
      </c>
      <c r="F64" s="149">
        <v>0.42500000000000004</v>
      </c>
      <c r="G64" s="148" t="s">
        <v>591</v>
      </c>
      <c r="H64" s="150">
        <v>56.58</v>
      </c>
      <c r="I64" s="151">
        <f>H64*24</f>
        <v>1357.92</v>
      </c>
    </row>
    <row r="65" spans="1:9" ht="15" customHeight="1" x14ac:dyDescent="0.25">
      <c r="A65" s="148">
        <v>237</v>
      </c>
      <c r="B65" s="148" t="s">
        <v>396</v>
      </c>
      <c r="C65" s="148" t="s">
        <v>708</v>
      </c>
      <c r="D65" s="148" t="s">
        <v>705</v>
      </c>
      <c r="E65" s="148" t="s">
        <v>706</v>
      </c>
      <c r="F65" s="149">
        <v>0.85</v>
      </c>
      <c r="G65" s="148" t="s">
        <v>591</v>
      </c>
      <c r="H65" s="150">
        <v>103.42</v>
      </c>
      <c r="I65" s="151">
        <f>H65*12</f>
        <v>1241.04</v>
      </c>
    </row>
    <row r="66" spans="1:9" ht="15" customHeight="1" x14ac:dyDescent="0.25">
      <c r="A66" s="148">
        <v>240</v>
      </c>
      <c r="B66" s="148" t="s">
        <v>397</v>
      </c>
      <c r="C66" s="148" t="s">
        <v>709</v>
      </c>
      <c r="D66" s="148" t="s">
        <v>705</v>
      </c>
      <c r="E66" s="148" t="s">
        <v>706</v>
      </c>
      <c r="F66" s="149">
        <v>16</v>
      </c>
      <c r="G66" s="148" t="s">
        <v>591</v>
      </c>
      <c r="H66" s="150">
        <v>1740.67</v>
      </c>
      <c r="I66" s="151">
        <v>1740.67</v>
      </c>
    </row>
    <row r="67" spans="1:9" ht="15" customHeight="1" x14ac:dyDescent="0.25">
      <c r="A67" s="148">
        <v>242</v>
      </c>
      <c r="B67" s="148" t="s">
        <v>398</v>
      </c>
      <c r="C67" s="148" t="s">
        <v>710</v>
      </c>
      <c r="D67" s="148" t="s">
        <v>705</v>
      </c>
      <c r="E67" s="148" t="s">
        <v>706</v>
      </c>
      <c r="F67" s="149">
        <v>170</v>
      </c>
      <c r="G67" s="148" t="s">
        <v>591</v>
      </c>
      <c r="H67" s="150">
        <v>18765.650000000001</v>
      </c>
      <c r="I67" s="151">
        <v>18765.650000000001</v>
      </c>
    </row>
    <row r="68" spans="1:9" ht="15" customHeight="1" x14ac:dyDescent="0.25">
      <c r="A68" s="148">
        <v>256</v>
      </c>
      <c r="B68" s="148" t="s">
        <v>711</v>
      </c>
      <c r="C68" s="148" t="s">
        <v>712</v>
      </c>
      <c r="D68" s="148" t="s">
        <v>705</v>
      </c>
      <c r="E68" s="148" t="s">
        <v>713</v>
      </c>
      <c r="F68" s="149">
        <v>16</v>
      </c>
      <c r="G68" s="148" t="s">
        <v>591</v>
      </c>
      <c r="H68" s="150">
        <v>1736.68</v>
      </c>
      <c r="I68" s="151">
        <v>1736.68</v>
      </c>
    </row>
    <row r="69" spans="1:9" ht="15" customHeight="1" x14ac:dyDescent="0.25">
      <c r="A69" s="148">
        <v>257</v>
      </c>
      <c r="B69" s="148" t="s">
        <v>385</v>
      </c>
      <c r="C69" s="148" t="s">
        <v>714</v>
      </c>
      <c r="D69" s="148" t="s">
        <v>705</v>
      </c>
      <c r="E69" s="148" t="s">
        <v>713</v>
      </c>
      <c r="F69" s="149">
        <v>16</v>
      </c>
      <c r="G69" s="148" t="s">
        <v>591</v>
      </c>
      <c r="H69" s="150">
        <v>1735.21</v>
      </c>
      <c r="I69" s="151">
        <v>1735.21</v>
      </c>
    </row>
    <row r="70" spans="1:9" ht="15" customHeight="1" x14ac:dyDescent="0.25">
      <c r="A70" s="148">
        <v>258</v>
      </c>
      <c r="B70" s="148" t="s">
        <v>526</v>
      </c>
      <c r="C70" s="148" t="s">
        <v>715</v>
      </c>
      <c r="D70" s="148" t="s">
        <v>705</v>
      </c>
      <c r="E70" s="148" t="s">
        <v>713</v>
      </c>
      <c r="F70" s="149">
        <v>16</v>
      </c>
      <c r="G70" s="148" t="s">
        <v>591</v>
      </c>
      <c r="H70" s="150">
        <v>1738.73</v>
      </c>
      <c r="I70" s="151">
        <v>1738.73</v>
      </c>
    </row>
    <row r="71" spans="1:9" ht="15" customHeight="1" x14ac:dyDescent="0.25">
      <c r="A71" s="148">
        <v>262</v>
      </c>
      <c r="B71" s="148" t="s">
        <v>716</v>
      </c>
      <c r="C71" s="148" t="s">
        <v>717</v>
      </c>
      <c r="D71" s="148" t="s">
        <v>705</v>
      </c>
      <c r="E71" s="148" t="s">
        <v>713</v>
      </c>
      <c r="F71" s="149">
        <v>170</v>
      </c>
      <c r="G71" s="148" t="s">
        <v>591</v>
      </c>
      <c r="H71" s="150">
        <v>18718.46</v>
      </c>
      <c r="I71" s="151">
        <v>18718.46</v>
      </c>
    </row>
    <row r="72" spans="1:9" ht="15" customHeight="1" x14ac:dyDescent="0.25">
      <c r="A72" s="148">
        <v>263</v>
      </c>
      <c r="B72" s="148" t="s">
        <v>386</v>
      </c>
      <c r="C72" s="148" t="s">
        <v>718</v>
      </c>
      <c r="D72" s="148" t="s">
        <v>705</v>
      </c>
      <c r="E72" s="148" t="s">
        <v>713</v>
      </c>
      <c r="F72" s="149">
        <v>170</v>
      </c>
      <c r="G72" s="148" t="s">
        <v>591</v>
      </c>
      <c r="H72" s="150">
        <v>18702.88</v>
      </c>
      <c r="I72" s="151">
        <v>18702.88</v>
      </c>
    </row>
    <row r="73" spans="1:9" ht="15" customHeight="1" x14ac:dyDescent="0.25">
      <c r="A73" s="148">
        <v>264</v>
      </c>
      <c r="B73" s="148" t="s">
        <v>387</v>
      </c>
      <c r="C73" s="148" t="s">
        <v>719</v>
      </c>
      <c r="D73" s="148" t="s">
        <v>705</v>
      </c>
      <c r="E73" s="148" t="s">
        <v>713</v>
      </c>
      <c r="F73" s="149">
        <v>170</v>
      </c>
      <c r="G73" s="148" t="s">
        <v>591</v>
      </c>
      <c r="H73" s="150">
        <v>18740.310000000001</v>
      </c>
      <c r="I73" s="151">
        <v>18740.310000000001</v>
      </c>
    </row>
    <row r="74" spans="1:9" ht="15" customHeight="1" x14ac:dyDescent="0.25">
      <c r="A74" s="148">
        <v>272</v>
      </c>
      <c r="B74" s="148" t="s">
        <v>400</v>
      </c>
      <c r="C74" s="148" t="s">
        <v>720</v>
      </c>
      <c r="D74" s="148" t="s">
        <v>705</v>
      </c>
      <c r="E74" s="148" t="s">
        <v>721</v>
      </c>
      <c r="F74" s="149">
        <v>0.25</v>
      </c>
      <c r="G74" s="148" t="s">
        <v>591</v>
      </c>
      <c r="H74" s="150">
        <v>42.3</v>
      </c>
      <c r="I74" s="151">
        <f>H74*24</f>
        <v>1015.1999999999999</v>
      </c>
    </row>
    <row r="75" spans="1:9" ht="15" customHeight="1" x14ac:dyDescent="0.25">
      <c r="A75" s="148">
        <v>273</v>
      </c>
      <c r="B75" s="148" t="s">
        <v>401</v>
      </c>
      <c r="C75" s="148" t="s">
        <v>722</v>
      </c>
      <c r="D75" s="148" t="s">
        <v>705</v>
      </c>
      <c r="E75" s="148" t="s">
        <v>721</v>
      </c>
      <c r="F75" s="149">
        <v>0.42500000000000004</v>
      </c>
      <c r="G75" s="148" t="s">
        <v>591</v>
      </c>
      <c r="H75" s="150">
        <v>70.44</v>
      </c>
      <c r="I75" s="151">
        <f>H75*24</f>
        <v>1690.56</v>
      </c>
    </row>
    <row r="76" spans="1:9" ht="15" customHeight="1" x14ac:dyDescent="0.25">
      <c r="A76" s="148">
        <v>274</v>
      </c>
      <c r="B76" s="148" t="s">
        <v>402</v>
      </c>
      <c r="C76" s="148" t="s">
        <v>723</v>
      </c>
      <c r="D76" s="148" t="s">
        <v>705</v>
      </c>
      <c r="E76" s="148" t="s">
        <v>721</v>
      </c>
      <c r="F76" s="149">
        <v>0.85</v>
      </c>
      <c r="G76" s="148" t="s">
        <v>591</v>
      </c>
      <c r="H76" s="150">
        <v>131.12</v>
      </c>
      <c r="I76" s="151">
        <f>H76*12</f>
        <v>1573.44</v>
      </c>
    </row>
    <row r="77" spans="1:9" ht="15" customHeight="1" x14ac:dyDescent="0.25">
      <c r="A77" s="148">
        <v>277</v>
      </c>
      <c r="B77" s="148" t="s">
        <v>404</v>
      </c>
      <c r="C77" s="148" t="s">
        <v>724</v>
      </c>
      <c r="D77" s="148" t="s">
        <v>705</v>
      </c>
      <c r="E77" s="148" t="s">
        <v>721</v>
      </c>
      <c r="F77" s="149">
        <v>16</v>
      </c>
      <c r="G77" s="148" t="s">
        <v>591</v>
      </c>
      <c r="H77" s="150">
        <v>2262.4699999999998</v>
      </c>
      <c r="I77" s="151">
        <v>2262.4699999999998</v>
      </c>
    </row>
    <row r="78" spans="1:9" ht="15" customHeight="1" x14ac:dyDescent="0.25">
      <c r="A78" s="148">
        <v>279</v>
      </c>
      <c r="B78" s="148" t="s">
        <v>405</v>
      </c>
      <c r="C78" s="148" t="s">
        <v>725</v>
      </c>
      <c r="D78" s="148" t="s">
        <v>705</v>
      </c>
      <c r="E78" s="148" t="s">
        <v>721</v>
      </c>
      <c r="F78" s="149">
        <v>170</v>
      </c>
      <c r="G78" s="148" t="s">
        <v>591</v>
      </c>
      <c r="H78" s="150">
        <v>24304.97</v>
      </c>
      <c r="I78" s="151">
        <v>24304.97</v>
      </c>
    </row>
    <row r="79" spans="1:9" ht="15" customHeight="1" x14ac:dyDescent="0.25">
      <c r="A79" s="148">
        <v>284</v>
      </c>
      <c r="B79" s="148" t="s">
        <v>409</v>
      </c>
      <c r="C79" s="148" t="s">
        <v>726</v>
      </c>
      <c r="D79" s="148" t="s">
        <v>705</v>
      </c>
      <c r="E79" s="148" t="s">
        <v>727</v>
      </c>
      <c r="F79" s="149">
        <v>16</v>
      </c>
      <c r="G79" s="148" t="s">
        <v>591</v>
      </c>
      <c r="H79" s="150">
        <v>2050.04</v>
      </c>
      <c r="I79" s="151">
        <v>2050.04</v>
      </c>
    </row>
    <row r="80" spans="1:9" ht="15" customHeight="1" x14ac:dyDescent="0.25">
      <c r="A80" s="148">
        <v>286</v>
      </c>
      <c r="B80" s="148" t="s">
        <v>528</v>
      </c>
      <c r="C80" s="148" t="s">
        <v>728</v>
      </c>
      <c r="D80" s="148" t="s">
        <v>705</v>
      </c>
      <c r="E80" s="148" t="s">
        <v>727</v>
      </c>
      <c r="F80" s="149">
        <v>170</v>
      </c>
      <c r="G80" s="148" t="s">
        <v>591</v>
      </c>
      <c r="H80" s="150">
        <v>22052.73</v>
      </c>
      <c r="I80" s="151">
        <v>22052.73</v>
      </c>
    </row>
    <row r="81" spans="1:9" ht="15" customHeight="1" x14ac:dyDescent="0.25">
      <c r="A81" s="148">
        <v>288</v>
      </c>
      <c r="B81" s="148" t="s">
        <v>729</v>
      </c>
      <c r="C81" s="148" t="s">
        <v>730</v>
      </c>
      <c r="D81" s="148" t="s">
        <v>705</v>
      </c>
      <c r="E81" s="148" t="s">
        <v>731</v>
      </c>
      <c r="F81" s="149">
        <v>3.5</v>
      </c>
      <c r="G81" s="148" t="s">
        <v>591</v>
      </c>
      <c r="H81" s="150">
        <v>413.6</v>
      </c>
      <c r="I81" s="151">
        <v>413.6</v>
      </c>
    </row>
    <row r="82" spans="1:9" ht="15" customHeight="1" x14ac:dyDescent="0.25">
      <c r="A82" s="148">
        <v>294</v>
      </c>
      <c r="B82" s="148" t="s">
        <v>732</v>
      </c>
      <c r="C82" s="148" t="s">
        <v>733</v>
      </c>
      <c r="D82" s="148" t="s">
        <v>705</v>
      </c>
      <c r="E82" s="148" t="s">
        <v>731</v>
      </c>
      <c r="F82" s="149">
        <v>7</v>
      </c>
      <c r="G82" s="148" t="s">
        <v>591</v>
      </c>
      <c r="H82" s="150">
        <v>820.63</v>
      </c>
      <c r="I82" s="151">
        <v>820.63</v>
      </c>
    </row>
    <row r="83" spans="1:9" ht="15" customHeight="1" x14ac:dyDescent="0.25">
      <c r="A83" s="148">
        <v>295</v>
      </c>
      <c r="B83" s="148" t="s">
        <v>734</v>
      </c>
      <c r="C83" s="148" t="s">
        <v>735</v>
      </c>
      <c r="D83" s="148" t="s">
        <v>705</v>
      </c>
      <c r="E83" s="148" t="s">
        <v>731</v>
      </c>
      <c r="F83" s="149">
        <v>16</v>
      </c>
      <c r="G83" s="148" t="s">
        <v>591</v>
      </c>
      <c r="H83" s="150">
        <v>1801.37</v>
      </c>
      <c r="I83" s="151">
        <v>1801.37</v>
      </c>
    </row>
    <row r="84" spans="1:9" ht="15" customHeight="1" x14ac:dyDescent="0.25">
      <c r="A84" s="148">
        <v>296</v>
      </c>
      <c r="B84" s="148" t="s">
        <v>736</v>
      </c>
      <c r="C84" s="148" t="s">
        <v>737</v>
      </c>
      <c r="D84" s="148" t="s">
        <v>705</v>
      </c>
      <c r="E84" s="148" t="s">
        <v>731</v>
      </c>
      <c r="F84" s="149">
        <v>170</v>
      </c>
      <c r="G84" s="148" t="s">
        <v>591</v>
      </c>
      <c r="H84" s="150">
        <v>19410.560000000001</v>
      </c>
      <c r="I84" s="151">
        <v>19410.560000000001</v>
      </c>
    </row>
    <row r="85" spans="1:9" ht="15" customHeight="1" x14ac:dyDescent="0.25">
      <c r="A85" s="148">
        <v>299</v>
      </c>
      <c r="B85" s="148" t="s">
        <v>411</v>
      </c>
      <c r="C85" s="148" t="s">
        <v>738</v>
      </c>
      <c r="D85" s="148" t="s">
        <v>705</v>
      </c>
      <c r="E85" s="148" t="s">
        <v>739</v>
      </c>
      <c r="F85" s="149">
        <v>16</v>
      </c>
      <c r="G85" s="148" t="s">
        <v>591</v>
      </c>
      <c r="H85" s="150">
        <v>2461.81</v>
      </c>
      <c r="I85" s="151">
        <v>2461.81</v>
      </c>
    </row>
    <row r="86" spans="1:9" ht="15" customHeight="1" x14ac:dyDescent="0.25">
      <c r="A86" s="148">
        <v>300</v>
      </c>
      <c r="B86" s="148" t="s">
        <v>530</v>
      </c>
      <c r="C86" s="148" t="s">
        <v>740</v>
      </c>
      <c r="D86" s="148" t="s">
        <v>705</v>
      </c>
      <c r="E86" s="148" t="s">
        <v>739</v>
      </c>
      <c r="F86" s="149">
        <v>170</v>
      </c>
      <c r="G86" s="148" t="s">
        <v>591</v>
      </c>
      <c r="H86" s="150">
        <v>26427.73</v>
      </c>
      <c r="I86" s="151">
        <v>26427.73</v>
      </c>
    </row>
    <row r="87" spans="1:9" ht="15" customHeight="1" x14ac:dyDescent="0.25">
      <c r="A87" s="148">
        <v>301</v>
      </c>
      <c r="B87" s="148" t="s">
        <v>741</v>
      </c>
      <c r="C87" s="148" t="s">
        <v>742</v>
      </c>
      <c r="D87" s="148" t="s">
        <v>594</v>
      </c>
      <c r="E87" s="148" t="s">
        <v>674</v>
      </c>
      <c r="F87" s="149">
        <v>0.95</v>
      </c>
      <c r="G87" s="148" t="s">
        <v>596</v>
      </c>
      <c r="H87" s="150">
        <v>112.85</v>
      </c>
      <c r="I87" s="151">
        <f>H87*15</f>
        <v>1692.75</v>
      </c>
    </row>
    <row r="88" spans="1:9" ht="15" customHeight="1" x14ac:dyDescent="0.25">
      <c r="A88" s="148">
        <v>302</v>
      </c>
      <c r="B88" s="148" t="s">
        <v>743</v>
      </c>
      <c r="C88" s="148" t="s">
        <v>744</v>
      </c>
      <c r="D88" s="148" t="s">
        <v>630</v>
      </c>
      <c r="E88" s="148" t="s">
        <v>745</v>
      </c>
      <c r="F88" s="149">
        <v>1</v>
      </c>
      <c r="G88" s="148" t="s">
        <v>596</v>
      </c>
      <c r="H88" s="150">
        <v>171.02</v>
      </c>
      <c r="I88" s="151">
        <f>H88*1000</f>
        <v>171020</v>
      </c>
    </row>
    <row r="89" spans="1:9" ht="15" customHeight="1" x14ac:dyDescent="0.25">
      <c r="A89" s="148">
        <v>304</v>
      </c>
      <c r="B89" s="148" t="s">
        <v>746</v>
      </c>
      <c r="C89" s="148" t="s">
        <v>747</v>
      </c>
      <c r="D89" s="148" t="s">
        <v>630</v>
      </c>
      <c r="E89" s="148" t="s">
        <v>745</v>
      </c>
      <c r="F89" s="149">
        <v>200</v>
      </c>
      <c r="G89" s="148" t="s">
        <v>596</v>
      </c>
      <c r="H89" s="150">
        <v>35156.54</v>
      </c>
      <c r="I89" s="151">
        <v>35156.54</v>
      </c>
    </row>
    <row r="90" spans="1:9" ht="15" customHeight="1" x14ac:dyDescent="0.25">
      <c r="A90" s="148">
        <v>312</v>
      </c>
      <c r="B90" s="148" t="s">
        <v>748</v>
      </c>
      <c r="C90" s="148" t="s">
        <v>749</v>
      </c>
      <c r="D90" s="148" t="s">
        <v>594</v>
      </c>
      <c r="E90" s="148" t="s">
        <v>750</v>
      </c>
      <c r="F90" s="149">
        <v>5</v>
      </c>
      <c r="G90" s="148" t="s">
        <v>596</v>
      </c>
      <c r="H90" s="150">
        <v>591.75</v>
      </c>
      <c r="I90" s="151">
        <f>H90*4</f>
        <v>2367</v>
      </c>
    </row>
    <row r="91" spans="1:9" ht="15" customHeight="1" x14ac:dyDescent="0.25">
      <c r="A91" s="148">
        <v>313</v>
      </c>
      <c r="B91" s="148" t="s">
        <v>751</v>
      </c>
      <c r="C91" s="148" t="s">
        <v>752</v>
      </c>
      <c r="D91" s="148" t="s">
        <v>594</v>
      </c>
      <c r="E91" s="148" t="s">
        <v>750</v>
      </c>
      <c r="F91" s="149">
        <v>19</v>
      </c>
      <c r="G91" s="148" t="s">
        <v>596</v>
      </c>
      <c r="H91" s="150">
        <v>2169.71</v>
      </c>
      <c r="I91" s="151">
        <v>2169.71</v>
      </c>
    </row>
    <row r="92" spans="1:9" ht="15" customHeight="1" x14ac:dyDescent="0.25">
      <c r="A92" s="148">
        <v>318</v>
      </c>
      <c r="B92" s="148" t="s">
        <v>753</v>
      </c>
      <c r="C92" s="148" t="s">
        <v>754</v>
      </c>
      <c r="D92" s="148" t="s">
        <v>594</v>
      </c>
      <c r="E92" s="148" t="s">
        <v>750</v>
      </c>
      <c r="F92" s="149">
        <v>19</v>
      </c>
      <c r="G92" s="148" t="s">
        <v>596</v>
      </c>
      <c r="H92" s="150">
        <v>2335.2800000000002</v>
      </c>
      <c r="I92" s="151">
        <v>2335.2800000000002</v>
      </c>
    </row>
    <row r="93" spans="1:9" ht="15" customHeight="1" x14ac:dyDescent="0.25">
      <c r="A93" s="148">
        <v>319</v>
      </c>
      <c r="B93" s="148" t="s">
        <v>755</v>
      </c>
      <c r="C93" s="148" t="s">
        <v>756</v>
      </c>
      <c r="D93" s="148" t="s">
        <v>594</v>
      </c>
      <c r="E93" s="148" t="s">
        <v>750</v>
      </c>
      <c r="F93" s="149">
        <v>200</v>
      </c>
      <c r="G93" s="148" t="s">
        <v>596</v>
      </c>
      <c r="H93" s="150">
        <v>24257.18</v>
      </c>
      <c r="I93" s="151">
        <v>24257.18</v>
      </c>
    </row>
    <row r="94" spans="1:9" ht="15" customHeight="1" x14ac:dyDescent="0.25">
      <c r="A94" s="148">
        <v>320</v>
      </c>
      <c r="B94" s="148" t="s">
        <v>757</v>
      </c>
      <c r="C94" s="148" t="s">
        <v>758</v>
      </c>
      <c r="D94" s="148" t="s">
        <v>594</v>
      </c>
      <c r="E94" s="148" t="s">
        <v>759</v>
      </c>
      <c r="F94" s="149">
        <v>0.95</v>
      </c>
      <c r="G94" s="148" t="s">
        <v>596</v>
      </c>
      <c r="H94" s="150">
        <v>171.91</v>
      </c>
      <c r="I94" s="151">
        <f>H94*15</f>
        <v>2578.65</v>
      </c>
    </row>
    <row r="95" spans="1:9" ht="15" customHeight="1" x14ac:dyDescent="0.25">
      <c r="A95" s="148">
        <v>321</v>
      </c>
      <c r="B95" s="148" t="s">
        <v>760</v>
      </c>
      <c r="C95" s="148" t="s">
        <v>761</v>
      </c>
      <c r="D95" s="148" t="s">
        <v>594</v>
      </c>
      <c r="E95" s="148" t="s">
        <v>759</v>
      </c>
      <c r="F95" s="149">
        <v>19</v>
      </c>
      <c r="G95" s="148" t="s">
        <v>596</v>
      </c>
      <c r="H95" s="150">
        <v>3360.66</v>
      </c>
      <c r="I95" s="151">
        <v>3360.66</v>
      </c>
    </row>
    <row r="96" spans="1:9" ht="15" customHeight="1" x14ac:dyDescent="0.25">
      <c r="A96" s="148">
        <v>322</v>
      </c>
      <c r="B96" s="148" t="s">
        <v>762</v>
      </c>
      <c r="C96" s="148" t="s">
        <v>763</v>
      </c>
      <c r="D96" s="148" t="s">
        <v>594</v>
      </c>
      <c r="E96" s="148" t="s">
        <v>759</v>
      </c>
      <c r="F96" s="149">
        <v>200</v>
      </c>
      <c r="G96" s="148" t="s">
        <v>596</v>
      </c>
      <c r="H96" s="150">
        <v>27851.02</v>
      </c>
      <c r="I96" s="151">
        <v>27851.02</v>
      </c>
    </row>
    <row r="97" spans="1:9" ht="15" customHeight="1" x14ac:dyDescent="0.25">
      <c r="A97" s="148">
        <v>324</v>
      </c>
      <c r="B97" s="148" t="s">
        <v>764</v>
      </c>
      <c r="C97" s="148" t="s">
        <v>765</v>
      </c>
      <c r="D97" s="148" t="s">
        <v>606</v>
      </c>
      <c r="E97" s="148" t="s">
        <v>766</v>
      </c>
      <c r="F97" s="149">
        <v>19</v>
      </c>
      <c r="G97" s="148" t="s">
        <v>596</v>
      </c>
      <c r="H97" s="150">
        <v>5319.69</v>
      </c>
      <c r="I97" s="151">
        <v>5319.69</v>
      </c>
    </row>
    <row r="98" spans="1:9" ht="15" customHeight="1" x14ac:dyDescent="0.25">
      <c r="A98" s="148">
        <v>336</v>
      </c>
      <c r="B98" s="148" t="s">
        <v>767</v>
      </c>
      <c r="C98" s="148" t="s">
        <v>768</v>
      </c>
      <c r="D98" s="148" t="s">
        <v>600</v>
      </c>
      <c r="E98" s="148" t="s">
        <v>613</v>
      </c>
      <c r="F98" s="149">
        <v>0.95</v>
      </c>
      <c r="G98" s="148" t="s">
        <v>596</v>
      </c>
      <c r="H98" s="150">
        <v>49.27</v>
      </c>
      <c r="I98" s="151">
        <f>H98*16</f>
        <v>788.32</v>
      </c>
    </row>
    <row r="99" spans="1:9" ht="15" customHeight="1" x14ac:dyDescent="0.25">
      <c r="A99" s="148">
        <v>361</v>
      </c>
      <c r="B99" s="148" t="s">
        <v>415</v>
      </c>
      <c r="C99" s="148" t="s">
        <v>769</v>
      </c>
      <c r="D99" s="148" t="s">
        <v>600</v>
      </c>
      <c r="E99" s="148" t="s">
        <v>770</v>
      </c>
      <c r="F99" s="149">
        <v>0.443</v>
      </c>
      <c r="G99" s="148" t="s">
        <v>591</v>
      </c>
      <c r="H99" s="150">
        <v>67.23</v>
      </c>
      <c r="I99" s="151">
        <f>H99*24</f>
        <v>1613.52</v>
      </c>
    </row>
    <row r="100" spans="1:9" ht="15" customHeight="1" x14ac:dyDescent="0.25">
      <c r="A100" s="148">
        <v>363</v>
      </c>
      <c r="B100" s="148" t="s">
        <v>771</v>
      </c>
      <c r="C100" s="148" t="s">
        <v>772</v>
      </c>
      <c r="D100" s="148" t="s">
        <v>600</v>
      </c>
      <c r="E100" s="148" t="s">
        <v>770</v>
      </c>
      <c r="F100" s="149">
        <v>0.443</v>
      </c>
      <c r="G100" s="148" t="s">
        <v>591</v>
      </c>
      <c r="H100" s="150">
        <v>67.849999999999994</v>
      </c>
      <c r="I100" s="151">
        <f>H100*6</f>
        <v>407.09999999999997</v>
      </c>
    </row>
    <row r="101" spans="1:9" ht="15" customHeight="1" x14ac:dyDescent="0.25">
      <c r="A101" s="148">
        <v>366</v>
      </c>
      <c r="B101" s="148" t="s">
        <v>773</v>
      </c>
      <c r="C101" s="148" t="s">
        <v>774</v>
      </c>
      <c r="D101" s="148" t="s">
        <v>600</v>
      </c>
      <c r="E101" s="148" t="s">
        <v>770</v>
      </c>
      <c r="F101" s="149">
        <v>0.443</v>
      </c>
      <c r="G101" s="148" t="s">
        <v>596</v>
      </c>
      <c r="H101" s="150">
        <v>9.26</v>
      </c>
      <c r="I101" s="151">
        <f>H101*24</f>
        <v>222.24</v>
      </c>
    </row>
    <row r="102" spans="1:9" ht="15" customHeight="1" x14ac:dyDescent="0.25">
      <c r="A102" s="148">
        <v>369</v>
      </c>
      <c r="B102" s="148" t="s">
        <v>562</v>
      </c>
      <c r="C102" s="148" t="s">
        <v>775</v>
      </c>
      <c r="D102" s="148" t="s">
        <v>594</v>
      </c>
      <c r="E102" s="148" t="s">
        <v>776</v>
      </c>
      <c r="F102" s="149">
        <v>19</v>
      </c>
      <c r="G102" s="148" t="s">
        <v>596</v>
      </c>
      <c r="H102" s="150">
        <v>2069.69</v>
      </c>
      <c r="I102" s="151">
        <v>2069.69</v>
      </c>
    </row>
    <row r="103" spans="1:9" ht="15" customHeight="1" x14ac:dyDescent="0.25">
      <c r="A103" s="148">
        <v>370</v>
      </c>
      <c r="B103" s="148" t="s">
        <v>777</v>
      </c>
      <c r="C103" s="148" t="s">
        <v>778</v>
      </c>
      <c r="D103" s="148" t="s">
        <v>594</v>
      </c>
      <c r="E103" s="148" t="s">
        <v>776</v>
      </c>
      <c r="F103" s="149">
        <v>19</v>
      </c>
      <c r="G103" s="148" t="s">
        <v>596</v>
      </c>
      <c r="H103" s="150">
        <v>2080.5500000000002</v>
      </c>
      <c r="I103" s="151">
        <v>2080.5500000000002</v>
      </c>
    </row>
    <row r="104" spans="1:9" ht="15" customHeight="1" x14ac:dyDescent="0.25">
      <c r="A104" s="148">
        <v>371</v>
      </c>
      <c r="B104" s="148" t="s">
        <v>561</v>
      </c>
      <c r="C104" s="148" t="s">
        <v>779</v>
      </c>
      <c r="D104" s="148" t="s">
        <v>594</v>
      </c>
      <c r="E104" s="148" t="s">
        <v>776</v>
      </c>
      <c r="F104" s="149">
        <v>0.95</v>
      </c>
      <c r="G104" s="148" t="s">
        <v>596</v>
      </c>
      <c r="H104" s="150">
        <v>108.12</v>
      </c>
      <c r="I104" s="151">
        <f>H104*15</f>
        <v>1621.8000000000002</v>
      </c>
    </row>
    <row r="105" spans="1:9" ht="15" customHeight="1" x14ac:dyDescent="0.25">
      <c r="A105" s="148">
        <v>377</v>
      </c>
      <c r="B105" s="148" t="s">
        <v>780</v>
      </c>
      <c r="C105" s="148" t="s">
        <v>781</v>
      </c>
      <c r="D105" s="148" t="s">
        <v>594</v>
      </c>
      <c r="E105" s="148" t="s">
        <v>624</v>
      </c>
      <c r="F105" s="149">
        <v>200</v>
      </c>
      <c r="G105" s="148" t="s">
        <v>591</v>
      </c>
      <c r="H105" s="150">
        <v>21225.919999999998</v>
      </c>
      <c r="I105" s="151">
        <v>21225.919999999998</v>
      </c>
    </row>
    <row r="106" spans="1:9" ht="15" customHeight="1" x14ac:dyDescent="0.25">
      <c r="A106" s="148">
        <v>392</v>
      </c>
      <c r="B106" s="148" t="s">
        <v>416</v>
      </c>
      <c r="C106" s="148" t="s">
        <v>782</v>
      </c>
      <c r="D106" s="148" t="s">
        <v>600</v>
      </c>
      <c r="E106" s="148" t="s">
        <v>783</v>
      </c>
      <c r="F106" s="149">
        <v>0.44</v>
      </c>
      <c r="G106" s="148" t="s">
        <v>591</v>
      </c>
      <c r="H106" s="150">
        <v>57.23</v>
      </c>
      <c r="I106" s="151">
        <f>H106*24</f>
        <v>1373.52</v>
      </c>
    </row>
    <row r="107" spans="1:9" ht="15" customHeight="1" x14ac:dyDescent="0.25">
      <c r="A107" s="148">
        <v>393</v>
      </c>
      <c r="B107" s="148" t="s">
        <v>784</v>
      </c>
      <c r="C107" s="148" t="s">
        <v>785</v>
      </c>
      <c r="D107" s="148" t="s">
        <v>600</v>
      </c>
      <c r="E107" s="148" t="s">
        <v>783</v>
      </c>
      <c r="F107" s="149">
        <v>0.95</v>
      </c>
      <c r="G107" s="148" t="s">
        <v>591</v>
      </c>
      <c r="H107" s="150">
        <v>111.11</v>
      </c>
      <c r="I107" s="151">
        <f>H107*24</f>
        <v>2666.64</v>
      </c>
    </row>
    <row r="108" spans="1:9" ht="15" customHeight="1" x14ac:dyDescent="0.25">
      <c r="A108" s="148">
        <v>409</v>
      </c>
      <c r="B108" s="148" t="s">
        <v>441</v>
      </c>
      <c r="C108" s="148" t="s">
        <v>786</v>
      </c>
      <c r="D108" s="148" t="s">
        <v>589</v>
      </c>
      <c r="E108" s="148" t="s">
        <v>787</v>
      </c>
      <c r="F108" s="149">
        <v>19</v>
      </c>
      <c r="G108" s="148" t="s">
        <v>596</v>
      </c>
      <c r="H108" s="150">
        <v>3134.64</v>
      </c>
      <c r="I108" s="151">
        <v>3134.64</v>
      </c>
    </row>
    <row r="109" spans="1:9" ht="15" customHeight="1" x14ac:dyDescent="0.25">
      <c r="A109" s="148">
        <v>410</v>
      </c>
      <c r="B109" s="148" t="s">
        <v>539</v>
      </c>
      <c r="C109" s="148" t="s">
        <v>788</v>
      </c>
      <c r="D109" s="148" t="s">
        <v>600</v>
      </c>
      <c r="E109" s="148" t="s">
        <v>789</v>
      </c>
      <c r="F109" s="149">
        <v>200</v>
      </c>
      <c r="G109" s="148" t="s">
        <v>591</v>
      </c>
      <c r="H109" s="150">
        <v>18951.82</v>
      </c>
      <c r="I109" s="151">
        <v>18951.82</v>
      </c>
    </row>
    <row r="110" spans="1:9" ht="15" customHeight="1" x14ac:dyDescent="0.25">
      <c r="A110" s="148">
        <v>411</v>
      </c>
      <c r="B110" s="148" t="s">
        <v>790</v>
      </c>
      <c r="C110" s="148" t="s">
        <v>791</v>
      </c>
      <c r="D110" s="148" t="s">
        <v>589</v>
      </c>
      <c r="E110" s="148" t="s">
        <v>590</v>
      </c>
      <c r="F110" s="149">
        <v>0.95</v>
      </c>
      <c r="G110" s="148" t="s">
        <v>596</v>
      </c>
      <c r="H110" s="150">
        <v>51.56</v>
      </c>
      <c r="I110" s="151">
        <f>H110*12</f>
        <v>618.72</v>
      </c>
    </row>
    <row r="111" spans="1:9" ht="15" customHeight="1" x14ac:dyDescent="0.25">
      <c r="A111" s="148">
        <v>414</v>
      </c>
      <c r="B111" s="148" t="s">
        <v>792</v>
      </c>
      <c r="C111" s="148" t="s">
        <v>793</v>
      </c>
      <c r="D111" s="148" t="s">
        <v>589</v>
      </c>
      <c r="E111" s="148" t="s">
        <v>794</v>
      </c>
      <c r="F111" s="149">
        <v>1</v>
      </c>
      <c r="G111" s="148" t="s">
        <v>596</v>
      </c>
      <c r="H111" s="150">
        <v>40.28</v>
      </c>
      <c r="I111" s="151">
        <f>H111*1000</f>
        <v>40280</v>
      </c>
    </row>
    <row r="112" spans="1:9" ht="15" customHeight="1" x14ac:dyDescent="0.25">
      <c r="A112" s="148">
        <v>416</v>
      </c>
      <c r="B112" s="148" t="s">
        <v>795</v>
      </c>
      <c r="C112" s="148" t="s">
        <v>796</v>
      </c>
      <c r="D112" s="148" t="s">
        <v>589</v>
      </c>
      <c r="E112" s="148" t="s">
        <v>797</v>
      </c>
      <c r="F112" s="149">
        <v>1</v>
      </c>
      <c r="G112" s="148" t="s">
        <v>591</v>
      </c>
      <c r="H112" s="150">
        <v>50.95</v>
      </c>
      <c r="I112" s="151">
        <f>H112*1000</f>
        <v>50950</v>
      </c>
    </row>
    <row r="113" spans="1:9" ht="15" customHeight="1" x14ac:dyDescent="0.25">
      <c r="A113" s="148">
        <v>417</v>
      </c>
      <c r="B113" s="148" t="s">
        <v>433</v>
      </c>
      <c r="C113" s="148" t="s">
        <v>798</v>
      </c>
      <c r="D113" s="148" t="s">
        <v>589</v>
      </c>
      <c r="E113" s="148" t="s">
        <v>797</v>
      </c>
      <c r="F113" s="149">
        <v>200</v>
      </c>
      <c r="G113" s="148" t="s">
        <v>591</v>
      </c>
      <c r="H113" s="150">
        <v>11259.49</v>
      </c>
      <c r="I113" s="151">
        <v>11259.49</v>
      </c>
    </row>
    <row r="114" spans="1:9" ht="15" customHeight="1" x14ac:dyDescent="0.25">
      <c r="A114" s="148">
        <v>419</v>
      </c>
      <c r="B114" s="148" t="s">
        <v>432</v>
      </c>
      <c r="C114" s="148" t="s">
        <v>799</v>
      </c>
      <c r="D114" s="148" t="s">
        <v>589</v>
      </c>
      <c r="E114" s="148" t="s">
        <v>797</v>
      </c>
      <c r="F114" s="149">
        <v>19</v>
      </c>
      <c r="G114" s="148" t="s">
        <v>591</v>
      </c>
      <c r="H114" s="150">
        <v>1123.6400000000001</v>
      </c>
      <c r="I114" s="151">
        <v>1123.6400000000001</v>
      </c>
    </row>
    <row r="115" spans="1:9" ht="15" customHeight="1" x14ac:dyDescent="0.25">
      <c r="A115" s="148">
        <v>421</v>
      </c>
      <c r="B115" s="148" t="s">
        <v>537</v>
      </c>
      <c r="C115" s="148" t="s">
        <v>800</v>
      </c>
      <c r="D115" s="148" t="s">
        <v>589</v>
      </c>
      <c r="E115" s="148" t="s">
        <v>797</v>
      </c>
      <c r="F115" s="149">
        <v>3.7850000000000001</v>
      </c>
      <c r="G115" s="148" t="s">
        <v>591</v>
      </c>
      <c r="H115" s="150">
        <v>241.4</v>
      </c>
      <c r="I115" s="151">
        <f>H115*4</f>
        <v>965.6</v>
      </c>
    </row>
    <row r="116" spans="1:9" ht="15" customHeight="1" x14ac:dyDescent="0.25">
      <c r="A116" s="148">
        <v>425</v>
      </c>
      <c r="B116" s="148" t="s">
        <v>801</v>
      </c>
      <c r="C116" s="148" t="s">
        <v>802</v>
      </c>
      <c r="D116" s="148" t="s">
        <v>594</v>
      </c>
      <c r="E116" s="148" t="s">
        <v>759</v>
      </c>
      <c r="F116" s="149">
        <v>0.95</v>
      </c>
      <c r="G116" s="148" t="s">
        <v>596</v>
      </c>
      <c r="H116" s="150">
        <v>171.7</v>
      </c>
      <c r="I116" s="151">
        <f>H116*15</f>
        <v>2575.5</v>
      </c>
    </row>
    <row r="117" spans="1:9" ht="15" customHeight="1" x14ac:dyDescent="0.25">
      <c r="A117" s="148">
        <v>426</v>
      </c>
      <c r="B117" s="148" t="s">
        <v>803</v>
      </c>
      <c r="C117" s="148" t="s">
        <v>804</v>
      </c>
      <c r="D117" s="148" t="s">
        <v>589</v>
      </c>
      <c r="E117" s="148" t="s">
        <v>627</v>
      </c>
      <c r="F117" s="149">
        <v>200</v>
      </c>
      <c r="G117" s="148" t="s">
        <v>596</v>
      </c>
      <c r="H117" s="150">
        <v>17313.86</v>
      </c>
      <c r="I117" s="151">
        <v>17313.86</v>
      </c>
    </row>
    <row r="118" spans="1:9" ht="15" customHeight="1" x14ac:dyDescent="0.25">
      <c r="A118" s="148">
        <v>427</v>
      </c>
      <c r="B118" s="148" t="s">
        <v>805</v>
      </c>
      <c r="C118" s="148" t="s">
        <v>806</v>
      </c>
      <c r="D118" s="148" t="s">
        <v>589</v>
      </c>
      <c r="E118" s="148" t="s">
        <v>627</v>
      </c>
      <c r="F118" s="149">
        <v>3.7850000000000001</v>
      </c>
      <c r="G118" s="148" t="s">
        <v>596</v>
      </c>
      <c r="H118" s="150">
        <v>352.53</v>
      </c>
      <c r="I118" s="151">
        <f>H118*4</f>
        <v>1410.12</v>
      </c>
    </row>
    <row r="119" spans="1:9" ht="15" customHeight="1" x14ac:dyDescent="0.25">
      <c r="A119" s="148">
        <v>428</v>
      </c>
      <c r="B119" s="148" t="s">
        <v>807</v>
      </c>
      <c r="C119" s="148" t="s">
        <v>808</v>
      </c>
      <c r="D119" s="148" t="s">
        <v>589</v>
      </c>
      <c r="E119" s="148" t="s">
        <v>598</v>
      </c>
      <c r="F119" s="149">
        <v>3.7850000000000001</v>
      </c>
      <c r="G119" s="148" t="s">
        <v>591</v>
      </c>
      <c r="H119" s="150">
        <v>235.8</v>
      </c>
      <c r="I119" s="151">
        <f>H119*4</f>
        <v>943.2</v>
      </c>
    </row>
    <row r="120" spans="1:9" ht="15" customHeight="1" x14ac:dyDescent="0.25">
      <c r="A120" s="148">
        <v>429</v>
      </c>
      <c r="B120" s="148" t="s">
        <v>459</v>
      </c>
      <c r="C120" s="148" t="s">
        <v>809</v>
      </c>
      <c r="D120" s="148" t="s">
        <v>589</v>
      </c>
      <c r="E120" s="148" t="s">
        <v>598</v>
      </c>
      <c r="F120" s="149">
        <v>1</v>
      </c>
      <c r="G120" s="148" t="s">
        <v>591</v>
      </c>
      <c r="H120" s="150">
        <v>50.91</v>
      </c>
      <c r="I120" s="151">
        <f>H120*1000</f>
        <v>50910</v>
      </c>
    </row>
    <row r="121" spans="1:9" ht="15" customHeight="1" x14ac:dyDescent="0.25">
      <c r="A121" s="148">
        <v>431</v>
      </c>
      <c r="B121" s="148" t="s">
        <v>442</v>
      </c>
      <c r="C121" s="148" t="s">
        <v>810</v>
      </c>
      <c r="D121" s="148" t="s">
        <v>589</v>
      </c>
      <c r="E121" s="148" t="s">
        <v>787</v>
      </c>
      <c r="F121" s="149">
        <v>200</v>
      </c>
      <c r="G121" s="148" t="s">
        <v>591</v>
      </c>
      <c r="H121" s="150">
        <v>32743.94</v>
      </c>
      <c r="I121" s="151">
        <v>32743.94</v>
      </c>
    </row>
    <row r="122" spans="1:9" ht="15" customHeight="1" x14ac:dyDescent="0.25">
      <c r="A122" s="148">
        <v>432</v>
      </c>
      <c r="B122" s="148" t="s">
        <v>544</v>
      </c>
      <c r="C122" s="148" t="s">
        <v>811</v>
      </c>
      <c r="D122" s="148" t="s">
        <v>630</v>
      </c>
      <c r="E122" s="148" t="s">
        <v>812</v>
      </c>
      <c r="F122" s="149">
        <v>1</v>
      </c>
      <c r="G122" s="148" t="s">
        <v>591</v>
      </c>
      <c r="H122" s="150">
        <v>209.98</v>
      </c>
      <c r="I122" s="151">
        <f>H122*1000</f>
        <v>209980</v>
      </c>
    </row>
    <row r="123" spans="1:9" ht="15" customHeight="1" x14ac:dyDescent="0.25">
      <c r="A123" s="148">
        <v>433</v>
      </c>
      <c r="B123" s="148" t="s">
        <v>328</v>
      </c>
      <c r="C123" s="148" t="s">
        <v>813</v>
      </c>
      <c r="D123" s="148" t="s">
        <v>630</v>
      </c>
      <c r="E123" s="148" t="s">
        <v>812</v>
      </c>
      <c r="F123" s="149">
        <v>19</v>
      </c>
      <c r="G123" s="148" t="s">
        <v>591</v>
      </c>
      <c r="H123" s="150">
        <v>4136.51</v>
      </c>
      <c r="I123" s="151">
        <v>4136.51</v>
      </c>
    </row>
    <row r="124" spans="1:9" ht="15" customHeight="1" x14ac:dyDescent="0.25">
      <c r="A124" s="148">
        <v>434</v>
      </c>
      <c r="B124" s="148" t="s">
        <v>329</v>
      </c>
      <c r="C124" s="148" t="s">
        <v>814</v>
      </c>
      <c r="D124" s="148" t="s">
        <v>630</v>
      </c>
      <c r="E124" s="148" t="s">
        <v>812</v>
      </c>
      <c r="F124" s="149">
        <v>200</v>
      </c>
      <c r="G124" s="148" t="s">
        <v>591</v>
      </c>
      <c r="H124" s="150">
        <v>43642.54</v>
      </c>
      <c r="I124" s="151">
        <v>43642.54</v>
      </c>
    </row>
    <row r="125" spans="1:9" ht="15" customHeight="1" x14ac:dyDescent="0.25">
      <c r="A125" s="148">
        <v>439</v>
      </c>
      <c r="B125" s="148" t="s">
        <v>815</v>
      </c>
      <c r="C125" s="148" t="s">
        <v>816</v>
      </c>
      <c r="D125" s="148" t="s">
        <v>630</v>
      </c>
      <c r="E125" s="148" t="s">
        <v>817</v>
      </c>
      <c r="F125" s="149">
        <v>1</v>
      </c>
      <c r="G125" s="148" t="s">
        <v>596</v>
      </c>
      <c r="H125" s="150">
        <v>201.44</v>
      </c>
      <c r="I125" s="151">
        <f>H125*1000</f>
        <v>201440</v>
      </c>
    </row>
    <row r="126" spans="1:9" ht="15" customHeight="1" x14ac:dyDescent="0.25">
      <c r="A126" s="148">
        <v>440</v>
      </c>
      <c r="B126" s="148" t="s">
        <v>818</v>
      </c>
      <c r="C126" s="148" t="s">
        <v>819</v>
      </c>
      <c r="D126" s="148" t="s">
        <v>630</v>
      </c>
      <c r="E126" s="148" t="s">
        <v>817</v>
      </c>
      <c r="F126" s="149">
        <v>19</v>
      </c>
      <c r="G126" s="148" t="s">
        <v>596</v>
      </c>
      <c r="H126" s="150">
        <v>3926.95</v>
      </c>
      <c r="I126" s="151">
        <v>3926.95</v>
      </c>
    </row>
    <row r="127" spans="1:9" ht="15" customHeight="1" x14ac:dyDescent="0.25">
      <c r="A127" s="148">
        <v>441</v>
      </c>
      <c r="B127" s="148" t="s">
        <v>820</v>
      </c>
      <c r="C127" s="148" t="s">
        <v>821</v>
      </c>
      <c r="D127" s="148" t="s">
        <v>630</v>
      </c>
      <c r="E127" s="148" t="s">
        <v>817</v>
      </c>
      <c r="F127" s="149">
        <v>200</v>
      </c>
      <c r="G127" s="148" t="s">
        <v>596</v>
      </c>
      <c r="H127" s="150">
        <v>41239.230000000003</v>
      </c>
      <c r="I127" s="151">
        <v>41239.230000000003</v>
      </c>
    </row>
    <row r="128" spans="1:9" ht="15" customHeight="1" x14ac:dyDescent="0.25">
      <c r="A128" s="148">
        <v>442</v>
      </c>
      <c r="B128" s="148" t="s">
        <v>822</v>
      </c>
      <c r="C128" s="148" t="s">
        <v>823</v>
      </c>
      <c r="D128" s="148" t="s">
        <v>705</v>
      </c>
      <c r="E128" s="148" t="s">
        <v>706</v>
      </c>
      <c r="F128" s="149">
        <v>7</v>
      </c>
      <c r="G128" s="148" t="s">
        <v>591</v>
      </c>
      <c r="H128" s="150">
        <v>769.39</v>
      </c>
      <c r="I128" s="151">
        <v>769.39</v>
      </c>
    </row>
    <row r="129" spans="1:9" ht="15" customHeight="1" x14ac:dyDescent="0.25">
      <c r="A129" s="148">
        <v>444</v>
      </c>
      <c r="B129" s="148" t="s">
        <v>824</v>
      </c>
      <c r="C129" s="148" t="s">
        <v>825</v>
      </c>
      <c r="D129" s="148" t="s">
        <v>705</v>
      </c>
      <c r="E129" s="148" t="s">
        <v>713</v>
      </c>
      <c r="F129" s="149">
        <v>7</v>
      </c>
      <c r="G129" s="148" t="s">
        <v>591</v>
      </c>
      <c r="H129" s="150">
        <v>791.5</v>
      </c>
      <c r="I129" s="151">
        <v>791.5</v>
      </c>
    </row>
    <row r="130" spans="1:9" ht="15" customHeight="1" x14ac:dyDescent="0.25">
      <c r="A130" s="148">
        <v>445</v>
      </c>
      <c r="B130" s="148" t="s">
        <v>826</v>
      </c>
      <c r="C130" s="148" t="s">
        <v>827</v>
      </c>
      <c r="D130" s="148" t="s">
        <v>705</v>
      </c>
      <c r="E130" s="148" t="s">
        <v>721</v>
      </c>
      <c r="F130" s="149">
        <v>7</v>
      </c>
      <c r="G130" s="148" t="s">
        <v>591</v>
      </c>
      <c r="H130" s="150">
        <v>1022.17</v>
      </c>
      <c r="I130" s="151">
        <v>1022.17</v>
      </c>
    </row>
    <row r="131" spans="1:9" ht="15" customHeight="1" x14ac:dyDescent="0.25">
      <c r="A131" s="148">
        <v>448</v>
      </c>
      <c r="B131" s="148" t="s">
        <v>828</v>
      </c>
      <c r="C131" s="148" t="s">
        <v>829</v>
      </c>
      <c r="D131" s="148" t="s">
        <v>630</v>
      </c>
      <c r="E131" s="148" t="s">
        <v>830</v>
      </c>
      <c r="F131" s="149">
        <v>5</v>
      </c>
      <c r="G131" s="148" t="s">
        <v>596</v>
      </c>
      <c r="H131" s="150">
        <v>494.39</v>
      </c>
      <c r="I131" s="151">
        <f>H131*4</f>
        <v>1977.56</v>
      </c>
    </row>
    <row r="132" spans="1:9" ht="15" customHeight="1" x14ac:dyDescent="0.25">
      <c r="A132" s="148">
        <v>455</v>
      </c>
      <c r="B132" s="148" t="s">
        <v>831</v>
      </c>
      <c r="C132" s="148" t="s">
        <v>832</v>
      </c>
      <c r="D132" s="148" t="s">
        <v>630</v>
      </c>
      <c r="E132" s="148" t="s">
        <v>830</v>
      </c>
      <c r="F132" s="149">
        <v>200</v>
      </c>
      <c r="G132" s="148" t="s">
        <v>596</v>
      </c>
      <c r="H132" s="150">
        <v>18085.96</v>
      </c>
      <c r="I132" s="151">
        <v>18085.96</v>
      </c>
    </row>
    <row r="133" spans="1:9" ht="15" customHeight="1" x14ac:dyDescent="0.25">
      <c r="A133" s="148">
        <v>456</v>
      </c>
      <c r="B133" s="148" t="s">
        <v>833</v>
      </c>
      <c r="C133" s="148" t="s">
        <v>834</v>
      </c>
      <c r="D133" s="148" t="s">
        <v>630</v>
      </c>
      <c r="E133" s="148" t="s">
        <v>835</v>
      </c>
      <c r="F133" s="149">
        <v>1</v>
      </c>
      <c r="G133" s="148" t="s">
        <v>591</v>
      </c>
      <c r="H133" s="150">
        <v>90.11</v>
      </c>
      <c r="I133" s="151">
        <f>H133*1000</f>
        <v>90110</v>
      </c>
    </row>
    <row r="134" spans="1:9" ht="15" customHeight="1" x14ac:dyDescent="0.25">
      <c r="A134" s="148">
        <v>458</v>
      </c>
      <c r="B134" s="148" t="s">
        <v>836</v>
      </c>
      <c r="C134" s="148" t="s">
        <v>837</v>
      </c>
      <c r="D134" s="148" t="s">
        <v>630</v>
      </c>
      <c r="E134" s="148" t="s">
        <v>835</v>
      </c>
      <c r="F134" s="149">
        <v>200</v>
      </c>
      <c r="G134" s="148" t="s">
        <v>596</v>
      </c>
      <c r="H134" s="150">
        <v>18786.150000000001</v>
      </c>
      <c r="I134" s="151">
        <v>18786.150000000001</v>
      </c>
    </row>
    <row r="135" spans="1:9" ht="15" customHeight="1" x14ac:dyDescent="0.25">
      <c r="A135" s="148">
        <v>461</v>
      </c>
      <c r="B135" s="148" t="s">
        <v>838</v>
      </c>
      <c r="C135" s="148" t="s">
        <v>839</v>
      </c>
      <c r="D135" s="148" t="s">
        <v>630</v>
      </c>
      <c r="E135" s="148" t="s">
        <v>840</v>
      </c>
      <c r="F135" s="149">
        <v>200</v>
      </c>
      <c r="G135" s="148" t="s">
        <v>596</v>
      </c>
      <c r="H135" s="150">
        <v>25205.42</v>
      </c>
      <c r="I135" s="151">
        <v>25205.42</v>
      </c>
    </row>
    <row r="136" spans="1:9" ht="15" customHeight="1" x14ac:dyDescent="0.25">
      <c r="A136" s="148">
        <v>462</v>
      </c>
      <c r="B136" s="148" t="s">
        <v>841</v>
      </c>
      <c r="C136" s="148" t="s">
        <v>842</v>
      </c>
      <c r="D136" s="148" t="s">
        <v>705</v>
      </c>
      <c r="E136" s="148" t="s">
        <v>727</v>
      </c>
      <c r="F136" s="149">
        <v>7</v>
      </c>
      <c r="G136" s="148" t="s">
        <v>591</v>
      </c>
      <c r="H136" s="150">
        <v>890.25</v>
      </c>
      <c r="I136" s="151">
        <v>890.25</v>
      </c>
    </row>
    <row r="137" spans="1:9" ht="15" customHeight="1" x14ac:dyDescent="0.25">
      <c r="A137" s="148">
        <v>480</v>
      </c>
      <c r="B137" s="148" t="s">
        <v>843</v>
      </c>
      <c r="C137" s="148" t="s">
        <v>844</v>
      </c>
      <c r="D137" s="148" t="s">
        <v>594</v>
      </c>
      <c r="E137" s="148" t="s">
        <v>759</v>
      </c>
      <c r="F137" s="149">
        <v>19</v>
      </c>
      <c r="G137" s="148" t="s">
        <v>596</v>
      </c>
      <c r="H137" s="150">
        <v>3306.87</v>
      </c>
      <c r="I137" s="151">
        <v>3306.87</v>
      </c>
    </row>
    <row r="138" spans="1:9" ht="15" customHeight="1" x14ac:dyDescent="0.25">
      <c r="A138" s="148">
        <v>484</v>
      </c>
      <c r="B138" s="148" t="s">
        <v>845</v>
      </c>
      <c r="C138" s="148" t="s">
        <v>846</v>
      </c>
      <c r="D138" s="148" t="s">
        <v>630</v>
      </c>
      <c r="E138" s="148" t="s">
        <v>835</v>
      </c>
      <c r="F138" s="149">
        <v>200</v>
      </c>
      <c r="G138" s="148" t="s">
        <v>596</v>
      </c>
      <c r="H138" s="150">
        <v>19381.71</v>
      </c>
      <c r="I138" s="151">
        <v>19381.71</v>
      </c>
    </row>
    <row r="139" spans="1:9" ht="15" customHeight="1" x14ac:dyDescent="0.25">
      <c r="A139" s="148">
        <v>486</v>
      </c>
      <c r="B139" s="148" t="s">
        <v>369</v>
      </c>
      <c r="C139" s="148" t="s">
        <v>847</v>
      </c>
      <c r="D139" s="148" t="s">
        <v>606</v>
      </c>
      <c r="E139" s="148" t="s">
        <v>848</v>
      </c>
      <c r="F139" s="149">
        <v>5</v>
      </c>
      <c r="G139" s="148" t="s">
        <v>591</v>
      </c>
      <c r="H139" s="150">
        <v>472.44</v>
      </c>
      <c r="I139" s="151">
        <f>H139*4</f>
        <v>1889.76</v>
      </c>
    </row>
    <row r="140" spans="1:9" ht="15" customHeight="1" x14ac:dyDescent="0.25">
      <c r="A140" s="148">
        <v>489</v>
      </c>
      <c r="B140" s="148" t="s">
        <v>849</v>
      </c>
      <c r="C140" s="148" t="s">
        <v>850</v>
      </c>
      <c r="D140" s="148" t="s">
        <v>606</v>
      </c>
      <c r="E140" s="148" t="s">
        <v>618</v>
      </c>
      <c r="F140" s="149">
        <v>0.95</v>
      </c>
      <c r="G140" s="148" t="s">
        <v>596</v>
      </c>
      <c r="H140" s="150">
        <v>87.54</v>
      </c>
      <c r="I140" s="151">
        <f>H140*16</f>
        <v>1400.64</v>
      </c>
    </row>
    <row r="141" spans="1:9" ht="15" customHeight="1" x14ac:dyDescent="0.25">
      <c r="A141" s="148">
        <v>490</v>
      </c>
      <c r="B141" s="148" t="s">
        <v>370</v>
      </c>
      <c r="C141" s="148" t="s">
        <v>851</v>
      </c>
      <c r="D141" s="148" t="s">
        <v>606</v>
      </c>
      <c r="E141" s="148" t="s">
        <v>852</v>
      </c>
      <c r="F141" s="149">
        <v>0.95</v>
      </c>
      <c r="G141" s="148" t="s">
        <v>591</v>
      </c>
      <c r="H141" s="150">
        <v>159.24</v>
      </c>
      <c r="I141" s="151">
        <f>H141*16</f>
        <v>2547.84</v>
      </c>
    </row>
    <row r="142" spans="1:9" ht="15" customHeight="1" x14ac:dyDescent="0.25">
      <c r="A142" s="148">
        <v>491</v>
      </c>
      <c r="B142" s="148" t="s">
        <v>365</v>
      </c>
      <c r="C142" s="148" t="s">
        <v>853</v>
      </c>
      <c r="D142" s="148" t="s">
        <v>606</v>
      </c>
      <c r="E142" s="148" t="s">
        <v>848</v>
      </c>
      <c r="F142" s="149">
        <v>0.95</v>
      </c>
      <c r="G142" s="148" t="s">
        <v>591</v>
      </c>
      <c r="H142" s="150">
        <v>91.74</v>
      </c>
      <c r="I142" s="151">
        <f>H142*16</f>
        <v>1467.84</v>
      </c>
    </row>
    <row r="143" spans="1:9" ht="15" customHeight="1" x14ac:dyDescent="0.25">
      <c r="A143" s="148">
        <v>492</v>
      </c>
      <c r="B143" s="148" t="s">
        <v>366</v>
      </c>
      <c r="C143" s="148" t="s">
        <v>854</v>
      </c>
      <c r="D143" s="148" t="s">
        <v>606</v>
      </c>
      <c r="E143" s="148" t="s">
        <v>848</v>
      </c>
      <c r="F143" s="149">
        <v>19</v>
      </c>
      <c r="G143" s="148" t="s">
        <v>591</v>
      </c>
      <c r="H143" s="150">
        <v>1722.58</v>
      </c>
      <c r="I143" s="151">
        <v>1722.58</v>
      </c>
    </row>
    <row r="144" spans="1:9" ht="15" customHeight="1" x14ac:dyDescent="0.25">
      <c r="A144" s="148">
        <v>493</v>
      </c>
      <c r="B144" s="148" t="s">
        <v>367</v>
      </c>
      <c r="C144" s="148" t="s">
        <v>855</v>
      </c>
      <c r="D144" s="148" t="s">
        <v>606</v>
      </c>
      <c r="E144" s="148" t="s">
        <v>848</v>
      </c>
      <c r="F144" s="149">
        <v>200</v>
      </c>
      <c r="G144" s="148" t="s">
        <v>591</v>
      </c>
      <c r="H144" s="150">
        <v>18236.47</v>
      </c>
      <c r="I144" s="151">
        <v>18236.47</v>
      </c>
    </row>
    <row r="145" spans="1:9" ht="15" customHeight="1" x14ac:dyDescent="0.25">
      <c r="A145" s="148">
        <v>496</v>
      </c>
      <c r="B145" s="148" t="s">
        <v>856</v>
      </c>
      <c r="C145" s="148" t="s">
        <v>857</v>
      </c>
      <c r="D145" s="148" t="s">
        <v>594</v>
      </c>
      <c r="E145" s="148" t="s">
        <v>858</v>
      </c>
      <c r="F145" s="149">
        <v>0.95</v>
      </c>
      <c r="G145" s="148" t="s">
        <v>596</v>
      </c>
      <c r="H145" s="150">
        <v>148.61000000000001</v>
      </c>
      <c r="I145" s="151">
        <f>H145*15</f>
        <v>2229.15</v>
      </c>
    </row>
    <row r="146" spans="1:9" ht="15" customHeight="1" x14ac:dyDescent="0.25">
      <c r="A146" s="148">
        <v>509</v>
      </c>
      <c r="B146" s="148" t="s">
        <v>859</v>
      </c>
      <c r="C146" s="148" t="s">
        <v>860</v>
      </c>
      <c r="D146" s="148" t="s">
        <v>606</v>
      </c>
      <c r="E146" s="148" t="s">
        <v>852</v>
      </c>
      <c r="F146" s="149">
        <v>200</v>
      </c>
      <c r="G146" s="148" t="s">
        <v>591</v>
      </c>
      <c r="H146" s="150">
        <v>32296.43</v>
      </c>
      <c r="I146" s="151">
        <v>32296.43</v>
      </c>
    </row>
    <row r="147" spans="1:9" ht="15" customHeight="1" x14ac:dyDescent="0.25">
      <c r="A147" s="148">
        <v>510</v>
      </c>
      <c r="B147" s="148" t="s">
        <v>861</v>
      </c>
      <c r="C147" s="148" t="s">
        <v>862</v>
      </c>
      <c r="D147" s="148" t="s">
        <v>606</v>
      </c>
      <c r="E147" s="148" t="s">
        <v>852</v>
      </c>
      <c r="F147" s="149">
        <v>1</v>
      </c>
      <c r="G147" s="148" t="s">
        <v>591</v>
      </c>
      <c r="H147" s="150">
        <v>153.26</v>
      </c>
      <c r="I147" s="151">
        <f>H147*1000</f>
        <v>153260</v>
      </c>
    </row>
    <row r="148" spans="1:9" ht="15" customHeight="1" x14ac:dyDescent="0.25">
      <c r="A148" s="148">
        <v>515</v>
      </c>
      <c r="B148" s="148" t="s">
        <v>368</v>
      </c>
      <c r="C148" s="148" t="s">
        <v>863</v>
      </c>
      <c r="D148" s="148" t="s">
        <v>606</v>
      </c>
      <c r="E148" s="148" t="s">
        <v>848</v>
      </c>
      <c r="F148" s="149">
        <v>0.95</v>
      </c>
      <c r="G148" s="148" t="s">
        <v>591</v>
      </c>
      <c r="H148" s="150">
        <v>85.72</v>
      </c>
      <c r="I148" s="151">
        <f>H148*16</f>
        <v>1371.52</v>
      </c>
    </row>
    <row r="149" spans="1:9" ht="15" customHeight="1" x14ac:dyDescent="0.25">
      <c r="A149" s="148">
        <v>527</v>
      </c>
      <c r="B149" s="148" t="s">
        <v>864</v>
      </c>
      <c r="C149" s="148" t="s">
        <v>865</v>
      </c>
      <c r="D149" s="148" t="s">
        <v>594</v>
      </c>
      <c r="E149" s="148" t="s">
        <v>595</v>
      </c>
      <c r="F149" s="149">
        <v>4</v>
      </c>
      <c r="G149" s="148" t="s">
        <v>596</v>
      </c>
      <c r="H149" s="150">
        <v>426.04</v>
      </c>
      <c r="I149" s="151">
        <f t="shared" ref="I149:I156" si="0">H149*4</f>
        <v>1704.16</v>
      </c>
    </row>
    <row r="150" spans="1:9" ht="15" customHeight="1" x14ac:dyDescent="0.25">
      <c r="A150" s="148">
        <v>528</v>
      </c>
      <c r="B150" s="148" t="s">
        <v>259</v>
      </c>
      <c r="C150" s="148" t="s">
        <v>866</v>
      </c>
      <c r="D150" s="148" t="s">
        <v>594</v>
      </c>
      <c r="E150" s="148" t="s">
        <v>595</v>
      </c>
      <c r="F150" s="149">
        <v>4</v>
      </c>
      <c r="G150" s="148" t="s">
        <v>591</v>
      </c>
      <c r="H150" s="150">
        <v>376.42</v>
      </c>
      <c r="I150" s="151">
        <f t="shared" si="0"/>
        <v>1505.68</v>
      </c>
    </row>
    <row r="151" spans="1:9" ht="15" customHeight="1" x14ac:dyDescent="0.25">
      <c r="A151" s="148">
        <v>529</v>
      </c>
      <c r="B151" s="148" t="s">
        <v>244</v>
      </c>
      <c r="C151" s="148" t="s">
        <v>867</v>
      </c>
      <c r="D151" s="148" t="s">
        <v>594</v>
      </c>
      <c r="E151" s="148" t="s">
        <v>604</v>
      </c>
      <c r="F151" s="149">
        <v>4</v>
      </c>
      <c r="G151" s="148" t="s">
        <v>591</v>
      </c>
      <c r="H151" s="150">
        <v>383.69</v>
      </c>
      <c r="I151" s="151">
        <f t="shared" si="0"/>
        <v>1534.76</v>
      </c>
    </row>
    <row r="152" spans="1:9" ht="15" customHeight="1" x14ac:dyDescent="0.25">
      <c r="A152" s="148">
        <v>530</v>
      </c>
      <c r="B152" s="148" t="s">
        <v>249</v>
      </c>
      <c r="C152" s="148" t="s">
        <v>868</v>
      </c>
      <c r="D152" s="148" t="s">
        <v>594</v>
      </c>
      <c r="E152" s="148" t="s">
        <v>604</v>
      </c>
      <c r="F152" s="149">
        <v>4</v>
      </c>
      <c r="G152" s="148" t="s">
        <v>591</v>
      </c>
      <c r="H152" s="150">
        <v>387.17</v>
      </c>
      <c r="I152" s="151">
        <f t="shared" si="0"/>
        <v>1548.68</v>
      </c>
    </row>
    <row r="153" spans="1:9" ht="15" customHeight="1" x14ac:dyDescent="0.25">
      <c r="A153" s="148">
        <v>531</v>
      </c>
      <c r="B153" s="148" t="s">
        <v>254</v>
      </c>
      <c r="C153" s="148" t="s">
        <v>869</v>
      </c>
      <c r="D153" s="148" t="s">
        <v>594</v>
      </c>
      <c r="E153" s="148" t="s">
        <v>604</v>
      </c>
      <c r="F153" s="149">
        <v>4</v>
      </c>
      <c r="G153" s="148" t="s">
        <v>591</v>
      </c>
      <c r="H153" s="150">
        <v>387.67</v>
      </c>
      <c r="I153" s="151">
        <f t="shared" si="0"/>
        <v>1550.68</v>
      </c>
    </row>
    <row r="154" spans="1:9" ht="15" customHeight="1" x14ac:dyDescent="0.25">
      <c r="A154" s="148">
        <v>535</v>
      </c>
      <c r="B154" s="148" t="s">
        <v>870</v>
      </c>
      <c r="C154" s="148" t="s">
        <v>871</v>
      </c>
      <c r="D154" s="148" t="s">
        <v>606</v>
      </c>
      <c r="E154" s="148" t="s">
        <v>618</v>
      </c>
      <c r="F154" s="149">
        <v>5</v>
      </c>
      <c r="G154" s="148" t="s">
        <v>596</v>
      </c>
      <c r="H154" s="150">
        <v>444.84</v>
      </c>
      <c r="I154" s="151">
        <f t="shared" si="0"/>
        <v>1779.36</v>
      </c>
    </row>
    <row r="155" spans="1:9" ht="15" customHeight="1" x14ac:dyDescent="0.25">
      <c r="A155" s="148">
        <v>536</v>
      </c>
      <c r="B155" s="148" t="s">
        <v>872</v>
      </c>
      <c r="C155" s="148" t="s">
        <v>873</v>
      </c>
      <c r="D155" s="148" t="s">
        <v>606</v>
      </c>
      <c r="E155" s="148" t="s">
        <v>645</v>
      </c>
      <c r="F155" s="149">
        <v>5</v>
      </c>
      <c r="G155" s="148" t="s">
        <v>591</v>
      </c>
      <c r="H155" s="150">
        <v>507.3</v>
      </c>
      <c r="I155" s="151">
        <f t="shared" si="0"/>
        <v>2029.2</v>
      </c>
    </row>
    <row r="156" spans="1:9" ht="15" customHeight="1" x14ac:dyDescent="0.25">
      <c r="A156" s="148">
        <v>538</v>
      </c>
      <c r="B156" s="148" t="s">
        <v>874</v>
      </c>
      <c r="C156" s="148" t="s">
        <v>875</v>
      </c>
      <c r="D156" s="148" t="s">
        <v>606</v>
      </c>
      <c r="E156" s="148" t="s">
        <v>645</v>
      </c>
      <c r="F156" s="149">
        <v>5</v>
      </c>
      <c r="G156" s="148" t="s">
        <v>596</v>
      </c>
      <c r="H156" s="150">
        <v>501.3</v>
      </c>
      <c r="I156" s="151">
        <f t="shared" si="0"/>
        <v>2005.2</v>
      </c>
    </row>
    <row r="157" spans="1:9" ht="15" customHeight="1" x14ac:dyDescent="0.25">
      <c r="A157" s="148">
        <v>548</v>
      </c>
      <c r="B157" s="148" t="s">
        <v>876</v>
      </c>
      <c r="C157" s="148" t="s">
        <v>877</v>
      </c>
      <c r="D157" s="148" t="s">
        <v>606</v>
      </c>
      <c r="E157" s="148" t="s">
        <v>661</v>
      </c>
      <c r="F157" s="149">
        <v>1</v>
      </c>
      <c r="G157" s="148" t="s">
        <v>591</v>
      </c>
      <c r="H157" s="150">
        <v>97.84</v>
      </c>
      <c r="I157" s="151">
        <f>H157*1000</f>
        <v>97840</v>
      </c>
    </row>
    <row r="158" spans="1:9" ht="15" customHeight="1" x14ac:dyDescent="0.25">
      <c r="A158" s="148">
        <v>549</v>
      </c>
      <c r="B158" s="148" t="s">
        <v>878</v>
      </c>
      <c r="C158" s="148" t="s">
        <v>879</v>
      </c>
      <c r="D158" s="148" t="s">
        <v>606</v>
      </c>
      <c r="E158" s="148" t="s">
        <v>661</v>
      </c>
      <c r="F158" s="149">
        <v>1</v>
      </c>
      <c r="G158" s="148" t="s">
        <v>591</v>
      </c>
      <c r="H158" s="150">
        <v>97.77</v>
      </c>
      <c r="I158" s="151">
        <f>H158*1000</f>
        <v>97770</v>
      </c>
    </row>
    <row r="159" spans="1:9" ht="15" customHeight="1" x14ac:dyDescent="0.25">
      <c r="A159" s="148">
        <v>553</v>
      </c>
      <c r="B159" s="148" t="s">
        <v>880</v>
      </c>
      <c r="C159" s="148" t="s">
        <v>881</v>
      </c>
      <c r="D159" s="148" t="s">
        <v>594</v>
      </c>
      <c r="E159" s="148" t="s">
        <v>776</v>
      </c>
      <c r="F159" s="149">
        <v>1</v>
      </c>
      <c r="G159" s="148" t="s">
        <v>591</v>
      </c>
      <c r="H159" s="150">
        <v>103.87</v>
      </c>
      <c r="I159" s="151">
        <f>H159*1000</f>
        <v>103870</v>
      </c>
    </row>
    <row r="160" spans="1:9" ht="15" customHeight="1" x14ac:dyDescent="0.25">
      <c r="A160" s="148">
        <v>558</v>
      </c>
      <c r="B160" s="148" t="s">
        <v>882</v>
      </c>
      <c r="C160" s="148" t="s">
        <v>883</v>
      </c>
      <c r="D160" s="148" t="s">
        <v>594</v>
      </c>
      <c r="E160" s="148" t="s">
        <v>669</v>
      </c>
      <c r="F160" s="149">
        <v>19</v>
      </c>
      <c r="G160" s="148" t="s">
        <v>596</v>
      </c>
      <c r="H160" s="150">
        <v>2723.76</v>
      </c>
      <c r="I160" s="151">
        <v>2723.76</v>
      </c>
    </row>
    <row r="161" spans="1:9" ht="15" customHeight="1" x14ac:dyDescent="0.25">
      <c r="A161" s="148">
        <v>584</v>
      </c>
      <c r="B161" s="148" t="s">
        <v>884</v>
      </c>
      <c r="C161" s="148" t="s">
        <v>885</v>
      </c>
      <c r="D161" s="148" t="s">
        <v>630</v>
      </c>
      <c r="E161" s="148" t="s">
        <v>886</v>
      </c>
      <c r="F161" s="149">
        <v>1</v>
      </c>
      <c r="G161" s="148" t="s">
        <v>591</v>
      </c>
      <c r="H161" s="150">
        <v>98.1</v>
      </c>
      <c r="I161" s="151">
        <f>H161*1000</f>
        <v>98100</v>
      </c>
    </row>
    <row r="162" spans="1:9" ht="15" customHeight="1" x14ac:dyDescent="0.25">
      <c r="A162" s="148">
        <v>585</v>
      </c>
      <c r="B162" s="148" t="s">
        <v>399</v>
      </c>
      <c r="C162" s="148" t="s">
        <v>887</v>
      </c>
      <c r="D162" s="148" t="s">
        <v>705</v>
      </c>
      <c r="E162" s="148" t="s">
        <v>706</v>
      </c>
      <c r="F162" s="149">
        <v>3.5</v>
      </c>
      <c r="G162" s="148" t="s">
        <v>591</v>
      </c>
      <c r="H162" s="150">
        <v>400.32</v>
      </c>
      <c r="I162" s="151">
        <v>400.32</v>
      </c>
    </row>
    <row r="163" spans="1:9" ht="15" customHeight="1" x14ac:dyDescent="0.25">
      <c r="A163" s="148">
        <v>586</v>
      </c>
      <c r="B163" s="148" t="s">
        <v>888</v>
      </c>
      <c r="C163" s="148" t="s">
        <v>889</v>
      </c>
      <c r="D163" s="148" t="s">
        <v>705</v>
      </c>
      <c r="E163" s="148" t="s">
        <v>713</v>
      </c>
      <c r="F163" s="149">
        <v>3.5</v>
      </c>
      <c r="G163" s="148" t="s">
        <v>591</v>
      </c>
      <c r="H163" s="150">
        <v>399.36</v>
      </c>
      <c r="I163" s="151">
        <v>399.36</v>
      </c>
    </row>
    <row r="164" spans="1:9" ht="15" customHeight="1" x14ac:dyDescent="0.25">
      <c r="A164" s="148">
        <v>587</v>
      </c>
      <c r="B164" s="148" t="s">
        <v>384</v>
      </c>
      <c r="C164" s="148" t="s">
        <v>890</v>
      </c>
      <c r="D164" s="148" t="s">
        <v>705</v>
      </c>
      <c r="E164" s="148" t="s">
        <v>713</v>
      </c>
      <c r="F164" s="149">
        <v>3.5</v>
      </c>
      <c r="G164" s="148" t="s">
        <v>591</v>
      </c>
      <c r="H164" s="150">
        <v>399.03</v>
      </c>
      <c r="I164" s="151">
        <v>399.03</v>
      </c>
    </row>
    <row r="165" spans="1:9" ht="15" customHeight="1" x14ac:dyDescent="0.25">
      <c r="A165" s="148">
        <v>588</v>
      </c>
      <c r="B165" s="148" t="s">
        <v>403</v>
      </c>
      <c r="C165" s="148" t="s">
        <v>891</v>
      </c>
      <c r="D165" s="148" t="s">
        <v>705</v>
      </c>
      <c r="E165" s="148" t="s">
        <v>721</v>
      </c>
      <c r="F165" s="149">
        <v>3.5</v>
      </c>
      <c r="G165" s="148" t="s">
        <v>591</v>
      </c>
      <c r="H165" s="150">
        <v>514.36</v>
      </c>
      <c r="I165" s="151">
        <v>514.36</v>
      </c>
    </row>
    <row r="166" spans="1:9" ht="15" customHeight="1" x14ac:dyDescent="0.25">
      <c r="A166" s="148">
        <v>590</v>
      </c>
      <c r="B166" s="148" t="s">
        <v>525</v>
      </c>
      <c r="C166" s="148" t="s">
        <v>892</v>
      </c>
      <c r="D166" s="148" t="s">
        <v>705</v>
      </c>
      <c r="E166" s="148" t="s">
        <v>713</v>
      </c>
      <c r="F166" s="149">
        <v>3.5</v>
      </c>
      <c r="G166" s="148" t="s">
        <v>591</v>
      </c>
      <c r="H166" s="150">
        <v>399.81</v>
      </c>
      <c r="I166" s="151">
        <v>399.81</v>
      </c>
    </row>
    <row r="167" spans="1:9" ht="15" customHeight="1" x14ac:dyDescent="0.25">
      <c r="A167" s="148">
        <v>593</v>
      </c>
      <c r="B167" s="148" t="s">
        <v>406</v>
      </c>
      <c r="C167" s="148" t="s">
        <v>893</v>
      </c>
      <c r="D167" s="148" t="s">
        <v>705</v>
      </c>
      <c r="E167" s="148" t="s">
        <v>894</v>
      </c>
      <c r="F167" s="149">
        <v>0.25</v>
      </c>
      <c r="G167" s="148" t="s">
        <v>591</v>
      </c>
      <c r="H167" s="150">
        <v>41.57</v>
      </c>
      <c r="I167" s="151">
        <f>H167*24</f>
        <v>997.68000000000006</v>
      </c>
    </row>
    <row r="168" spans="1:9" ht="15" customHeight="1" x14ac:dyDescent="0.25">
      <c r="A168" s="148">
        <v>599</v>
      </c>
      <c r="B168" s="148" t="s">
        <v>895</v>
      </c>
      <c r="C168" s="148" t="s">
        <v>896</v>
      </c>
      <c r="D168" s="148" t="s">
        <v>630</v>
      </c>
      <c r="E168" s="148" t="s">
        <v>631</v>
      </c>
      <c r="F168" s="149">
        <v>19</v>
      </c>
      <c r="G168" s="148" t="s">
        <v>591</v>
      </c>
      <c r="H168" s="150">
        <v>1706.2</v>
      </c>
      <c r="I168" s="151">
        <v>1706.2</v>
      </c>
    </row>
    <row r="169" spans="1:9" ht="15" customHeight="1" x14ac:dyDescent="0.25">
      <c r="A169" s="148">
        <v>604</v>
      </c>
      <c r="B169" s="148" t="s">
        <v>897</v>
      </c>
      <c r="C169" s="148" t="s">
        <v>898</v>
      </c>
      <c r="D169" s="148" t="s">
        <v>589</v>
      </c>
      <c r="E169" s="148" t="s">
        <v>627</v>
      </c>
      <c r="F169" s="149">
        <v>0.95</v>
      </c>
      <c r="G169" s="148" t="s">
        <v>596</v>
      </c>
      <c r="H169" s="150">
        <v>88.53</v>
      </c>
      <c r="I169" s="151">
        <f>H169*12</f>
        <v>1062.3600000000001</v>
      </c>
    </row>
    <row r="170" spans="1:9" ht="15" customHeight="1" x14ac:dyDescent="0.25">
      <c r="A170" s="148">
        <v>610</v>
      </c>
      <c r="B170" s="148" t="s">
        <v>315</v>
      </c>
      <c r="C170" s="148" t="s">
        <v>899</v>
      </c>
      <c r="D170" s="148" t="s">
        <v>630</v>
      </c>
      <c r="E170" s="148" t="s">
        <v>835</v>
      </c>
      <c r="F170" s="149">
        <v>19</v>
      </c>
      <c r="G170" s="148" t="s">
        <v>591</v>
      </c>
      <c r="H170" s="150">
        <v>1858.44</v>
      </c>
      <c r="I170" s="151">
        <v>1858.44</v>
      </c>
    </row>
    <row r="171" spans="1:9" ht="15" customHeight="1" x14ac:dyDescent="0.25">
      <c r="A171" s="148">
        <v>611</v>
      </c>
      <c r="B171" s="148" t="s">
        <v>316</v>
      </c>
      <c r="C171" s="148" t="s">
        <v>900</v>
      </c>
      <c r="D171" s="148" t="s">
        <v>630</v>
      </c>
      <c r="E171" s="148" t="s">
        <v>835</v>
      </c>
      <c r="F171" s="149">
        <v>200</v>
      </c>
      <c r="G171" s="148" t="s">
        <v>591</v>
      </c>
      <c r="H171" s="150">
        <v>19667.57</v>
      </c>
      <c r="I171" s="151">
        <v>19667.57</v>
      </c>
    </row>
    <row r="172" spans="1:9" ht="15" customHeight="1" x14ac:dyDescent="0.25">
      <c r="A172" s="148">
        <v>612</v>
      </c>
      <c r="B172" s="148" t="s">
        <v>317</v>
      </c>
      <c r="C172" s="148" t="s">
        <v>901</v>
      </c>
      <c r="D172" s="148" t="s">
        <v>630</v>
      </c>
      <c r="E172" s="148" t="s">
        <v>835</v>
      </c>
      <c r="F172" s="149">
        <v>19</v>
      </c>
      <c r="G172" s="148" t="s">
        <v>591</v>
      </c>
      <c r="H172" s="150">
        <v>2029.72</v>
      </c>
      <c r="I172" s="151">
        <v>2029.72</v>
      </c>
    </row>
    <row r="173" spans="1:9" ht="15" customHeight="1" x14ac:dyDescent="0.25">
      <c r="A173" s="148">
        <v>613</v>
      </c>
      <c r="B173" s="148" t="s">
        <v>318</v>
      </c>
      <c r="C173" s="148" t="s">
        <v>902</v>
      </c>
      <c r="D173" s="148" t="s">
        <v>630</v>
      </c>
      <c r="E173" s="148" t="s">
        <v>835</v>
      </c>
      <c r="F173" s="149">
        <v>200</v>
      </c>
      <c r="G173" s="148" t="s">
        <v>591</v>
      </c>
      <c r="H173" s="150">
        <v>21475.32</v>
      </c>
      <c r="I173" s="151">
        <v>21475.32</v>
      </c>
    </row>
    <row r="174" spans="1:9" ht="15" customHeight="1" x14ac:dyDescent="0.25">
      <c r="A174" s="148">
        <v>619</v>
      </c>
      <c r="B174" s="148" t="s">
        <v>903</v>
      </c>
      <c r="C174" s="148" t="s">
        <v>904</v>
      </c>
      <c r="D174" s="148" t="s">
        <v>630</v>
      </c>
      <c r="E174" s="148" t="s">
        <v>631</v>
      </c>
      <c r="F174" s="149">
        <v>200</v>
      </c>
      <c r="G174" s="148" t="s">
        <v>591</v>
      </c>
      <c r="H174" s="150">
        <v>18060.41</v>
      </c>
      <c r="I174" s="151">
        <v>18060.41</v>
      </c>
    </row>
    <row r="175" spans="1:9" ht="15" customHeight="1" x14ac:dyDescent="0.25">
      <c r="A175" s="148">
        <v>620</v>
      </c>
      <c r="B175" s="148" t="s">
        <v>905</v>
      </c>
      <c r="C175" s="148" t="s">
        <v>906</v>
      </c>
      <c r="D175" s="148" t="s">
        <v>630</v>
      </c>
      <c r="E175" s="148" t="s">
        <v>631</v>
      </c>
      <c r="F175" s="149">
        <v>5</v>
      </c>
      <c r="G175" s="148" t="s">
        <v>591</v>
      </c>
      <c r="H175" s="150">
        <v>467.93</v>
      </c>
      <c r="I175" s="151">
        <f>H175*4</f>
        <v>1871.72</v>
      </c>
    </row>
    <row r="176" spans="1:9" ht="15" customHeight="1" x14ac:dyDescent="0.25">
      <c r="A176" s="148">
        <v>632</v>
      </c>
      <c r="B176" s="148" t="s">
        <v>429</v>
      </c>
      <c r="C176" s="148" t="s">
        <v>907</v>
      </c>
      <c r="D176" s="148" t="s">
        <v>589</v>
      </c>
      <c r="E176" s="148" t="s">
        <v>598</v>
      </c>
      <c r="F176" s="149">
        <v>19</v>
      </c>
      <c r="G176" s="148" t="s">
        <v>591</v>
      </c>
      <c r="H176" s="150">
        <v>1116.44</v>
      </c>
      <c r="I176" s="151">
        <v>1116.44</v>
      </c>
    </row>
    <row r="177" spans="1:9" ht="15" customHeight="1" x14ac:dyDescent="0.25">
      <c r="A177" s="148">
        <v>633</v>
      </c>
      <c r="B177" s="148" t="s">
        <v>908</v>
      </c>
      <c r="C177" s="148" t="s">
        <v>909</v>
      </c>
      <c r="D177" s="148" t="s">
        <v>606</v>
      </c>
      <c r="E177" s="148" t="s">
        <v>910</v>
      </c>
      <c r="F177" s="149">
        <v>1</v>
      </c>
      <c r="G177" s="148" t="s">
        <v>591</v>
      </c>
      <c r="H177" s="150">
        <v>153.88</v>
      </c>
      <c r="I177" s="151">
        <f>H177*1000</f>
        <v>153880</v>
      </c>
    </row>
    <row r="178" spans="1:9" ht="15" customHeight="1" x14ac:dyDescent="0.25">
      <c r="A178" s="148">
        <v>634</v>
      </c>
      <c r="B178" s="148" t="s">
        <v>911</v>
      </c>
      <c r="C178" s="148" t="s">
        <v>912</v>
      </c>
      <c r="D178" s="148" t="s">
        <v>606</v>
      </c>
      <c r="E178" s="148" t="s">
        <v>913</v>
      </c>
      <c r="F178" s="149">
        <v>1</v>
      </c>
      <c r="G178" s="148" t="s">
        <v>591</v>
      </c>
      <c r="H178" s="150">
        <v>176.55</v>
      </c>
      <c r="I178" s="151">
        <f>H178*1000</f>
        <v>176550</v>
      </c>
    </row>
    <row r="179" spans="1:9" ht="15" customHeight="1" x14ac:dyDescent="0.25">
      <c r="A179" s="148">
        <v>636</v>
      </c>
      <c r="B179" s="148" t="s">
        <v>914</v>
      </c>
      <c r="C179" s="148" t="s">
        <v>915</v>
      </c>
      <c r="D179" s="148" t="s">
        <v>606</v>
      </c>
      <c r="E179" s="148" t="s">
        <v>615</v>
      </c>
      <c r="F179" s="149">
        <v>19</v>
      </c>
      <c r="G179" s="148" t="s">
        <v>591</v>
      </c>
      <c r="H179" s="150">
        <v>3647.21</v>
      </c>
      <c r="I179" s="151">
        <v>3647.21</v>
      </c>
    </row>
    <row r="180" spans="1:9" ht="15" customHeight="1" x14ac:dyDescent="0.25">
      <c r="A180" s="148">
        <v>637</v>
      </c>
      <c r="B180" s="148" t="s">
        <v>916</v>
      </c>
      <c r="C180" s="148" t="s">
        <v>917</v>
      </c>
      <c r="D180" s="148" t="s">
        <v>606</v>
      </c>
      <c r="E180" s="148" t="s">
        <v>910</v>
      </c>
      <c r="F180" s="149">
        <v>200</v>
      </c>
      <c r="G180" s="148" t="s">
        <v>591</v>
      </c>
      <c r="H180" s="150">
        <v>33254.53</v>
      </c>
      <c r="I180" s="151">
        <v>33254.53</v>
      </c>
    </row>
    <row r="181" spans="1:9" ht="15" customHeight="1" x14ac:dyDescent="0.25">
      <c r="A181" s="148">
        <v>638</v>
      </c>
      <c r="B181" s="148" t="s">
        <v>918</v>
      </c>
      <c r="C181" s="148" t="s">
        <v>919</v>
      </c>
      <c r="D181" s="148" t="s">
        <v>606</v>
      </c>
      <c r="E181" s="148" t="s">
        <v>913</v>
      </c>
      <c r="F181" s="149">
        <v>200</v>
      </c>
      <c r="G181" s="148" t="s">
        <v>591</v>
      </c>
      <c r="H181" s="150">
        <v>38476.31</v>
      </c>
      <c r="I181" s="151">
        <v>38476.31</v>
      </c>
    </row>
    <row r="182" spans="1:9" ht="15" customHeight="1" x14ac:dyDescent="0.25">
      <c r="A182" s="148">
        <v>639</v>
      </c>
      <c r="B182" s="148" t="s">
        <v>430</v>
      </c>
      <c r="C182" s="148" t="s">
        <v>920</v>
      </c>
      <c r="D182" s="148" t="s">
        <v>589</v>
      </c>
      <c r="E182" s="148" t="s">
        <v>598</v>
      </c>
      <c r="F182" s="149">
        <v>200</v>
      </c>
      <c r="G182" s="148" t="s">
        <v>591</v>
      </c>
      <c r="H182" s="150">
        <v>11251.27</v>
      </c>
      <c r="I182" s="151">
        <v>11251.27</v>
      </c>
    </row>
    <row r="183" spans="1:9" ht="15" customHeight="1" x14ac:dyDescent="0.25">
      <c r="A183" s="148">
        <v>640</v>
      </c>
      <c r="B183" s="148" t="s">
        <v>538</v>
      </c>
      <c r="C183" s="148" t="s">
        <v>921</v>
      </c>
      <c r="D183" s="148" t="s">
        <v>589</v>
      </c>
      <c r="E183" s="148" t="s">
        <v>922</v>
      </c>
      <c r="F183" s="149">
        <v>200</v>
      </c>
      <c r="G183" s="148" t="s">
        <v>591</v>
      </c>
      <c r="H183" s="150">
        <v>10551.6</v>
      </c>
      <c r="I183" s="151">
        <v>10551.6</v>
      </c>
    </row>
    <row r="184" spans="1:9" ht="15" customHeight="1" x14ac:dyDescent="0.25">
      <c r="A184" s="148">
        <v>641</v>
      </c>
      <c r="B184" s="148" t="s">
        <v>569</v>
      </c>
      <c r="C184" s="148" t="s">
        <v>923</v>
      </c>
      <c r="D184" s="148" t="s">
        <v>589</v>
      </c>
      <c r="E184" s="148" t="s">
        <v>922</v>
      </c>
      <c r="F184" s="149">
        <v>1</v>
      </c>
      <c r="G184" s="148" t="s">
        <v>591</v>
      </c>
      <c r="H184" s="150">
        <v>47.41</v>
      </c>
      <c r="I184" s="151">
        <f>H184*1000</f>
        <v>47410</v>
      </c>
    </row>
    <row r="185" spans="1:9" ht="15" customHeight="1" x14ac:dyDescent="0.25">
      <c r="A185" s="148">
        <v>650</v>
      </c>
      <c r="B185" s="148" t="s">
        <v>924</v>
      </c>
      <c r="C185" s="148" t="s">
        <v>925</v>
      </c>
      <c r="D185" s="148" t="s">
        <v>630</v>
      </c>
      <c r="E185" s="148" t="s">
        <v>631</v>
      </c>
      <c r="F185" s="149">
        <v>5</v>
      </c>
      <c r="G185" s="148" t="s">
        <v>591</v>
      </c>
      <c r="H185" s="150">
        <v>468.1</v>
      </c>
      <c r="I185" s="151">
        <f>H185*4</f>
        <v>1872.4</v>
      </c>
    </row>
    <row r="186" spans="1:9" ht="15" customHeight="1" x14ac:dyDescent="0.25">
      <c r="A186" s="148">
        <v>653</v>
      </c>
      <c r="B186" s="148" t="s">
        <v>376</v>
      </c>
      <c r="C186" s="148" t="s">
        <v>926</v>
      </c>
      <c r="D186" s="148" t="s">
        <v>694</v>
      </c>
      <c r="E186" s="148" t="s">
        <v>927</v>
      </c>
      <c r="F186" s="149">
        <v>0.95</v>
      </c>
      <c r="G186" s="148" t="s">
        <v>591</v>
      </c>
      <c r="H186" s="150">
        <v>92.44</v>
      </c>
      <c r="I186" s="151">
        <f>H186*16</f>
        <v>1479.04</v>
      </c>
    </row>
    <row r="187" spans="1:9" ht="15" customHeight="1" x14ac:dyDescent="0.25">
      <c r="A187" s="148">
        <v>654</v>
      </c>
      <c r="B187" s="148" t="s">
        <v>928</v>
      </c>
      <c r="C187" s="148" t="s">
        <v>929</v>
      </c>
      <c r="D187" s="148" t="s">
        <v>694</v>
      </c>
      <c r="E187" s="148" t="s">
        <v>698</v>
      </c>
      <c r="F187" s="149">
        <v>0.95</v>
      </c>
      <c r="G187" s="148" t="s">
        <v>596</v>
      </c>
      <c r="H187" s="150">
        <v>115.47</v>
      </c>
      <c r="I187" s="151">
        <f>H187*16</f>
        <v>1847.52</v>
      </c>
    </row>
    <row r="188" spans="1:9" ht="15" customHeight="1" x14ac:dyDescent="0.25">
      <c r="A188" s="148">
        <v>655</v>
      </c>
      <c r="B188" s="148" t="s">
        <v>377</v>
      </c>
      <c r="C188" s="148" t="s">
        <v>930</v>
      </c>
      <c r="D188" s="148" t="s">
        <v>694</v>
      </c>
      <c r="E188" s="148" t="s">
        <v>927</v>
      </c>
      <c r="F188" s="149">
        <v>5</v>
      </c>
      <c r="G188" s="148" t="s">
        <v>591</v>
      </c>
      <c r="H188" s="150">
        <v>473.6</v>
      </c>
      <c r="I188" s="151">
        <f>H188*4</f>
        <v>1894.4</v>
      </c>
    </row>
    <row r="189" spans="1:9" ht="15" customHeight="1" x14ac:dyDescent="0.25">
      <c r="A189" s="148">
        <v>656</v>
      </c>
      <c r="B189" s="148" t="s">
        <v>408</v>
      </c>
      <c r="C189" s="148" t="s">
        <v>931</v>
      </c>
      <c r="D189" s="148" t="s">
        <v>705</v>
      </c>
      <c r="E189" s="148" t="s">
        <v>894</v>
      </c>
      <c r="F189" s="149">
        <v>16</v>
      </c>
      <c r="G189" s="148" t="s">
        <v>591</v>
      </c>
      <c r="H189" s="150">
        <v>2214.59</v>
      </c>
      <c r="I189" s="151">
        <v>2214.59</v>
      </c>
    </row>
    <row r="190" spans="1:9" ht="15" customHeight="1" x14ac:dyDescent="0.25">
      <c r="A190" s="148">
        <v>670</v>
      </c>
      <c r="B190" s="148" t="s">
        <v>932</v>
      </c>
      <c r="C190" s="148" t="s">
        <v>933</v>
      </c>
      <c r="D190" s="148" t="s">
        <v>600</v>
      </c>
      <c r="E190" s="148" t="s">
        <v>934</v>
      </c>
      <c r="F190" s="149">
        <v>0.31</v>
      </c>
      <c r="G190" s="148" t="s">
        <v>935</v>
      </c>
      <c r="H190" s="150">
        <v>52.68</v>
      </c>
      <c r="I190" s="151">
        <f>H190*24</f>
        <v>1264.32</v>
      </c>
    </row>
    <row r="191" spans="1:9" ht="15" customHeight="1" x14ac:dyDescent="0.25">
      <c r="A191" s="148">
        <v>673</v>
      </c>
      <c r="B191" s="148" t="s">
        <v>439</v>
      </c>
      <c r="C191" s="148" t="s">
        <v>936</v>
      </c>
      <c r="D191" s="148" t="s">
        <v>600</v>
      </c>
      <c r="E191" s="148" t="s">
        <v>937</v>
      </c>
      <c r="F191" s="149">
        <v>0.35</v>
      </c>
      <c r="G191" s="148" t="s">
        <v>591</v>
      </c>
      <c r="H191" s="150">
        <v>42.47</v>
      </c>
      <c r="I191" s="151">
        <f>H191*24</f>
        <v>1019.28</v>
      </c>
    </row>
    <row r="192" spans="1:9" ht="15" customHeight="1" x14ac:dyDescent="0.25">
      <c r="A192" s="148">
        <v>674</v>
      </c>
      <c r="B192" s="148" t="s">
        <v>421</v>
      </c>
      <c r="C192" s="148" t="s">
        <v>938</v>
      </c>
      <c r="D192" s="148" t="s">
        <v>589</v>
      </c>
      <c r="E192" s="148" t="s">
        <v>590</v>
      </c>
      <c r="F192" s="149">
        <v>19</v>
      </c>
      <c r="G192" s="148" t="s">
        <v>591</v>
      </c>
      <c r="H192" s="150">
        <v>912.64</v>
      </c>
      <c r="I192" s="151">
        <v>912.64</v>
      </c>
    </row>
    <row r="193" spans="1:9" ht="15" customHeight="1" x14ac:dyDescent="0.25">
      <c r="A193" s="148">
        <v>687</v>
      </c>
      <c r="B193" s="148" t="s">
        <v>939</v>
      </c>
      <c r="C193" s="148" t="s">
        <v>940</v>
      </c>
      <c r="D193" s="148" t="s">
        <v>694</v>
      </c>
      <c r="E193" s="148" t="s">
        <v>941</v>
      </c>
      <c r="F193" s="149">
        <v>1</v>
      </c>
      <c r="G193" s="148" t="s">
        <v>591</v>
      </c>
      <c r="H193" s="150">
        <v>65.760000000000005</v>
      </c>
      <c r="I193" s="151">
        <f>H193*1000</f>
        <v>65760</v>
      </c>
    </row>
    <row r="194" spans="1:9" ht="15" customHeight="1" x14ac:dyDescent="0.25">
      <c r="A194" s="148">
        <v>688</v>
      </c>
      <c r="B194" s="148" t="s">
        <v>375</v>
      </c>
      <c r="C194" s="148" t="s">
        <v>942</v>
      </c>
      <c r="D194" s="148" t="s">
        <v>694</v>
      </c>
      <c r="E194" s="148" t="s">
        <v>941</v>
      </c>
      <c r="F194" s="149">
        <v>200</v>
      </c>
      <c r="G194" s="148" t="s">
        <v>591</v>
      </c>
      <c r="H194" s="150">
        <v>14584.94</v>
      </c>
      <c r="I194" s="151">
        <v>14584.94</v>
      </c>
    </row>
    <row r="195" spans="1:9" ht="15" customHeight="1" x14ac:dyDescent="0.25">
      <c r="A195" s="148">
        <v>689</v>
      </c>
      <c r="B195" s="148" t="s">
        <v>374</v>
      </c>
      <c r="C195" s="148" t="s">
        <v>943</v>
      </c>
      <c r="D195" s="148" t="s">
        <v>694</v>
      </c>
      <c r="E195" s="148" t="s">
        <v>941</v>
      </c>
      <c r="F195" s="149">
        <v>19</v>
      </c>
      <c r="G195" s="148" t="s">
        <v>591</v>
      </c>
      <c r="H195" s="150">
        <v>1377.57</v>
      </c>
      <c r="I195" s="151">
        <v>1377.57</v>
      </c>
    </row>
    <row r="196" spans="1:9" ht="15" customHeight="1" x14ac:dyDescent="0.25">
      <c r="A196" s="148">
        <v>706</v>
      </c>
      <c r="B196" s="148" t="s">
        <v>521</v>
      </c>
      <c r="C196" s="148" t="s">
        <v>944</v>
      </c>
      <c r="D196" s="148" t="s">
        <v>606</v>
      </c>
      <c r="E196" s="148" t="s">
        <v>494</v>
      </c>
      <c r="F196" s="149">
        <v>19</v>
      </c>
      <c r="G196" s="148" t="s">
        <v>591</v>
      </c>
      <c r="H196" s="150">
        <v>9626.73</v>
      </c>
      <c r="I196" s="151">
        <v>9626.73</v>
      </c>
    </row>
    <row r="197" spans="1:9" ht="15" customHeight="1" x14ac:dyDescent="0.25">
      <c r="A197" s="148">
        <v>707</v>
      </c>
      <c r="B197" s="148" t="s">
        <v>945</v>
      </c>
      <c r="C197" s="148" t="s">
        <v>946</v>
      </c>
      <c r="D197" s="148" t="s">
        <v>606</v>
      </c>
      <c r="E197" s="148" t="s">
        <v>494</v>
      </c>
      <c r="F197" s="149">
        <v>200</v>
      </c>
      <c r="G197" s="148" t="s">
        <v>591</v>
      </c>
      <c r="H197" s="150">
        <v>100241.53</v>
      </c>
      <c r="I197" s="151">
        <v>100241.53</v>
      </c>
    </row>
    <row r="198" spans="1:9" ht="15" customHeight="1" x14ac:dyDescent="0.25">
      <c r="A198" s="148">
        <v>709</v>
      </c>
      <c r="B198" s="148" t="s">
        <v>522</v>
      </c>
      <c r="C198" s="148" t="s">
        <v>947</v>
      </c>
      <c r="D198" s="148" t="s">
        <v>606</v>
      </c>
      <c r="E198" s="148" t="s">
        <v>493</v>
      </c>
      <c r="F198" s="149">
        <v>19</v>
      </c>
      <c r="G198" s="148" t="s">
        <v>591</v>
      </c>
      <c r="H198" s="150">
        <v>4465.79</v>
      </c>
      <c r="I198" s="151">
        <v>4465.79</v>
      </c>
    </row>
    <row r="199" spans="1:9" ht="15" customHeight="1" x14ac:dyDescent="0.25">
      <c r="A199" s="148">
        <v>725</v>
      </c>
      <c r="B199" s="148" t="s">
        <v>363</v>
      </c>
      <c r="C199" s="148" t="s">
        <v>948</v>
      </c>
      <c r="D199" s="148" t="s">
        <v>606</v>
      </c>
      <c r="E199" s="148" t="s">
        <v>661</v>
      </c>
      <c r="F199" s="149">
        <v>19</v>
      </c>
      <c r="G199" s="148" t="s">
        <v>591</v>
      </c>
      <c r="H199" s="150">
        <v>1994.22</v>
      </c>
      <c r="I199" s="151">
        <v>1994.22</v>
      </c>
    </row>
    <row r="200" spans="1:9" ht="15" customHeight="1" x14ac:dyDescent="0.25">
      <c r="A200" s="148">
        <v>726</v>
      </c>
      <c r="B200" s="148" t="s">
        <v>364</v>
      </c>
      <c r="C200" s="148" t="s">
        <v>949</v>
      </c>
      <c r="D200" s="148" t="s">
        <v>606</v>
      </c>
      <c r="E200" s="148" t="s">
        <v>661</v>
      </c>
      <c r="F200" s="149">
        <v>200</v>
      </c>
      <c r="G200" s="148" t="s">
        <v>591</v>
      </c>
      <c r="H200" s="150">
        <v>21092.92</v>
      </c>
      <c r="I200" s="151">
        <v>21092.92</v>
      </c>
    </row>
    <row r="201" spans="1:9" ht="15" customHeight="1" x14ac:dyDescent="0.25">
      <c r="A201" s="148">
        <v>729</v>
      </c>
      <c r="B201" s="148" t="s">
        <v>529</v>
      </c>
      <c r="C201" s="148" t="s">
        <v>950</v>
      </c>
      <c r="D201" s="148" t="s">
        <v>705</v>
      </c>
      <c r="E201" s="148" t="s">
        <v>727</v>
      </c>
      <c r="F201" s="149">
        <v>3.5</v>
      </c>
      <c r="G201" s="148" t="s">
        <v>591</v>
      </c>
      <c r="H201" s="150">
        <v>468</v>
      </c>
      <c r="I201" s="151">
        <v>468</v>
      </c>
    </row>
    <row r="202" spans="1:9" ht="15" customHeight="1" x14ac:dyDescent="0.25">
      <c r="A202" s="148">
        <v>736</v>
      </c>
      <c r="B202" s="148" t="s">
        <v>371</v>
      </c>
      <c r="C202" s="148" t="s">
        <v>951</v>
      </c>
      <c r="D202" s="148" t="s">
        <v>606</v>
      </c>
      <c r="E202" s="148" t="s">
        <v>852</v>
      </c>
      <c r="F202" s="149">
        <v>19</v>
      </c>
      <c r="G202" s="148" t="s">
        <v>591</v>
      </c>
      <c r="H202" s="150">
        <v>3052.77</v>
      </c>
      <c r="I202" s="151">
        <v>3052.77</v>
      </c>
    </row>
    <row r="203" spans="1:9" ht="15" customHeight="1" x14ac:dyDescent="0.25">
      <c r="A203" s="148">
        <v>738</v>
      </c>
      <c r="B203" s="148" t="s">
        <v>407</v>
      </c>
      <c r="C203" s="148" t="s">
        <v>952</v>
      </c>
      <c r="D203" s="148" t="s">
        <v>705</v>
      </c>
      <c r="E203" s="148" t="s">
        <v>894</v>
      </c>
      <c r="F203" s="149">
        <v>0.42500000000000004</v>
      </c>
      <c r="G203" s="148" t="s">
        <v>591</v>
      </c>
      <c r="H203" s="150">
        <v>69.17</v>
      </c>
      <c r="I203" s="151">
        <f>H203*24</f>
        <v>1660.08</v>
      </c>
    </row>
    <row r="204" spans="1:9" ht="15" customHeight="1" x14ac:dyDescent="0.25">
      <c r="A204" s="148">
        <v>758</v>
      </c>
      <c r="B204" s="148" t="s">
        <v>953</v>
      </c>
      <c r="C204" s="148" t="s">
        <v>954</v>
      </c>
      <c r="D204" s="148" t="s">
        <v>705</v>
      </c>
      <c r="E204" s="148" t="s">
        <v>727</v>
      </c>
      <c r="F204" s="149">
        <v>7</v>
      </c>
      <c r="G204" s="148" t="s">
        <v>596</v>
      </c>
      <c r="H204" s="150">
        <v>882.56</v>
      </c>
      <c r="I204" s="151">
        <v>882.56</v>
      </c>
    </row>
    <row r="205" spans="1:9" ht="15" customHeight="1" x14ac:dyDescent="0.25">
      <c r="A205" s="148">
        <v>759</v>
      </c>
      <c r="B205" s="148" t="s">
        <v>955</v>
      </c>
      <c r="C205" s="148" t="s">
        <v>956</v>
      </c>
      <c r="D205" s="148" t="s">
        <v>705</v>
      </c>
      <c r="E205" s="148" t="s">
        <v>727</v>
      </c>
      <c r="F205" s="149">
        <v>16</v>
      </c>
      <c r="G205" s="148" t="s">
        <v>596</v>
      </c>
      <c r="H205" s="150">
        <v>1960.16</v>
      </c>
      <c r="I205" s="151">
        <v>1960.16</v>
      </c>
    </row>
    <row r="206" spans="1:9" ht="15" customHeight="1" x14ac:dyDescent="0.25">
      <c r="A206" s="148">
        <v>765</v>
      </c>
      <c r="B206" s="148" t="s">
        <v>957</v>
      </c>
      <c r="C206" s="148" t="s">
        <v>958</v>
      </c>
      <c r="D206" s="148" t="s">
        <v>606</v>
      </c>
      <c r="E206" s="148" t="s">
        <v>497</v>
      </c>
      <c r="F206" s="149">
        <v>200</v>
      </c>
      <c r="G206" s="148" t="s">
        <v>596</v>
      </c>
      <c r="H206" s="150">
        <v>55672.01</v>
      </c>
      <c r="I206" s="151">
        <v>55672.01</v>
      </c>
    </row>
    <row r="207" spans="1:9" ht="15" customHeight="1" x14ac:dyDescent="0.25">
      <c r="A207" s="148">
        <v>766</v>
      </c>
      <c r="B207" s="148" t="s">
        <v>959</v>
      </c>
      <c r="C207" s="148" t="s">
        <v>960</v>
      </c>
      <c r="D207" s="148" t="s">
        <v>606</v>
      </c>
      <c r="E207" s="148" t="s">
        <v>961</v>
      </c>
      <c r="F207" s="149">
        <v>200</v>
      </c>
      <c r="G207" s="148" t="s">
        <v>591</v>
      </c>
      <c r="H207" s="150">
        <v>84812.66</v>
      </c>
      <c r="I207" s="151">
        <v>84812.66</v>
      </c>
    </row>
    <row r="208" spans="1:9" ht="15" customHeight="1" x14ac:dyDescent="0.25">
      <c r="A208" s="148">
        <v>767</v>
      </c>
      <c r="B208" s="148" t="s">
        <v>523</v>
      </c>
      <c r="C208" s="148" t="s">
        <v>962</v>
      </c>
      <c r="D208" s="148" t="s">
        <v>606</v>
      </c>
      <c r="E208" s="148" t="s">
        <v>961</v>
      </c>
      <c r="F208" s="149">
        <v>19</v>
      </c>
      <c r="G208" s="148" t="s">
        <v>591</v>
      </c>
      <c r="H208" s="150">
        <v>7220.57</v>
      </c>
      <c r="I208" s="151">
        <v>7220.57</v>
      </c>
    </row>
    <row r="209" spans="1:9" ht="15" customHeight="1" x14ac:dyDescent="0.25">
      <c r="A209" s="148">
        <v>770</v>
      </c>
      <c r="B209" s="148" t="s">
        <v>963</v>
      </c>
      <c r="C209" s="148" t="s">
        <v>964</v>
      </c>
      <c r="D209" s="148" t="s">
        <v>606</v>
      </c>
      <c r="E209" s="148" t="s">
        <v>965</v>
      </c>
      <c r="F209" s="149">
        <v>19</v>
      </c>
      <c r="G209" s="148" t="s">
        <v>591</v>
      </c>
      <c r="H209" s="150">
        <v>8350.8700000000008</v>
      </c>
      <c r="I209" s="151">
        <v>8350.8700000000008</v>
      </c>
    </row>
    <row r="210" spans="1:9" ht="15" customHeight="1" x14ac:dyDescent="0.25">
      <c r="A210" s="148">
        <v>771</v>
      </c>
      <c r="B210" s="148" t="s">
        <v>966</v>
      </c>
      <c r="C210" s="148" t="s">
        <v>967</v>
      </c>
      <c r="D210" s="148" t="s">
        <v>606</v>
      </c>
      <c r="E210" s="148" t="s">
        <v>965</v>
      </c>
      <c r="F210" s="149">
        <v>200</v>
      </c>
      <c r="G210" s="148" t="s">
        <v>591</v>
      </c>
      <c r="H210" s="150">
        <v>88030.1</v>
      </c>
      <c r="I210" s="151">
        <v>88030.1</v>
      </c>
    </row>
    <row r="211" spans="1:9" ht="15" customHeight="1" x14ac:dyDescent="0.25">
      <c r="A211" s="148">
        <v>776</v>
      </c>
      <c r="B211" s="148" t="s">
        <v>362</v>
      </c>
      <c r="C211" s="148" t="s">
        <v>968</v>
      </c>
      <c r="D211" s="148" t="s">
        <v>606</v>
      </c>
      <c r="E211" s="148" t="s">
        <v>661</v>
      </c>
      <c r="F211" s="149">
        <v>200</v>
      </c>
      <c r="G211" s="148" t="s">
        <v>591</v>
      </c>
      <c r="H211" s="150">
        <v>20920.689999999999</v>
      </c>
      <c r="I211" s="151">
        <v>20920.689999999999</v>
      </c>
    </row>
    <row r="212" spans="1:9" ht="15" customHeight="1" x14ac:dyDescent="0.25">
      <c r="A212" s="148">
        <v>781</v>
      </c>
      <c r="B212" s="148" t="s">
        <v>527</v>
      </c>
      <c r="C212" s="148" t="s">
        <v>969</v>
      </c>
      <c r="D212" s="148" t="s">
        <v>705</v>
      </c>
      <c r="E212" s="148" t="s">
        <v>894</v>
      </c>
      <c r="F212" s="149">
        <v>170</v>
      </c>
      <c r="G212" s="148" t="s">
        <v>591</v>
      </c>
      <c r="H212" s="150">
        <v>23800.959999999999</v>
      </c>
      <c r="I212" s="151">
        <v>23800.959999999999</v>
      </c>
    </row>
    <row r="213" spans="1:9" ht="15" customHeight="1" x14ac:dyDescent="0.25">
      <c r="A213" s="148">
        <v>809</v>
      </c>
      <c r="B213" s="148" t="s">
        <v>970</v>
      </c>
      <c r="C213" s="148" t="s">
        <v>971</v>
      </c>
      <c r="D213" s="148" t="s">
        <v>594</v>
      </c>
      <c r="E213" s="148" t="s">
        <v>604</v>
      </c>
      <c r="F213" s="149">
        <v>0.95</v>
      </c>
      <c r="G213" s="148" t="s">
        <v>596</v>
      </c>
      <c r="H213" s="150">
        <v>106.1</v>
      </c>
      <c r="I213" s="151">
        <f>H213*15</f>
        <v>1591.5</v>
      </c>
    </row>
    <row r="214" spans="1:9" ht="15" customHeight="1" x14ac:dyDescent="0.25">
      <c r="A214" s="148">
        <v>810</v>
      </c>
      <c r="B214" s="148" t="s">
        <v>972</v>
      </c>
      <c r="C214" s="148" t="s">
        <v>973</v>
      </c>
      <c r="D214" s="148" t="s">
        <v>594</v>
      </c>
      <c r="E214" s="148" t="s">
        <v>604</v>
      </c>
      <c r="F214" s="149">
        <v>5</v>
      </c>
      <c r="G214" s="148" t="s">
        <v>596</v>
      </c>
      <c r="H214" s="150">
        <v>556.6</v>
      </c>
      <c r="I214" s="151">
        <f>H214*4</f>
        <v>2226.4</v>
      </c>
    </row>
    <row r="215" spans="1:9" ht="15" customHeight="1" x14ac:dyDescent="0.25">
      <c r="A215" s="148">
        <v>811</v>
      </c>
      <c r="B215" s="148" t="s">
        <v>974</v>
      </c>
      <c r="C215" s="148" t="s">
        <v>975</v>
      </c>
      <c r="D215" s="148" t="s">
        <v>594</v>
      </c>
      <c r="E215" s="148" t="s">
        <v>604</v>
      </c>
      <c r="F215" s="149">
        <v>0.95</v>
      </c>
      <c r="G215" s="148" t="s">
        <v>596</v>
      </c>
      <c r="H215" s="150">
        <v>106.02</v>
      </c>
      <c r="I215" s="151">
        <f>H215*15</f>
        <v>1590.3</v>
      </c>
    </row>
    <row r="216" spans="1:9" ht="15" customHeight="1" x14ac:dyDescent="0.25">
      <c r="A216" s="148">
        <v>812</v>
      </c>
      <c r="B216" s="148" t="s">
        <v>976</v>
      </c>
      <c r="C216" s="148" t="s">
        <v>977</v>
      </c>
      <c r="D216" s="148" t="s">
        <v>594</v>
      </c>
      <c r="E216" s="148" t="s">
        <v>604</v>
      </c>
      <c r="F216" s="149">
        <v>5</v>
      </c>
      <c r="G216" s="148" t="s">
        <v>596</v>
      </c>
      <c r="H216" s="150">
        <v>552.80999999999995</v>
      </c>
      <c r="I216" s="151">
        <f>H216*4</f>
        <v>2211.2399999999998</v>
      </c>
    </row>
    <row r="217" spans="1:9" ht="15" customHeight="1" x14ac:dyDescent="0.25">
      <c r="A217" s="148">
        <v>813</v>
      </c>
      <c r="B217" s="148" t="s">
        <v>978</v>
      </c>
      <c r="C217" s="148" t="s">
        <v>979</v>
      </c>
      <c r="D217" s="148" t="s">
        <v>594</v>
      </c>
      <c r="E217" s="148" t="s">
        <v>604</v>
      </c>
      <c r="F217" s="149">
        <v>19</v>
      </c>
      <c r="G217" s="148" t="s">
        <v>596</v>
      </c>
      <c r="H217" s="150">
        <v>2019.52</v>
      </c>
      <c r="I217" s="151">
        <v>2019.52</v>
      </c>
    </row>
    <row r="218" spans="1:9" ht="15" customHeight="1" x14ac:dyDescent="0.25">
      <c r="A218" s="148">
        <v>814</v>
      </c>
      <c r="B218" s="148" t="s">
        <v>980</v>
      </c>
      <c r="C218" s="148" t="s">
        <v>981</v>
      </c>
      <c r="D218" s="148" t="s">
        <v>594</v>
      </c>
      <c r="E218" s="148" t="s">
        <v>604</v>
      </c>
      <c r="F218" s="149">
        <v>200</v>
      </c>
      <c r="G218" s="148" t="s">
        <v>596</v>
      </c>
      <c r="H218" s="150">
        <v>20975.48</v>
      </c>
      <c r="I218" s="151">
        <v>20975.48</v>
      </c>
    </row>
    <row r="219" spans="1:9" ht="15" customHeight="1" x14ac:dyDescent="0.25">
      <c r="A219" s="148">
        <v>816</v>
      </c>
      <c r="B219" s="148" t="s">
        <v>982</v>
      </c>
      <c r="C219" s="148" t="s">
        <v>983</v>
      </c>
      <c r="D219" s="148" t="s">
        <v>594</v>
      </c>
      <c r="E219" s="148" t="s">
        <v>604</v>
      </c>
      <c r="F219" s="149">
        <v>19</v>
      </c>
      <c r="G219" s="148" t="s">
        <v>596</v>
      </c>
      <c r="H219" s="150">
        <v>2017.98</v>
      </c>
      <c r="I219" s="151">
        <v>2017.98</v>
      </c>
    </row>
    <row r="220" spans="1:9" ht="15" customHeight="1" x14ac:dyDescent="0.25">
      <c r="A220" s="148">
        <v>822</v>
      </c>
      <c r="B220" s="148" t="s">
        <v>984</v>
      </c>
      <c r="C220" s="148" t="s">
        <v>985</v>
      </c>
      <c r="D220" s="148" t="s">
        <v>594</v>
      </c>
      <c r="E220" s="148" t="s">
        <v>986</v>
      </c>
      <c r="F220" s="149">
        <v>200</v>
      </c>
      <c r="G220" s="148" t="s">
        <v>596</v>
      </c>
      <c r="H220" s="150">
        <v>21028.12</v>
      </c>
      <c r="I220" s="151">
        <v>21028.12</v>
      </c>
    </row>
    <row r="221" spans="1:9" ht="15" customHeight="1" x14ac:dyDescent="0.25">
      <c r="A221" s="148">
        <v>823</v>
      </c>
      <c r="B221" s="148" t="s">
        <v>361</v>
      </c>
      <c r="C221" s="148" t="s">
        <v>987</v>
      </c>
      <c r="D221" s="148" t="s">
        <v>606</v>
      </c>
      <c r="E221" s="148" t="s">
        <v>661</v>
      </c>
      <c r="F221" s="149">
        <v>19</v>
      </c>
      <c r="G221" s="148" t="s">
        <v>591</v>
      </c>
      <c r="H221" s="150">
        <v>1977.63</v>
      </c>
      <c r="I221" s="151">
        <v>1977.63</v>
      </c>
    </row>
    <row r="222" spans="1:9" ht="15" customHeight="1" x14ac:dyDescent="0.25">
      <c r="A222" s="148">
        <v>824</v>
      </c>
      <c r="B222" s="148" t="s">
        <v>988</v>
      </c>
      <c r="C222" s="148" t="s">
        <v>989</v>
      </c>
      <c r="D222" s="148" t="s">
        <v>594</v>
      </c>
      <c r="E222" s="148" t="s">
        <v>604</v>
      </c>
      <c r="F222" s="149">
        <v>5</v>
      </c>
      <c r="G222" s="148" t="s">
        <v>596</v>
      </c>
      <c r="H222" s="150">
        <v>555.33000000000004</v>
      </c>
      <c r="I222" s="151">
        <f>H222*4</f>
        <v>2221.3200000000002</v>
      </c>
    </row>
    <row r="223" spans="1:9" ht="15" customHeight="1" x14ac:dyDescent="0.25">
      <c r="A223" s="148">
        <v>825</v>
      </c>
      <c r="B223" s="148" t="s">
        <v>990</v>
      </c>
      <c r="C223" s="148" t="s">
        <v>991</v>
      </c>
      <c r="D223" s="148" t="s">
        <v>594</v>
      </c>
      <c r="E223" s="148" t="s">
        <v>604</v>
      </c>
      <c r="F223" s="149">
        <v>0.95</v>
      </c>
      <c r="G223" s="148" t="s">
        <v>596</v>
      </c>
      <c r="H223" s="150">
        <v>105.93</v>
      </c>
      <c r="I223" s="151">
        <f>H223*15</f>
        <v>1588.95</v>
      </c>
    </row>
    <row r="224" spans="1:9" ht="15" customHeight="1" x14ac:dyDescent="0.25">
      <c r="A224" s="148">
        <v>827</v>
      </c>
      <c r="B224" s="148" t="s">
        <v>992</v>
      </c>
      <c r="C224" s="148" t="s">
        <v>993</v>
      </c>
      <c r="D224" s="148" t="s">
        <v>594</v>
      </c>
      <c r="E224" s="148" t="s">
        <v>986</v>
      </c>
      <c r="F224" s="149">
        <v>0.95</v>
      </c>
      <c r="G224" s="148" t="s">
        <v>596</v>
      </c>
      <c r="H224" s="150">
        <v>102.78</v>
      </c>
      <c r="I224" s="151">
        <f>H224*15</f>
        <v>1541.7</v>
      </c>
    </row>
    <row r="225" spans="1:9" ht="15" customHeight="1" x14ac:dyDescent="0.25">
      <c r="A225" s="148">
        <v>831</v>
      </c>
      <c r="B225" s="148" t="s">
        <v>994</v>
      </c>
      <c r="C225" s="148" t="s">
        <v>995</v>
      </c>
      <c r="D225" s="148" t="s">
        <v>600</v>
      </c>
      <c r="E225" s="148" t="s">
        <v>996</v>
      </c>
      <c r="F225" s="149">
        <v>0.25</v>
      </c>
      <c r="G225" s="148" t="s">
        <v>596</v>
      </c>
      <c r="H225" s="150">
        <v>41.26</v>
      </c>
      <c r="I225" s="151">
        <f>H225*6</f>
        <v>247.56</v>
      </c>
    </row>
    <row r="226" spans="1:9" ht="15" customHeight="1" x14ac:dyDescent="0.25">
      <c r="A226" s="148">
        <v>833</v>
      </c>
      <c r="B226" s="148" t="s">
        <v>997</v>
      </c>
      <c r="C226" s="148" t="s">
        <v>998</v>
      </c>
      <c r="D226" s="148" t="s">
        <v>594</v>
      </c>
      <c r="E226" s="148" t="s">
        <v>604</v>
      </c>
      <c r="F226" s="149">
        <v>19</v>
      </c>
      <c r="G226" s="148" t="s">
        <v>596</v>
      </c>
      <c r="H226" s="150">
        <v>2014.73</v>
      </c>
      <c r="I226" s="151">
        <v>2014.73</v>
      </c>
    </row>
    <row r="227" spans="1:9" ht="15" customHeight="1" x14ac:dyDescent="0.25">
      <c r="A227" s="148">
        <v>835</v>
      </c>
      <c r="B227" s="148" t="s">
        <v>999</v>
      </c>
      <c r="C227" s="148" t="s">
        <v>1000</v>
      </c>
      <c r="D227" s="148" t="s">
        <v>594</v>
      </c>
      <c r="E227" s="148" t="s">
        <v>986</v>
      </c>
      <c r="F227" s="149">
        <v>19</v>
      </c>
      <c r="G227" s="148" t="s">
        <v>596</v>
      </c>
      <c r="H227" s="150">
        <v>1962.24</v>
      </c>
      <c r="I227" s="151">
        <v>1962.24</v>
      </c>
    </row>
    <row r="228" spans="1:9" ht="15" customHeight="1" x14ac:dyDescent="0.25">
      <c r="A228" s="148">
        <v>837</v>
      </c>
      <c r="B228" s="148" t="s">
        <v>1001</v>
      </c>
      <c r="C228" s="148" t="s">
        <v>1002</v>
      </c>
      <c r="D228" s="148" t="s">
        <v>594</v>
      </c>
      <c r="E228" s="148" t="s">
        <v>604</v>
      </c>
      <c r="F228" s="149">
        <v>19</v>
      </c>
      <c r="G228" s="148" t="s">
        <v>596</v>
      </c>
      <c r="H228" s="150">
        <v>2007.48</v>
      </c>
      <c r="I228" s="151">
        <v>2007.48</v>
      </c>
    </row>
    <row r="229" spans="1:9" ht="15" customHeight="1" x14ac:dyDescent="0.25">
      <c r="A229" s="148">
        <v>838</v>
      </c>
      <c r="B229" s="148" t="s">
        <v>1003</v>
      </c>
      <c r="C229" s="148" t="s">
        <v>1004</v>
      </c>
      <c r="D229" s="148" t="s">
        <v>594</v>
      </c>
      <c r="E229" s="148" t="s">
        <v>604</v>
      </c>
      <c r="F229" s="149">
        <v>200</v>
      </c>
      <c r="G229" s="148" t="s">
        <v>596</v>
      </c>
      <c r="H229" s="150">
        <v>20848.95</v>
      </c>
      <c r="I229" s="151">
        <v>20848.95</v>
      </c>
    </row>
    <row r="230" spans="1:9" ht="15" customHeight="1" x14ac:dyDescent="0.25">
      <c r="A230" s="148">
        <v>858</v>
      </c>
      <c r="B230" s="148" t="s">
        <v>1005</v>
      </c>
      <c r="C230" s="148" t="s">
        <v>1006</v>
      </c>
      <c r="D230" s="148" t="s">
        <v>630</v>
      </c>
      <c r="E230" s="148" t="s">
        <v>830</v>
      </c>
      <c r="F230" s="149">
        <v>0.95</v>
      </c>
      <c r="G230" s="148" t="s">
        <v>596</v>
      </c>
      <c r="H230" s="150">
        <v>88.26</v>
      </c>
      <c r="I230" s="151">
        <f>H230*16</f>
        <v>1412.16</v>
      </c>
    </row>
    <row r="231" spans="1:9" ht="15" customHeight="1" x14ac:dyDescent="0.25">
      <c r="A231" s="148">
        <v>889</v>
      </c>
      <c r="B231" s="148" t="s">
        <v>1007</v>
      </c>
      <c r="C231" s="148" t="s">
        <v>1008</v>
      </c>
      <c r="D231" s="148" t="s">
        <v>630</v>
      </c>
      <c r="E231" s="148" t="s">
        <v>1009</v>
      </c>
      <c r="F231" s="149">
        <v>1</v>
      </c>
      <c r="G231" s="148" t="s">
        <v>591</v>
      </c>
      <c r="H231" s="150">
        <v>158.75</v>
      </c>
      <c r="I231" s="151">
        <f>H231*1000</f>
        <v>158750</v>
      </c>
    </row>
    <row r="232" spans="1:9" ht="15" customHeight="1" x14ac:dyDescent="0.25">
      <c r="A232" s="148">
        <v>897</v>
      </c>
      <c r="B232" s="148" t="s">
        <v>1010</v>
      </c>
      <c r="C232" s="148" t="s">
        <v>1011</v>
      </c>
      <c r="D232" s="148" t="s">
        <v>594</v>
      </c>
      <c r="E232" s="148" t="s">
        <v>1012</v>
      </c>
      <c r="F232" s="149">
        <v>0.95</v>
      </c>
      <c r="G232" s="148" t="s">
        <v>596</v>
      </c>
      <c r="H232" s="150">
        <v>136.91999999999999</v>
      </c>
      <c r="I232" s="151">
        <f>H232*15</f>
        <v>2053.7999999999997</v>
      </c>
    </row>
    <row r="233" spans="1:9" ht="15" customHeight="1" x14ac:dyDescent="0.25">
      <c r="A233" s="148">
        <v>898</v>
      </c>
      <c r="B233" s="148" t="s">
        <v>1013</v>
      </c>
      <c r="C233" s="148" t="s">
        <v>1014</v>
      </c>
      <c r="D233" s="148" t="s">
        <v>594</v>
      </c>
      <c r="E233" s="148" t="s">
        <v>1012</v>
      </c>
      <c r="F233" s="149">
        <v>19</v>
      </c>
      <c r="G233" s="148" t="s">
        <v>591</v>
      </c>
      <c r="H233" s="150">
        <v>2705.2</v>
      </c>
      <c r="I233" s="151">
        <v>2705.2</v>
      </c>
    </row>
    <row r="234" spans="1:9" ht="15" customHeight="1" x14ac:dyDescent="0.25">
      <c r="A234" s="148">
        <v>899</v>
      </c>
      <c r="B234" s="148" t="s">
        <v>1015</v>
      </c>
      <c r="C234" s="148" t="s">
        <v>1016</v>
      </c>
      <c r="D234" s="148" t="s">
        <v>594</v>
      </c>
      <c r="E234" s="148" t="s">
        <v>1012</v>
      </c>
      <c r="F234" s="149">
        <v>200</v>
      </c>
      <c r="G234" s="148" t="s">
        <v>591</v>
      </c>
      <c r="H234" s="150">
        <v>28167.87</v>
      </c>
      <c r="I234" s="151">
        <v>28167.87</v>
      </c>
    </row>
    <row r="235" spans="1:9" ht="15" customHeight="1" x14ac:dyDescent="0.25">
      <c r="A235" s="148">
        <v>902</v>
      </c>
      <c r="B235" s="148" t="s">
        <v>380</v>
      </c>
      <c r="C235" s="148" t="s">
        <v>1017</v>
      </c>
      <c r="D235" s="148" t="s">
        <v>694</v>
      </c>
      <c r="E235" s="148" t="s">
        <v>695</v>
      </c>
      <c r="F235" s="149">
        <v>19</v>
      </c>
      <c r="G235" s="148" t="s">
        <v>591</v>
      </c>
      <c r="H235" s="150">
        <v>2261.34</v>
      </c>
      <c r="I235" s="151">
        <v>2261.34</v>
      </c>
    </row>
    <row r="236" spans="1:9" ht="15" customHeight="1" x14ac:dyDescent="0.25">
      <c r="A236" s="148">
        <v>903</v>
      </c>
      <c r="B236" s="148" t="s">
        <v>381</v>
      </c>
      <c r="C236" s="148" t="s">
        <v>1018</v>
      </c>
      <c r="D236" s="148" t="s">
        <v>694</v>
      </c>
      <c r="E236" s="148" t="s">
        <v>695</v>
      </c>
      <c r="F236" s="149">
        <v>200</v>
      </c>
      <c r="G236" s="148" t="s">
        <v>591</v>
      </c>
      <c r="H236" s="150">
        <v>23683.84</v>
      </c>
      <c r="I236" s="151">
        <v>23683.84</v>
      </c>
    </row>
    <row r="237" spans="1:9" ht="15" customHeight="1" x14ac:dyDescent="0.25">
      <c r="A237" s="148">
        <v>904</v>
      </c>
      <c r="B237" s="148" t="s">
        <v>1019</v>
      </c>
      <c r="C237" s="148" t="s">
        <v>1020</v>
      </c>
      <c r="D237" s="148" t="s">
        <v>694</v>
      </c>
      <c r="E237" s="148" t="s">
        <v>698</v>
      </c>
      <c r="F237" s="149">
        <v>1</v>
      </c>
      <c r="G237" s="148" t="s">
        <v>591</v>
      </c>
      <c r="H237" s="150">
        <v>115.36</v>
      </c>
      <c r="I237" s="151">
        <f>H237*1000</f>
        <v>115360</v>
      </c>
    </row>
    <row r="238" spans="1:9" ht="15" customHeight="1" x14ac:dyDescent="0.25">
      <c r="A238" s="148">
        <v>960</v>
      </c>
      <c r="B238" s="148" t="s">
        <v>378</v>
      </c>
      <c r="C238" s="148" t="s">
        <v>1021</v>
      </c>
      <c r="D238" s="148" t="s">
        <v>694</v>
      </c>
      <c r="E238" s="148" t="s">
        <v>927</v>
      </c>
      <c r="F238" s="149">
        <v>19</v>
      </c>
      <c r="G238" s="148" t="s">
        <v>591</v>
      </c>
      <c r="H238" s="150">
        <v>1734.71</v>
      </c>
      <c r="I238" s="151">
        <v>1734.71</v>
      </c>
    </row>
    <row r="239" spans="1:9" ht="15" customHeight="1" x14ac:dyDescent="0.25">
      <c r="A239" s="148">
        <v>961</v>
      </c>
      <c r="B239" s="148" t="s">
        <v>379</v>
      </c>
      <c r="C239" s="148" t="s">
        <v>1022</v>
      </c>
      <c r="D239" s="148" t="s">
        <v>694</v>
      </c>
      <c r="E239" s="148" t="s">
        <v>927</v>
      </c>
      <c r="F239" s="149">
        <v>200</v>
      </c>
      <c r="G239" s="148" t="s">
        <v>591</v>
      </c>
      <c r="H239" s="150">
        <v>18166.23</v>
      </c>
      <c r="I239" s="151">
        <v>18166.23</v>
      </c>
    </row>
    <row r="240" spans="1:9" ht="15" customHeight="1" x14ac:dyDescent="0.25">
      <c r="A240" s="148">
        <v>1012</v>
      </c>
      <c r="B240" s="148" t="s">
        <v>1023</v>
      </c>
      <c r="C240" s="148" t="s">
        <v>1024</v>
      </c>
      <c r="D240" s="148" t="s">
        <v>1025</v>
      </c>
      <c r="E240" s="148" t="s">
        <v>1026</v>
      </c>
      <c r="F240" s="149">
        <v>19</v>
      </c>
      <c r="G240" s="148" t="s">
        <v>596</v>
      </c>
      <c r="H240" s="150">
        <v>1979.93</v>
      </c>
      <c r="I240" s="151">
        <v>1979.93</v>
      </c>
    </row>
    <row r="241" spans="1:9" ht="15" customHeight="1" x14ac:dyDescent="0.25">
      <c r="A241" s="148">
        <v>1090</v>
      </c>
      <c r="B241" s="148" t="s">
        <v>1027</v>
      </c>
      <c r="C241" s="148" t="s">
        <v>1028</v>
      </c>
      <c r="D241" s="148" t="s">
        <v>705</v>
      </c>
      <c r="E241" s="148" t="s">
        <v>713</v>
      </c>
      <c r="F241" s="149">
        <v>7</v>
      </c>
      <c r="G241" s="148" t="s">
        <v>591</v>
      </c>
      <c r="H241" s="150">
        <v>792.14</v>
      </c>
      <c r="I241" s="151">
        <v>792.14</v>
      </c>
    </row>
    <row r="242" spans="1:9" ht="15" customHeight="1" x14ac:dyDescent="0.25">
      <c r="A242" s="148">
        <v>1091</v>
      </c>
      <c r="B242" s="148" t="s">
        <v>1029</v>
      </c>
      <c r="C242" s="148" t="s">
        <v>1030</v>
      </c>
      <c r="D242" s="148" t="s">
        <v>705</v>
      </c>
      <c r="E242" s="148" t="s">
        <v>713</v>
      </c>
      <c r="F242" s="149">
        <v>7</v>
      </c>
      <c r="G242" s="148" t="s">
        <v>591</v>
      </c>
      <c r="H242" s="150">
        <v>793.04</v>
      </c>
      <c r="I242" s="151">
        <v>793.04</v>
      </c>
    </row>
    <row r="243" spans="1:9" ht="15" customHeight="1" x14ac:dyDescent="0.25">
      <c r="A243" s="148">
        <v>1098</v>
      </c>
      <c r="B243" s="148" t="s">
        <v>422</v>
      </c>
      <c r="C243" s="148" t="s">
        <v>1031</v>
      </c>
      <c r="D243" s="148" t="s">
        <v>589</v>
      </c>
      <c r="E243" s="148" t="s">
        <v>590</v>
      </c>
      <c r="F243" s="149">
        <v>200</v>
      </c>
      <c r="G243" s="148" t="s">
        <v>591</v>
      </c>
      <c r="H243" s="150">
        <v>9109.77</v>
      </c>
      <c r="I243" s="151">
        <v>9109.77</v>
      </c>
    </row>
    <row r="244" spans="1:9" ht="15" customHeight="1" x14ac:dyDescent="0.25">
      <c r="A244" s="148">
        <v>1099</v>
      </c>
      <c r="B244" s="148" t="s">
        <v>458</v>
      </c>
      <c r="C244" s="148" t="s">
        <v>1032</v>
      </c>
      <c r="D244" s="148" t="s">
        <v>589</v>
      </c>
      <c r="E244" s="148" t="s">
        <v>590</v>
      </c>
      <c r="F244" s="149">
        <v>1</v>
      </c>
      <c r="G244" s="148" t="s">
        <v>591</v>
      </c>
      <c r="H244" s="150">
        <v>40.200000000000003</v>
      </c>
      <c r="I244" s="151">
        <f>H244*1000</f>
        <v>40200</v>
      </c>
    </row>
    <row r="245" spans="1:9" ht="15" customHeight="1" x14ac:dyDescent="0.25">
      <c r="A245" s="148">
        <v>1107</v>
      </c>
      <c r="B245" s="148" t="s">
        <v>563</v>
      </c>
      <c r="C245" s="148" t="s">
        <v>1033</v>
      </c>
      <c r="D245" s="148" t="s">
        <v>630</v>
      </c>
      <c r="E245" s="148" t="s">
        <v>812</v>
      </c>
      <c r="F245" s="149">
        <v>19</v>
      </c>
      <c r="G245" s="148" t="s">
        <v>596</v>
      </c>
      <c r="H245" s="150">
        <v>4142.5</v>
      </c>
      <c r="I245" s="151">
        <v>4142.5</v>
      </c>
    </row>
    <row r="246" spans="1:9" ht="15" customHeight="1" x14ac:dyDescent="0.25">
      <c r="A246" s="148">
        <v>1108</v>
      </c>
      <c r="B246" s="148" t="s">
        <v>1034</v>
      </c>
      <c r="C246" s="148" t="s">
        <v>1035</v>
      </c>
      <c r="D246" s="148" t="s">
        <v>630</v>
      </c>
      <c r="E246" s="148" t="s">
        <v>812</v>
      </c>
      <c r="F246" s="149">
        <v>200</v>
      </c>
      <c r="G246" s="148" t="s">
        <v>591</v>
      </c>
      <c r="H246" s="150">
        <v>43508.17</v>
      </c>
      <c r="I246" s="151">
        <v>43508.17</v>
      </c>
    </row>
    <row r="247" spans="1:9" ht="15" customHeight="1" x14ac:dyDescent="0.25">
      <c r="A247" s="148">
        <v>1135</v>
      </c>
      <c r="B247" s="148" t="s">
        <v>452</v>
      </c>
      <c r="C247" s="148" t="s">
        <v>1036</v>
      </c>
      <c r="D247" s="148" t="s">
        <v>630</v>
      </c>
      <c r="E247" s="148" t="s">
        <v>631</v>
      </c>
      <c r="F247" s="149">
        <v>1</v>
      </c>
      <c r="G247" s="148" t="s">
        <v>591</v>
      </c>
      <c r="H247" s="150">
        <v>81.92</v>
      </c>
      <c r="I247" s="151">
        <f>H247*1000</f>
        <v>81920</v>
      </c>
    </row>
    <row r="248" spans="1:9" ht="15" customHeight="1" x14ac:dyDescent="0.25">
      <c r="A248" s="148">
        <v>1139</v>
      </c>
      <c r="B248" s="148" t="s">
        <v>454</v>
      </c>
      <c r="C248" s="148" t="s">
        <v>1037</v>
      </c>
      <c r="D248" s="148" t="s">
        <v>630</v>
      </c>
      <c r="E248" s="148" t="s">
        <v>835</v>
      </c>
      <c r="F248" s="149">
        <v>1</v>
      </c>
      <c r="G248" s="148" t="s">
        <v>591</v>
      </c>
      <c r="H248" s="150">
        <v>99.11</v>
      </c>
      <c r="I248" s="151">
        <f t="shared" ref="I248:I253" si="1">H248*1000</f>
        <v>99110</v>
      </c>
    </row>
    <row r="249" spans="1:9" ht="15" customHeight="1" x14ac:dyDescent="0.25">
      <c r="A249" s="148">
        <v>1140</v>
      </c>
      <c r="B249" s="148" t="s">
        <v>453</v>
      </c>
      <c r="C249" s="148" t="s">
        <v>1038</v>
      </c>
      <c r="D249" s="148" t="s">
        <v>630</v>
      </c>
      <c r="E249" s="148" t="s">
        <v>631</v>
      </c>
      <c r="F249" s="149">
        <v>1</v>
      </c>
      <c r="G249" s="148" t="s">
        <v>591</v>
      </c>
      <c r="H249" s="150">
        <v>82.07</v>
      </c>
      <c r="I249" s="151">
        <f t="shared" si="1"/>
        <v>82070</v>
      </c>
    </row>
    <row r="250" spans="1:9" ht="15" customHeight="1" x14ac:dyDescent="0.25">
      <c r="A250" s="148">
        <v>1162</v>
      </c>
      <c r="B250" s="148" t="s">
        <v>1039</v>
      </c>
      <c r="C250" s="148" t="s">
        <v>1040</v>
      </c>
      <c r="D250" s="148" t="s">
        <v>594</v>
      </c>
      <c r="E250" s="148" t="s">
        <v>1012</v>
      </c>
      <c r="F250" s="149">
        <v>1</v>
      </c>
      <c r="G250" s="148" t="s">
        <v>591</v>
      </c>
      <c r="H250" s="150">
        <v>134.65</v>
      </c>
      <c r="I250" s="151">
        <f t="shared" si="1"/>
        <v>134650</v>
      </c>
    </row>
    <row r="251" spans="1:9" ht="15" customHeight="1" x14ac:dyDescent="0.25">
      <c r="A251" s="148">
        <v>1167</v>
      </c>
      <c r="B251" s="148" t="s">
        <v>549</v>
      </c>
      <c r="C251" s="148" t="s">
        <v>1041</v>
      </c>
      <c r="D251" s="148" t="s">
        <v>630</v>
      </c>
      <c r="E251" s="148" t="s">
        <v>1042</v>
      </c>
      <c r="F251" s="149">
        <v>1</v>
      </c>
      <c r="G251" s="148" t="s">
        <v>591</v>
      </c>
      <c r="H251" s="150">
        <v>106.94</v>
      </c>
      <c r="I251" s="151">
        <f t="shared" si="1"/>
        <v>106940</v>
      </c>
    </row>
    <row r="252" spans="1:9" ht="15" customHeight="1" x14ac:dyDescent="0.25">
      <c r="A252" s="148">
        <v>1169</v>
      </c>
      <c r="B252" s="148" t="s">
        <v>551</v>
      </c>
      <c r="C252" s="148" t="s">
        <v>1043</v>
      </c>
      <c r="D252" s="148" t="s">
        <v>606</v>
      </c>
      <c r="E252" s="148" t="s">
        <v>615</v>
      </c>
      <c r="F252" s="149">
        <v>1</v>
      </c>
      <c r="G252" s="148" t="s">
        <v>591</v>
      </c>
      <c r="H252" s="150">
        <v>89.83</v>
      </c>
      <c r="I252" s="151">
        <f t="shared" si="1"/>
        <v>89830</v>
      </c>
    </row>
    <row r="253" spans="1:9" ht="15" customHeight="1" x14ac:dyDescent="0.25">
      <c r="A253" s="148">
        <v>1170</v>
      </c>
      <c r="B253" s="148" t="s">
        <v>1044</v>
      </c>
      <c r="C253" s="148" t="s">
        <v>1045</v>
      </c>
      <c r="D253" s="148" t="s">
        <v>606</v>
      </c>
      <c r="E253" s="148" t="s">
        <v>661</v>
      </c>
      <c r="F253" s="149">
        <v>1</v>
      </c>
      <c r="G253" s="148" t="s">
        <v>591</v>
      </c>
      <c r="H253" s="150">
        <v>97.8</v>
      </c>
      <c r="I253" s="151">
        <f t="shared" si="1"/>
        <v>97800</v>
      </c>
    </row>
    <row r="254" spans="1:9" ht="15" customHeight="1" x14ac:dyDescent="0.25">
      <c r="A254" s="148">
        <v>1197</v>
      </c>
      <c r="B254" s="148" t="s">
        <v>1046</v>
      </c>
      <c r="C254" s="148" t="s">
        <v>1047</v>
      </c>
      <c r="D254" s="148" t="s">
        <v>594</v>
      </c>
      <c r="E254" s="148" t="s">
        <v>776</v>
      </c>
      <c r="F254" s="149">
        <v>200</v>
      </c>
      <c r="G254" s="148" t="s">
        <v>596</v>
      </c>
      <c r="H254" s="150">
        <v>21618.13</v>
      </c>
      <c r="I254" s="151">
        <v>21618.13</v>
      </c>
    </row>
    <row r="255" spans="1:9" ht="15" customHeight="1" x14ac:dyDescent="0.25">
      <c r="A255" s="148">
        <v>1198</v>
      </c>
      <c r="B255" s="148" t="s">
        <v>320</v>
      </c>
      <c r="C255" s="148" t="s">
        <v>1048</v>
      </c>
      <c r="D255" s="148" t="s">
        <v>630</v>
      </c>
      <c r="E255" s="148" t="s">
        <v>886</v>
      </c>
      <c r="F255" s="149">
        <v>19</v>
      </c>
      <c r="G255" s="148" t="s">
        <v>591</v>
      </c>
      <c r="H255" s="150">
        <v>2010.72</v>
      </c>
      <c r="I255" s="151">
        <v>2010.72</v>
      </c>
    </row>
    <row r="256" spans="1:9" ht="15" customHeight="1" x14ac:dyDescent="0.25">
      <c r="A256" s="148">
        <v>1199</v>
      </c>
      <c r="B256" s="148" t="s">
        <v>321</v>
      </c>
      <c r="C256" s="148" t="s">
        <v>1049</v>
      </c>
      <c r="D256" s="148" t="s">
        <v>630</v>
      </c>
      <c r="E256" s="148" t="s">
        <v>886</v>
      </c>
      <c r="F256" s="149">
        <v>200</v>
      </c>
      <c r="G256" s="148" t="s">
        <v>591</v>
      </c>
      <c r="H256" s="150">
        <v>21265.87</v>
      </c>
      <c r="I256" s="151">
        <v>21265.87</v>
      </c>
    </row>
    <row r="257" spans="1:9" ht="15" customHeight="1" x14ac:dyDescent="0.25">
      <c r="A257" s="148">
        <v>1202</v>
      </c>
      <c r="B257" s="148" t="s">
        <v>457</v>
      </c>
      <c r="C257" s="148" t="s">
        <v>1050</v>
      </c>
      <c r="D257" s="148" t="s">
        <v>694</v>
      </c>
      <c r="E257" s="148" t="s">
        <v>927</v>
      </c>
      <c r="F257" s="149">
        <v>1</v>
      </c>
      <c r="G257" s="148" t="s">
        <v>591</v>
      </c>
      <c r="H257" s="150">
        <v>84.59</v>
      </c>
      <c r="I257" s="151">
        <f>H257*1000</f>
        <v>84590</v>
      </c>
    </row>
    <row r="258" spans="1:9" ht="15" customHeight="1" x14ac:dyDescent="0.25">
      <c r="A258" s="148">
        <v>1208</v>
      </c>
      <c r="B258" s="148" t="s">
        <v>455</v>
      </c>
      <c r="C258" s="148" t="s">
        <v>1051</v>
      </c>
      <c r="D258" s="148" t="s">
        <v>606</v>
      </c>
      <c r="E258" s="148" t="s">
        <v>848</v>
      </c>
      <c r="F258" s="149">
        <v>1</v>
      </c>
      <c r="G258" s="148" t="s">
        <v>591</v>
      </c>
      <c r="H258" s="150">
        <v>82.85</v>
      </c>
      <c r="I258" s="151">
        <f>H258*1000</f>
        <v>82850</v>
      </c>
    </row>
    <row r="259" spans="1:9" ht="15" customHeight="1" x14ac:dyDescent="0.25">
      <c r="A259" s="148">
        <v>1212</v>
      </c>
      <c r="B259" s="148" t="s">
        <v>1052</v>
      </c>
      <c r="C259" s="148" t="s">
        <v>1053</v>
      </c>
      <c r="D259" s="148" t="s">
        <v>589</v>
      </c>
      <c r="E259" s="148" t="s">
        <v>590</v>
      </c>
      <c r="F259" s="149">
        <v>3.7850000000000001</v>
      </c>
      <c r="G259" s="148" t="s">
        <v>596</v>
      </c>
      <c r="H259" s="150">
        <v>195.51</v>
      </c>
      <c r="I259" s="151">
        <f>H259*4</f>
        <v>782.04</v>
      </c>
    </row>
    <row r="260" spans="1:9" ht="15" customHeight="1" x14ac:dyDescent="0.25">
      <c r="A260" s="148">
        <v>1213</v>
      </c>
      <c r="B260" s="148" t="s">
        <v>446</v>
      </c>
      <c r="C260" s="148" t="s">
        <v>1054</v>
      </c>
      <c r="D260" s="148" t="s">
        <v>606</v>
      </c>
      <c r="E260" s="148" t="s">
        <v>607</v>
      </c>
      <c r="F260" s="149">
        <v>200</v>
      </c>
      <c r="G260" s="148" t="s">
        <v>591</v>
      </c>
      <c r="H260" s="150">
        <v>22412.39</v>
      </c>
      <c r="I260" s="151">
        <v>22412.39</v>
      </c>
    </row>
    <row r="261" spans="1:9" ht="15" customHeight="1" x14ac:dyDescent="0.25">
      <c r="A261" s="148">
        <v>1214</v>
      </c>
      <c r="B261" s="148" t="s">
        <v>447</v>
      </c>
      <c r="C261" s="148" t="s">
        <v>1055</v>
      </c>
      <c r="D261" s="148" t="s">
        <v>606</v>
      </c>
      <c r="E261" s="148" t="s">
        <v>607</v>
      </c>
      <c r="F261" s="149">
        <v>200</v>
      </c>
      <c r="G261" s="148" t="s">
        <v>591</v>
      </c>
      <c r="H261" s="150">
        <v>23068.240000000002</v>
      </c>
      <c r="I261" s="151">
        <v>23068.240000000002</v>
      </c>
    </row>
    <row r="262" spans="1:9" ht="15" customHeight="1" x14ac:dyDescent="0.25">
      <c r="A262" s="148">
        <v>1215</v>
      </c>
      <c r="B262" s="148" t="s">
        <v>451</v>
      </c>
      <c r="C262" s="148" t="s">
        <v>1056</v>
      </c>
      <c r="D262" s="148" t="s">
        <v>606</v>
      </c>
      <c r="E262" s="148" t="s">
        <v>607</v>
      </c>
      <c r="F262" s="149">
        <v>200</v>
      </c>
      <c r="G262" s="148" t="s">
        <v>591</v>
      </c>
      <c r="H262" s="150">
        <v>23178.99</v>
      </c>
      <c r="I262" s="151">
        <v>23178.99</v>
      </c>
    </row>
    <row r="263" spans="1:9" ht="15" customHeight="1" x14ac:dyDescent="0.25">
      <c r="A263" s="148">
        <v>1216</v>
      </c>
      <c r="B263" s="148" t="s">
        <v>1057</v>
      </c>
      <c r="C263" s="148" t="s">
        <v>1058</v>
      </c>
      <c r="D263" s="148" t="s">
        <v>630</v>
      </c>
      <c r="E263" s="148" t="s">
        <v>1059</v>
      </c>
      <c r="F263" s="149">
        <v>200</v>
      </c>
      <c r="G263" s="148" t="s">
        <v>596</v>
      </c>
      <c r="H263" s="150">
        <v>21009.22</v>
      </c>
      <c r="I263" s="151">
        <v>21009.22</v>
      </c>
    </row>
    <row r="264" spans="1:9" ht="15" customHeight="1" x14ac:dyDescent="0.25">
      <c r="A264" s="148">
        <v>1217</v>
      </c>
      <c r="B264" s="148" t="s">
        <v>448</v>
      </c>
      <c r="C264" s="148" t="s">
        <v>1060</v>
      </c>
      <c r="D264" s="148" t="s">
        <v>606</v>
      </c>
      <c r="E264" s="148" t="s">
        <v>607</v>
      </c>
      <c r="F264" s="149">
        <v>19</v>
      </c>
      <c r="G264" s="148" t="s">
        <v>591</v>
      </c>
      <c r="H264" s="150">
        <v>2200.54</v>
      </c>
      <c r="I264" s="151">
        <v>2200.54</v>
      </c>
    </row>
    <row r="265" spans="1:9" ht="15" customHeight="1" x14ac:dyDescent="0.25">
      <c r="A265" s="148">
        <v>1221</v>
      </c>
      <c r="B265" s="148" t="s">
        <v>456</v>
      </c>
      <c r="C265" s="148" t="s">
        <v>1061</v>
      </c>
      <c r="D265" s="148" t="s">
        <v>606</v>
      </c>
      <c r="E265" s="148" t="s">
        <v>661</v>
      </c>
      <c r="F265" s="149">
        <v>1</v>
      </c>
      <c r="G265" s="148" t="s">
        <v>591</v>
      </c>
      <c r="H265" s="150">
        <v>98.52</v>
      </c>
      <c r="I265" s="151">
        <f>H265*1000</f>
        <v>98520</v>
      </c>
    </row>
    <row r="266" spans="1:9" ht="15" customHeight="1" x14ac:dyDescent="0.25">
      <c r="A266" s="148">
        <v>1224</v>
      </c>
      <c r="B266" s="148" t="s">
        <v>410</v>
      </c>
      <c r="C266" s="148" t="s">
        <v>1062</v>
      </c>
      <c r="D266" s="148" t="s">
        <v>705</v>
      </c>
      <c r="E266" s="148" t="s">
        <v>739</v>
      </c>
      <c r="F266" s="149">
        <v>0.4</v>
      </c>
      <c r="G266" s="148" t="s">
        <v>591</v>
      </c>
      <c r="H266" s="150">
        <v>69.42</v>
      </c>
      <c r="I266" s="151">
        <f>H266*12</f>
        <v>833.04</v>
      </c>
    </row>
    <row r="267" spans="1:9" ht="15" customHeight="1" x14ac:dyDescent="0.25">
      <c r="A267" s="148">
        <v>1226</v>
      </c>
      <c r="B267" s="148" t="s">
        <v>1063</v>
      </c>
      <c r="C267" s="148" t="s">
        <v>1064</v>
      </c>
      <c r="D267" s="148" t="s">
        <v>705</v>
      </c>
      <c r="E267" s="148" t="s">
        <v>739</v>
      </c>
      <c r="F267" s="149">
        <v>0.85</v>
      </c>
      <c r="G267" s="148" t="s">
        <v>596</v>
      </c>
      <c r="H267" s="150">
        <v>132.33000000000001</v>
      </c>
      <c r="I267" s="151">
        <f>H267*12</f>
        <v>1587.96</v>
      </c>
    </row>
    <row r="268" spans="1:9" ht="15" customHeight="1" x14ac:dyDescent="0.25">
      <c r="A268" s="148">
        <v>1232</v>
      </c>
      <c r="B268" s="148" t="s">
        <v>1065</v>
      </c>
      <c r="C268" s="148" t="s">
        <v>1066</v>
      </c>
      <c r="D268" s="148" t="s">
        <v>594</v>
      </c>
      <c r="E268" s="148" t="s">
        <v>595</v>
      </c>
      <c r="F268" s="149">
        <v>0.95</v>
      </c>
      <c r="G268" s="148" t="s">
        <v>596</v>
      </c>
      <c r="H268" s="150">
        <v>105.02</v>
      </c>
      <c r="I268" s="151">
        <f>H268*15</f>
        <v>1575.3</v>
      </c>
    </row>
    <row r="269" spans="1:9" ht="15" customHeight="1" x14ac:dyDescent="0.25">
      <c r="A269" s="148">
        <v>1255</v>
      </c>
      <c r="B269" s="148" t="s">
        <v>1067</v>
      </c>
      <c r="C269" s="148" t="s">
        <v>1068</v>
      </c>
      <c r="D269" s="148" t="s">
        <v>630</v>
      </c>
      <c r="E269" s="148" t="s">
        <v>835</v>
      </c>
      <c r="F269" s="149">
        <v>5</v>
      </c>
      <c r="G269" s="148" t="s">
        <v>596</v>
      </c>
      <c r="H269" s="150">
        <v>511.09</v>
      </c>
      <c r="I269" s="151">
        <f>H269*4</f>
        <v>2044.36</v>
      </c>
    </row>
    <row r="270" spans="1:9" ht="15" customHeight="1" x14ac:dyDescent="0.25">
      <c r="A270" s="148">
        <v>1260</v>
      </c>
      <c r="B270" s="148" t="s">
        <v>418</v>
      </c>
      <c r="C270" s="148" t="s">
        <v>1069</v>
      </c>
      <c r="D270" s="148" t="s">
        <v>600</v>
      </c>
      <c r="E270" s="148" t="s">
        <v>1070</v>
      </c>
      <c r="F270" s="149">
        <v>1</v>
      </c>
      <c r="G270" s="148" t="s">
        <v>591</v>
      </c>
      <c r="H270" s="150">
        <v>672.06</v>
      </c>
      <c r="I270" s="151">
        <v>672.06</v>
      </c>
    </row>
    <row r="271" spans="1:9" ht="15" customHeight="1" x14ac:dyDescent="0.25">
      <c r="A271" s="148">
        <v>1262</v>
      </c>
      <c r="B271" s="148" t="s">
        <v>1071</v>
      </c>
      <c r="C271" s="148" t="s">
        <v>1072</v>
      </c>
      <c r="D271" s="148" t="s">
        <v>630</v>
      </c>
      <c r="E271" s="148" t="s">
        <v>830</v>
      </c>
      <c r="F271" s="149">
        <v>0.95</v>
      </c>
      <c r="G271" s="148" t="s">
        <v>596</v>
      </c>
      <c r="H271" s="150">
        <v>92.66</v>
      </c>
      <c r="I271" s="151">
        <f>H271*15</f>
        <v>1389.8999999999999</v>
      </c>
    </row>
    <row r="272" spans="1:9" ht="15" customHeight="1" x14ac:dyDescent="0.25">
      <c r="A272" s="148">
        <v>1263</v>
      </c>
      <c r="B272" s="148" t="s">
        <v>1073</v>
      </c>
      <c r="C272" s="148" t="s">
        <v>1074</v>
      </c>
      <c r="D272" s="148" t="s">
        <v>630</v>
      </c>
      <c r="E272" s="148" t="s">
        <v>830</v>
      </c>
      <c r="F272" s="149">
        <v>5</v>
      </c>
      <c r="G272" s="148" t="s">
        <v>596</v>
      </c>
      <c r="H272" s="150">
        <v>492.29</v>
      </c>
      <c r="I272" s="151">
        <f>H272*4</f>
        <v>1969.16</v>
      </c>
    </row>
    <row r="273" spans="1:9" ht="15" customHeight="1" x14ac:dyDescent="0.25">
      <c r="A273" s="148">
        <v>1266</v>
      </c>
      <c r="B273" s="148" t="s">
        <v>1075</v>
      </c>
      <c r="C273" s="148" t="s">
        <v>1076</v>
      </c>
      <c r="D273" s="148" t="s">
        <v>630</v>
      </c>
      <c r="E273" s="148" t="s">
        <v>830</v>
      </c>
      <c r="F273" s="149">
        <v>200</v>
      </c>
      <c r="G273" s="148" t="s">
        <v>596</v>
      </c>
      <c r="H273" s="150">
        <v>18479.37</v>
      </c>
      <c r="I273" s="151">
        <v>18479.37</v>
      </c>
    </row>
    <row r="274" spans="1:9" ht="15" customHeight="1" x14ac:dyDescent="0.25">
      <c r="A274" s="148">
        <v>1273</v>
      </c>
      <c r="B274" s="148" t="s">
        <v>436</v>
      </c>
      <c r="C274" s="148" t="s">
        <v>1077</v>
      </c>
      <c r="D274" s="148" t="s">
        <v>600</v>
      </c>
      <c r="E274" s="148" t="s">
        <v>1078</v>
      </c>
      <c r="F274" s="149">
        <v>0.35</v>
      </c>
      <c r="G274" s="148" t="s">
        <v>591</v>
      </c>
      <c r="H274" s="150">
        <v>47.21</v>
      </c>
      <c r="I274" s="151">
        <f>H274*24</f>
        <v>1133.04</v>
      </c>
    </row>
    <row r="275" spans="1:9" ht="15" customHeight="1" x14ac:dyDescent="0.25">
      <c r="A275" s="148">
        <v>1274</v>
      </c>
      <c r="B275" s="148" t="s">
        <v>437</v>
      </c>
      <c r="C275" s="148" t="s">
        <v>1079</v>
      </c>
      <c r="D275" s="148" t="s">
        <v>600</v>
      </c>
      <c r="E275" s="148" t="s">
        <v>1078</v>
      </c>
      <c r="F275" s="149">
        <v>0.95</v>
      </c>
      <c r="G275" s="148" t="s">
        <v>591</v>
      </c>
      <c r="H275" s="150">
        <v>120.2</v>
      </c>
      <c r="I275" s="151">
        <f>H275*12</f>
        <v>1442.4</v>
      </c>
    </row>
    <row r="276" spans="1:9" ht="15" customHeight="1" x14ac:dyDescent="0.25">
      <c r="A276" s="148">
        <v>1287</v>
      </c>
      <c r="B276" s="148" t="s">
        <v>391</v>
      </c>
      <c r="C276" s="148" t="s">
        <v>1080</v>
      </c>
      <c r="D276" s="148" t="s">
        <v>705</v>
      </c>
      <c r="E276" s="148" t="s">
        <v>1081</v>
      </c>
      <c r="F276" s="149">
        <v>3.5</v>
      </c>
      <c r="G276" s="148" t="s">
        <v>591</v>
      </c>
      <c r="H276" s="150">
        <v>414.69</v>
      </c>
      <c r="I276" s="151">
        <v>414.69</v>
      </c>
    </row>
    <row r="277" spans="1:9" ht="15" customHeight="1" x14ac:dyDescent="0.25">
      <c r="A277" s="148">
        <v>1288</v>
      </c>
      <c r="B277" s="148" t="s">
        <v>392</v>
      </c>
      <c r="C277" s="148" t="s">
        <v>1082</v>
      </c>
      <c r="D277" s="148" t="s">
        <v>705</v>
      </c>
      <c r="E277" s="148" t="s">
        <v>1081</v>
      </c>
      <c r="F277" s="149">
        <v>16</v>
      </c>
      <c r="G277" s="148" t="s">
        <v>591</v>
      </c>
      <c r="H277" s="150">
        <v>1806.8</v>
      </c>
      <c r="I277" s="151">
        <v>1806.8</v>
      </c>
    </row>
    <row r="278" spans="1:9" ht="15" customHeight="1" x14ac:dyDescent="0.25">
      <c r="A278" s="148">
        <v>1289</v>
      </c>
      <c r="B278" s="148" t="s">
        <v>393</v>
      </c>
      <c r="C278" s="148" t="s">
        <v>1083</v>
      </c>
      <c r="D278" s="148" t="s">
        <v>705</v>
      </c>
      <c r="E278" s="148" t="s">
        <v>1081</v>
      </c>
      <c r="F278" s="149">
        <v>170</v>
      </c>
      <c r="G278" s="148" t="s">
        <v>591</v>
      </c>
      <c r="H278" s="150">
        <v>19463.45</v>
      </c>
      <c r="I278" s="151">
        <v>19463.45</v>
      </c>
    </row>
    <row r="279" spans="1:9" ht="15" customHeight="1" x14ac:dyDescent="0.25">
      <c r="A279" s="148">
        <v>1292</v>
      </c>
      <c r="B279" s="148" t="s">
        <v>390</v>
      </c>
      <c r="C279" s="148" t="s">
        <v>1084</v>
      </c>
      <c r="D279" s="148" t="s">
        <v>705</v>
      </c>
      <c r="E279" s="148" t="s">
        <v>1081</v>
      </c>
      <c r="F279" s="149">
        <v>0.85</v>
      </c>
      <c r="G279" s="148" t="s">
        <v>591</v>
      </c>
      <c r="H279" s="150">
        <v>106.91</v>
      </c>
      <c r="I279" s="151">
        <f>H279*12</f>
        <v>1282.92</v>
      </c>
    </row>
    <row r="280" spans="1:9" ht="15" customHeight="1" x14ac:dyDescent="0.25">
      <c r="A280" s="148">
        <v>1293</v>
      </c>
      <c r="B280" s="148" t="s">
        <v>1085</v>
      </c>
      <c r="C280" s="148" t="s">
        <v>1086</v>
      </c>
      <c r="D280" s="148" t="s">
        <v>705</v>
      </c>
      <c r="E280" s="148" t="s">
        <v>1081</v>
      </c>
      <c r="F280" s="149">
        <v>7</v>
      </c>
      <c r="G280" s="148" t="s">
        <v>591</v>
      </c>
      <c r="H280" s="150">
        <v>822.82</v>
      </c>
      <c r="I280" s="151">
        <v>822.82</v>
      </c>
    </row>
    <row r="281" spans="1:9" ht="15" customHeight="1" x14ac:dyDescent="0.25">
      <c r="A281" s="148">
        <v>1294</v>
      </c>
      <c r="B281" s="148" t="s">
        <v>389</v>
      </c>
      <c r="C281" s="148" t="s">
        <v>1087</v>
      </c>
      <c r="D281" s="148" t="s">
        <v>705</v>
      </c>
      <c r="E281" s="148" t="s">
        <v>1081</v>
      </c>
      <c r="F281" s="149">
        <v>0.42500000000000004</v>
      </c>
      <c r="G281" s="148" t="s">
        <v>591</v>
      </c>
      <c r="H281" s="150">
        <v>60.32</v>
      </c>
      <c r="I281" s="151">
        <f>H281*24</f>
        <v>1447.68</v>
      </c>
    </row>
    <row r="282" spans="1:9" ht="15" customHeight="1" x14ac:dyDescent="0.25">
      <c r="A282" s="148">
        <v>1295</v>
      </c>
      <c r="B282" s="148" t="s">
        <v>388</v>
      </c>
      <c r="C282" s="148" t="s">
        <v>1088</v>
      </c>
      <c r="D282" s="148" t="s">
        <v>705</v>
      </c>
      <c r="E282" s="148" t="s">
        <v>1081</v>
      </c>
      <c r="F282" s="149">
        <v>0.25</v>
      </c>
      <c r="G282" s="148" t="s">
        <v>591</v>
      </c>
      <c r="H282" s="150">
        <v>35.19</v>
      </c>
      <c r="I282" s="151">
        <f>H282*24</f>
        <v>844.56</v>
      </c>
    </row>
    <row r="283" spans="1:9" ht="15" customHeight="1" x14ac:dyDescent="0.25">
      <c r="A283" s="148">
        <v>1299</v>
      </c>
      <c r="B283" s="148" t="s">
        <v>1089</v>
      </c>
      <c r="C283" s="148" t="s">
        <v>1090</v>
      </c>
      <c r="D283" s="148" t="s">
        <v>630</v>
      </c>
      <c r="E283" s="148" t="s">
        <v>830</v>
      </c>
      <c r="F283" s="149">
        <v>200</v>
      </c>
      <c r="G283" s="148" t="s">
        <v>596</v>
      </c>
      <c r="H283" s="150">
        <v>18157.86</v>
      </c>
      <c r="I283" s="151">
        <v>18157.86</v>
      </c>
    </row>
    <row r="284" spans="1:9" ht="15" customHeight="1" x14ac:dyDescent="0.25">
      <c r="A284" s="148">
        <v>1789</v>
      </c>
      <c r="B284" s="148" t="s">
        <v>327</v>
      </c>
      <c r="C284" s="148" t="s">
        <v>1091</v>
      </c>
      <c r="D284" s="148" t="s">
        <v>630</v>
      </c>
      <c r="E284" s="148" t="s">
        <v>1042</v>
      </c>
      <c r="F284" s="149">
        <v>200</v>
      </c>
      <c r="G284" s="148" t="s">
        <v>591</v>
      </c>
      <c r="H284" s="150">
        <v>23035.22</v>
      </c>
      <c r="I284" s="151">
        <v>23035.22</v>
      </c>
    </row>
    <row r="285" spans="1:9" ht="15" customHeight="1" x14ac:dyDescent="0.25">
      <c r="A285" s="148">
        <v>1790</v>
      </c>
      <c r="B285" s="148" t="s">
        <v>326</v>
      </c>
      <c r="C285" s="148" t="s">
        <v>1092</v>
      </c>
      <c r="D285" s="148" t="s">
        <v>630</v>
      </c>
      <c r="E285" s="148" t="s">
        <v>1042</v>
      </c>
      <c r="F285" s="149">
        <v>19</v>
      </c>
      <c r="G285" s="148" t="s">
        <v>591</v>
      </c>
      <c r="H285" s="150">
        <v>2181.56</v>
      </c>
      <c r="I285" s="151">
        <v>2181.56</v>
      </c>
    </row>
    <row r="286" spans="1:9" ht="15" customHeight="1" x14ac:dyDescent="0.25">
      <c r="A286" s="148">
        <v>1814</v>
      </c>
      <c r="B286" s="148" t="s">
        <v>413</v>
      </c>
      <c r="C286" s="148" t="s">
        <v>1093</v>
      </c>
      <c r="D286" s="148" t="s">
        <v>600</v>
      </c>
      <c r="E286" s="148" t="s">
        <v>1094</v>
      </c>
      <c r="F286" s="149">
        <v>0.25</v>
      </c>
      <c r="G286" s="148" t="s">
        <v>591</v>
      </c>
      <c r="H286" s="150">
        <v>34.96</v>
      </c>
      <c r="I286" s="151">
        <f>H286*6</f>
        <v>209.76</v>
      </c>
    </row>
    <row r="287" spans="1:9" ht="15" customHeight="1" x14ac:dyDescent="0.25">
      <c r="A287" s="148">
        <v>1815</v>
      </c>
      <c r="B287" s="148" t="s">
        <v>414</v>
      </c>
      <c r="C287" s="148" t="s">
        <v>1095</v>
      </c>
      <c r="D287" s="148" t="s">
        <v>600</v>
      </c>
      <c r="E287" s="148" t="s">
        <v>1096</v>
      </c>
      <c r="F287" s="149">
        <v>0.25</v>
      </c>
      <c r="G287" s="148" t="s">
        <v>591</v>
      </c>
      <c r="H287" s="150">
        <v>48.2</v>
      </c>
      <c r="I287" s="151">
        <f>H287*6</f>
        <v>289.20000000000005</v>
      </c>
    </row>
    <row r="288" spans="1:9" ht="15" customHeight="1" x14ac:dyDescent="0.25">
      <c r="A288" s="148">
        <v>1816</v>
      </c>
      <c r="B288" s="148" t="s">
        <v>412</v>
      </c>
      <c r="C288" s="148" t="s">
        <v>1097</v>
      </c>
      <c r="D288" s="148" t="s">
        <v>600</v>
      </c>
      <c r="E288" s="148" t="s">
        <v>650</v>
      </c>
      <c r="F288" s="149">
        <v>0.25</v>
      </c>
      <c r="G288" s="148" t="s">
        <v>591</v>
      </c>
      <c r="H288" s="150">
        <v>34.1</v>
      </c>
      <c r="I288" s="151">
        <f>H288*6</f>
        <v>204.60000000000002</v>
      </c>
    </row>
    <row r="289" spans="1:9" ht="15" customHeight="1" x14ac:dyDescent="0.25">
      <c r="A289" s="148">
        <v>1817</v>
      </c>
      <c r="B289" s="148" t="s">
        <v>1098</v>
      </c>
      <c r="C289" s="148" t="s">
        <v>1099</v>
      </c>
      <c r="D289" s="148" t="s">
        <v>594</v>
      </c>
      <c r="E289" s="148" t="s">
        <v>674</v>
      </c>
      <c r="F289" s="149">
        <v>0.25</v>
      </c>
      <c r="G289" s="148" t="s">
        <v>591</v>
      </c>
      <c r="H289" s="150">
        <v>34.29</v>
      </c>
      <c r="I289" s="151">
        <f>H289*6</f>
        <v>205.74</v>
      </c>
    </row>
    <row r="290" spans="1:9" ht="15" customHeight="1" x14ac:dyDescent="0.25">
      <c r="A290" s="148">
        <v>1818</v>
      </c>
      <c r="B290" s="148" t="s">
        <v>434</v>
      </c>
      <c r="C290" s="148" t="s">
        <v>1100</v>
      </c>
      <c r="D290" s="148" t="s">
        <v>600</v>
      </c>
      <c r="E290" s="148" t="s">
        <v>789</v>
      </c>
      <c r="F290" s="149">
        <v>0.35</v>
      </c>
      <c r="G290" s="148" t="s">
        <v>591</v>
      </c>
      <c r="H290" s="150">
        <v>38.61</v>
      </c>
      <c r="I290" s="151">
        <f>H290*24</f>
        <v>926.64</v>
      </c>
    </row>
    <row r="291" spans="1:9" ht="15" customHeight="1" x14ac:dyDescent="0.25">
      <c r="A291" s="148">
        <v>1819</v>
      </c>
      <c r="B291" s="148" t="s">
        <v>435</v>
      </c>
      <c r="C291" s="148" t="s">
        <v>1101</v>
      </c>
      <c r="D291" s="148" t="s">
        <v>600</v>
      </c>
      <c r="E291" s="148" t="s">
        <v>789</v>
      </c>
      <c r="F291" s="149">
        <v>0.95</v>
      </c>
      <c r="G291" s="148" t="s">
        <v>591</v>
      </c>
      <c r="H291" s="150">
        <v>98.06</v>
      </c>
      <c r="I291" s="151">
        <f>H291*12</f>
        <v>1176.72</v>
      </c>
    </row>
    <row r="292" spans="1:9" ht="15" customHeight="1" x14ac:dyDescent="0.25">
      <c r="A292" s="148">
        <v>1961</v>
      </c>
      <c r="B292" s="148" t="s">
        <v>1102</v>
      </c>
      <c r="C292" s="148" t="s">
        <v>1103</v>
      </c>
      <c r="D292" s="148" t="s">
        <v>600</v>
      </c>
      <c r="E292" s="148" t="s">
        <v>613</v>
      </c>
      <c r="F292" s="149">
        <v>0.6</v>
      </c>
      <c r="G292" s="148" t="s">
        <v>596</v>
      </c>
      <c r="H292" s="150">
        <v>54.82</v>
      </c>
      <c r="I292" s="151">
        <f>H292*6</f>
        <v>328.92</v>
      </c>
    </row>
    <row r="293" spans="1:9" ht="15" customHeight="1" x14ac:dyDescent="0.25">
      <c r="A293" s="148">
        <v>1962</v>
      </c>
      <c r="B293" s="148" t="s">
        <v>1104</v>
      </c>
      <c r="C293" s="148" t="s">
        <v>1105</v>
      </c>
      <c r="D293" s="148" t="s">
        <v>600</v>
      </c>
      <c r="E293" s="148" t="s">
        <v>613</v>
      </c>
      <c r="F293" s="149">
        <v>0.6</v>
      </c>
      <c r="G293" s="148" t="s">
        <v>596</v>
      </c>
      <c r="H293" s="150">
        <v>43.97</v>
      </c>
      <c r="I293" s="151">
        <f>H293*6</f>
        <v>263.82</v>
      </c>
    </row>
    <row r="294" spans="1:9" ht="15" customHeight="1" x14ac:dyDescent="0.25">
      <c r="A294" s="148">
        <v>1963</v>
      </c>
      <c r="B294" s="148" t="s">
        <v>1106</v>
      </c>
      <c r="C294" s="148" t="s">
        <v>1107</v>
      </c>
      <c r="D294" s="148" t="s">
        <v>600</v>
      </c>
      <c r="E294" s="148" t="s">
        <v>613</v>
      </c>
      <c r="F294" s="149">
        <v>0.6</v>
      </c>
      <c r="G294" s="148" t="s">
        <v>596</v>
      </c>
      <c r="H294" s="150">
        <v>48.32</v>
      </c>
      <c r="I294" s="151">
        <f>H294*6</f>
        <v>289.92</v>
      </c>
    </row>
    <row r="295" spans="1:9" ht="15" customHeight="1" x14ac:dyDescent="0.25">
      <c r="A295" s="148">
        <v>1964</v>
      </c>
      <c r="B295" s="148" t="s">
        <v>1108</v>
      </c>
      <c r="C295" s="148" t="s">
        <v>1109</v>
      </c>
      <c r="D295" s="148" t="s">
        <v>600</v>
      </c>
      <c r="E295" s="148" t="s">
        <v>613</v>
      </c>
      <c r="F295" s="149">
        <v>0.6</v>
      </c>
      <c r="G295" s="148" t="s">
        <v>596</v>
      </c>
      <c r="H295" s="150">
        <v>84.25</v>
      </c>
      <c r="I295" s="151">
        <f>H295*6</f>
        <v>505.5</v>
      </c>
    </row>
    <row r="296" spans="1:9" ht="15" customHeight="1" x14ac:dyDescent="0.25">
      <c r="A296" s="148">
        <v>1967</v>
      </c>
      <c r="B296" s="148" t="s">
        <v>1110</v>
      </c>
      <c r="C296" s="148" t="s">
        <v>1111</v>
      </c>
      <c r="D296" s="148" t="s">
        <v>600</v>
      </c>
      <c r="E296" s="148" t="s">
        <v>613</v>
      </c>
      <c r="F296" s="149">
        <v>200</v>
      </c>
      <c r="G296" s="148" t="s">
        <v>591</v>
      </c>
      <c r="H296" s="150">
        <v>12303.7</v>
      </c>
      <c r="I296" s="151">
        <v>12303.7</v>
      </c>
    </row>
    <row r="297" spans="1:9" ht="15" customHeight="1" x14ac:dyDescent="0.25">
      <c r="A297" s="148">
        <v>1970</v>
      </c>
      <c r="B297" s="148" t="s">
        <v>1112</v>
      </c>
      <c r="C297" s="148" t="s">
        <v>1113</v>
      </c>
      <c r="D297" s="148" t="s">
        <v>600</v>
      </c>
      <c r="E297" s="148" t="s">
        <v>613</v>
      </c>
      <c r="F297" s="149">
        <v>20</v>
      </c>
      <c r="G297" s="148" t="s">
        <v>591</v>
      </c>
      <c r="H297" s="150">
        <v>1651.4</v>
      </c>
      <c r="I297" s="151">
        <v>1651.4</v>
      </c>
    </row>
    <row r="298" spans="1:9" ht="15" customHeight="1" x14ac:dyDescent="0.25">
      <c r="A298" s="148">
        <v>1971</v>
      </c>
      <c r="B298" s="148" t="s">
        <v>1114</v>
      </c>
      <c r="C298" s="148" t="s">
        <v>1115</v>
      </c>
      <c r="D298" s="148" t="s">
        <v>600</v>
      </c>
      <c r="E298" s="148" t="s">
        <v>613</v>
      </c>
      <c r="F298" s="149">
        <v>20</v>
      </c>
      <c r="G298" s="148" t="s">
        <v>591</v>
      </c>
      <c r="H298" s="150">
        <v>1931.92</v>
      </c>
      <c r="I298" s="151">
        <v>1931.92</v>
      </c>
    </row>
    <row r="299" spans="1:9" ht="15" customHeight="1" x14ac:dyDescent="0.25">
      <c r="A299" s="148">
        <v>1972</v>
      </c>
      <c r="B299" s="148" t="s">
        <v>1116</v>
      </c>
      <c r="C299" s="148" t="s">
        <v>1117</v>
      </c>
      <c r="D299" s="148" t="s">
        <v>600</v>
      </c>
      <c r="E299" s="148" t="s">
        <v>613</v>
      </c>
      <c r="F299" s="149">
        <v>20</v>
      </c>
      <c r="G299" s="148" t="s">
        <v>591</v>
      </c>
      <c r="H299" s="150">
        <v>1189.6099999999999</v>
      </c>
      <c r="I299" s="151">
        <v>1189.6099999999999</v>
      </c>
    </row>
    <row r="300" spans="1:9" ht="15" customHeight="1" x14ac:dyDescent="0.25">
      <c r="A300" s="148">
        <v>1973</v>
      </c>
      <c r="B300" s="148" t="s">
        <v>1118</v>
      </c>
      <c r="C300" s="148" t="s">
        <v>1119</v>
      </c>
      <c r="D300" s="148" t="s">
        <v>600</v>
      </c>
      <c r="E300" s="148" t="s">
        <v>613</v>
      </c>
      <c r="F300" s="149">
        <v>20</v>
      </c>
      <c r="G300" s="148" t="s">
        <v>591</v>
      </c>
      <c r="H300" s="150">
        <v>2417.38</v>
      </c>
      <c r="I300" s="151">
        <v>2417.38</v>
      </c>
    </row>
    <row r="301" spans="1:9" ht="15" customHeight="1" x14ac:dyDescent="0.25">
      <c r="A301" s="148">
        <v>10003</v>
      </c>
      <c r="B301" s="148" t="s">
        <v>460</v>
      </c>
      <c r="C301" s="148" t="s">
        <v>1120</v>
      </c>
      <c r="D301" s="148" t="s">
        <v>1025</v>
      </c>
      <c r="E301" s="148" t="s">
        <v>1121</v>
      </c>
      <c r="F301" s="149">
        <v>1</v>
      </c>
      <c r="G301" s="148" t="s">
        <v>591</v>
      </c>
      <c r="H301" s="150">
        <v>91.91</v>
      </c>
      <c r="I301" s="151">
        <f>H301*1000</f>
        <v>91910</v>
      </c>
    </row>
    <row r="302" spans="1:9" ht="15" customHeight="1" x14ac:dyDescent="0.25">
      <c r="A302" s="148">
        <v>10004</v>
      </c>
      <c r="B302" s="148" t="s">
        <v>1122</v>
      </c>
      <c r="C302" s="148" t="s">
        <v>1123</v>
      </c>
      <c r="D302" s="148" t="s">
        <v>1025</v>
      </c>
      <c r="E302" s="148" t="s">
        <v>1121</v>
      </c>
      <c r="F302" s="149">
        <v>1</v>
      </c>
      <c r="G302" s="148" t="s">
        <v>591</v>
      </c>
      <c r="H302" s="150">
        <v>95.47</v>
      </c>
      <c r="I302" s="151">
        <f t="shared" ref="I302:I350" si="2">H302*1000</f>
        <v>95470</v>
      </c>
    </row>
    <row r="303" spans="1:9" ht="15" customHeight="1" x14ac:dyDescent="0.25">
      <c r="A303" s="148">
        <v>10005</v>
      </c>
      <c r="B303" s="148" t="s">
        <v>1124</v>
      </c>
      <c r="C303" s="148" t="s">
        <v>1125</v>
      </c>
      <c r="D303" s="148" t="s">
        <v>1025</v>
      </c>
      <c r="E303" s="148" t="s">
        <v>1121</v>
      </c>
      <c r="F303" s="149">
        <v>1</v>
      </c>
      <c r="G303" s="148" t="s">
        <v>591</v>
      </c>
      <c r="H303" s="150">
        <v>96.42</v>
      </c>
      <c r="I303" s="151">
        <f t="shared" si="2"/>
        <v>96420</v>
      </c>
    </row>
    <row r="304" spans="1:9" ht="15" customHeight="1" x14ac:dyDescent="0.25">
      <c r="A304" s="148">
        <v>10006</v>
      </c>
      <c r="B304" s="148" t="s">
        <v>1126</v>
      </c>
      <c r="C304" s="148" t="s">
        <v>1127</v>
      </c>
      <c r="D304" s="148" t="s">
        <v>1025</v>
      </c>
      <c r="E304" s="148" t="s">
        <v>1121</v>
      </c>
      <c r="F304" s="149">
        <v>1</v>
      </c>
      <c r="G304" s="148" t="s">
        <v>591</v>
      </c>
      <c r="H304" s="150">
        <v>97.16</v>
      </c>
      <c r="I304" s="151">
        <f t="shared" si="2"/>
        <v>97160</v>
      </c>
    </row>
    <row r="305" spans="1:9" ht="15" customHeight="1" x14ac:dyDescent="0.25">
      <c r="A305" s="148">
        <v>10007</v>
      </c>
      <c r="B305" s="148" t="s">
        <v>1128</v>
      </c>
      <c r="C305" s="148" t="s">
        <v>1129</v>
      </c>
      <c r="D305" s="148" t="s">
        <v>1025</v>
      </c>
      <c r="E305" s="148" t="s">
        <v>1121</v>
      </c>
      <c r="F305" s="149">
        <v>1</v>
      </c>
      <c r="G305" s="148" t="s">
        <v>591</v>
      </c>
      <c r="H305" s="150">
        <v>97.51</v>
      </c>
      <c r="I305" s="151">
        <f t="shared" si="2"/>
        <v>97510</v>
      </c>
    </row>
    <row r="306" spans="1:9" ht="15" customHeight="1" x14ac:dyDescent="0.25">
      <c r="A306" s="148">
        <v>10008</v>
      </c>
      <c r="B306" s="148" t="s">
        <v>1130</v>
      </c>
      <c r="C306" s="148" t="s">
        <v>1131</v>
      </c>
      <c r="D306" s="148" t="s">
        <v>1025</v>
      </c>
      <c r="E306" s="148" t="s">
        <v>1121</v>
      </c>
      <c r="F306" s="149">
        <v>1</v>
      </c>
      <c r="G306" s="148" t="s">
        <v>591</v>
      </c>
      <c r="H306" s="150">
        <v>97.46</v>
      </c>
      <c r="I306" s="151">
        <f t="shared" si="2"/>
        <v>97460</v>
      </c>
    </row>
    <row r="307" spans="1:9" ht="15" customHeight="1" x14ac:dyDescent="0.25">
      <c r="A307" s="148">
        <v>10015</v>
      </c>
      <c r="B307" s="148" t="s">
        <v>1132</v>
      </c>
      <c r="C307" s="148" t="s">
        <v>1133</v>
      </c>
      <c r="D307" s="148" t="s">
        <v>1025</v>
      </c>
      <c r="E307" s="148" t="s">
        <v>1134</v>
      </c>
      <c r="F307" s="149">
        <v>1</v>
      </c>
      <c r="G307" s="148" t="s">
        <v>591</v>
      </c>
      <c r="H307" s="150">
        <v>115.15</v>
      </c>
      <c r="I307" s="151">
        <f t="shared" si="2"/>
        <v>115150</v>
      </c>
    </row>
    <row r="308" spans="1:9" ht="15" customHeight="1" x14ac:dyDescent="0.25">
      <c r="A308" s="148">
        <v>10016</v>
      </c>
      <c r="B308" s="148" t="s">
        <v>1135</v>
      </c>
      <c r="C308" s="148" t="s">
        <v>1136</v>
      </c>
      <c r="D308" s="148" t="s">
        <v>1025</v>
      </c>
      <c r="E308" s="148" t="s">
        <v>1134</v>
      </c>
      <c r="F308" s="149">
        <v>1</v>
      </c>
      <c r="G308" s="148" t="s">
        <v>591</v>
      </c>
      <c r="H308" s="150">
        <v>128.46</v>
      </c>
      <c r="I308" s="151">
        <f t="shared" si="2"/>
        <v>128460.00000000001</v>
      </c>
    </row>
    <row r="309" spans="1:9" ht="15" customHeight="1" x14ac:dyDescent="0.25">
      <c r="A309" s="148">
        <v>10019</v>
      </c>
      <c r="B309" s="148" t="s">
        <v>1137</v>
      </c>
      <c r="C309" s="148" t="s">
        <v>1138</v>
      </c>
      <c r="D309" s="148" t="s">
        <v>1025</v>
      </c>
      <c r="E309" s="148" t="s">
        <v>1139</v>
      </c>
      <c r="F309" s="149">
        <v>1</v>
      </c>
      <c r="G309" s="148" t="s">
        <v>591</v>
      </c>
      <c r="H309" s="150">
        <v>101.15</v>
      </c>
      <c r="I309" s="151">
        <f t="shared" si="2"/>
        <v>101150</v>
      </c>
    </row>
    <row r="310" spans="1:9" ht="15" customHeight="1" x14ac:dyDescent="0.25">
      <c r="A310" s="148">
        <v>10022</v>
      </c>
      <c r="B310" s="148" t="s">
        <v>1140</v>
      </c>
      <c r="C310" s="148" t="s">
        <v>1141</v>
      </c>
      <c r="D310" s="148" t="s">
        <v>1025</v>
      </c>
      <c r="E310" s="148" t="s">
        <v>1142</v>
      </c>
      <c r="F310" s="149">
        <v>1</v>
      </c>
      <c r="G310" s="148" t="s">
        <v>591</v>
      </c>
      <c r="H310" s="150">
        <v>176.43</v>
      </c>
      <c r="I310" s="151">
        <f t="shared" si="2"/>
        <v>176430</v>
      </c>
    </row>
    <row r="311" spans="1:9" ht="15" customHeight="1" x14ac:dyDescent="0.25">
      <c r="A311" s="148">
        <v>10024</v>
      </c>
      <c r="B311" s="148" t="s">
        <v>1143</v>
      </c>
      <c r="C311" s="148" t="s">
        <v>1144</v>
      </c>
      <c r="D311" s="148" t="s">
        <v>1025</v>
      </c>
      <c r="E311" s="148" t="s">
        <v>1142</v>
      </c>
      <c r="F311" s="149">
        <v>1</v>
      </c>
      <c r="G311" s="148" t="s">
        <v>591</v>
      </c>
      <c r="H311" s="150">
        <v>197.98</v>
      </c>
      <c r="I311" s="151">
        <f t="shared" si="2"/>
        <v>197980</v>
      </c>
    </row>
    <row r="312" spans="1:9" ht="15" customHeight="1" x14ac:dyDescent="0.25">
      <c r="A312" s="148">
        <v>10027</v>
      </c>
      <c r="B312" s="148" t="s">
        <v>1145</v>
      </c>
      <c r="C312" s="148" t="s">
        <v>1146</v>
      </c>
      <c r="D312" s="148" t="s">
        <v>1025</v>
      </c>
      <c r="E312" s="148" t="s">
        <v>1147</v>
      </c>
      <c r="F312" s="149">
        <v>1</v>
      </c>
      <c r="G312" s="148" t="s">
        <v>591</v>
      </c>
      <c r="H312" s="150">
        <v>99.95</v>
      </c>
      <c r="I312" s="151">
        <f t="shared" si="2"/>
        <v>99950</v>
      </c>
    </row>
    <row r="313" spans="1:9" ht="15" customHeight="1" x14ac:dyDescent="0.25">
      <c r="A313" s="148">
        <v>10037</v>
      </c>
      <c r="B313" s="148" t="s">
        <v>1148</v>
      </c>
      <c r="C313" s="148" t="s">
        <v>1149</v>
      </c>
      <c r="D313" s="148" t="s">
        <v>1025</v>
      </c>
      <c r="E313" s="148" t="s">
        <v>1150</v>
      </c>
      <c r="F313" s="149">
        <v>1</v>
      </c>
      <c r="G313" s="148" t="s">
        <v>591</v>
      </c>
      <c r="H313" s="150">
        <v>98.87</v>
      </c>
      <c r="I313" s="151">
        <f t="shared" si="2"/>
        <v>98870</v>
      </c>
    </row>
    <row r="314" spans="1:9" ht="15" customHeight="1" x14ac:dyDescent="0.25">
      <c r="A314" s="148">
        <v>10040</v>
      </c>
      <c r="B314" s="148" t="s">
        <v>1151</v>
      </c>
      <c r="C314" s="148" t="s">
        <v>1152</v>
      </c>
      <c r="D314" s="148" t="s">
        <v>1025</v>
      </c>
      <c r="E314" s="148" t="s">
        <v>1150</v>
      </c>
      <c r="F314" s="149">
        <v>1</v>
      </c>
      <c r="G314" s="148" t="s">
        <v>591</v>
      </c>
      <c r="H314" s="150">
        <v>99.43</v>
      </c>
      <c r="I314" s="151">
        <f t="shared" si="2"/>
        <v>99430</v>
      </c>
    </row>
    <row r="315" spans="1:9" ht="15" customHeight="1" x14ac:dyDescent="0.25">
      <c r="A315" s="148">
        <v>10047</v>
      </c>
      <c r="B315" s="148" t="s">
        <v>1153</v>
      </c>
      <c r="C315" s="148" t="s">
        <v>1154</v>
      </c>
      <c r="D315" s="148" t="s">
        <v>1025</v>
      </c>
      <c r="E315" s="148" t="s">
        <v>1155</v>
      </c>
      <c r="F315" s="149">
        <v>1</v>
      </c>
      <c r="G315" s="148" t="s">
        <v>591</v>
      </c>
      <c r="H315" s="150">
        <v>87.62</v>
      </c>
      <c r="I315" s="151">
        <f t="shared" si="2"/>
        <v>87620</v>
      </c>
    </row>
    <row r="316" spans="1:9" ht="15" customHeight="1" x14ac:dyDescent="0.25">
      <c r="A316" s="148">
        <v>10049</v>
      </c>
      <c r="B316" s="148" t="s">
        <v>1156</v>
      </c>
      <c r="C316" s="148" t="s">
        <v>1157</v>
      </c>
      <c r="D316" s="148" t="s">
        <v>1025</v>
      </c>
      <c r="E316" s="148" t="s">
        <v>1155</v>
      </c>
      <c r="F316" s="149">
        <v>1</v>
      </c>
      <c r="G316" s="148" t="s">
        <v>591</v>
      </c>
      <c r="H316" s="150">
        <v>94.24</v>
      </c>
      <c r="I316" s="151">
        <f t="shared" si="2"/>
        <v>94240</v>
      </c>
    </row>
    <row r="317" spans="1:9" ht="15" customHeight="1" x14ac:dyDescent="0.25">
      <c r="A317" s="148">
        <v>10050</v>
      </c>
      <c r="B317" s="148" t="s">
        <v>1158</v>
      </c>
      <c r="C317" s="148" t="s">
        <v>1159</v>
      </c>
      <c r="D317" s="148" t="s">
        <v>1025</v>
      </c>
      <c r="E317" s="148" t="s">
        <v>1155</v>
      </c>
      <c r="F317" s="149">
        <v>1</v>
      </c>
      <c r="G317" s="148" t="s">
        <v>591</v>
      </c>
      <c r="H317" s="150">
        <v>95.83</v>
      </c>
      <c r="I317" s="151">
        <f t="shared" si="2"/>
        <v>95830</v>
      </c>
    </row>
    <row r="318" spans="1:9" ht="15" customHeight="1" x14ac:dyDescent="0.25">
      <c r="A318" s="148">
        <v>10052</v>
      </c>
      <c r="B318" s="148" t="s">
        <v>462</v>
      </c>
      <c r="C318" s="148" t="s">
        <v>1160</v>
      </c>
      <c r="D318" s="148" t="s">
        <v>1025</v>
      </c>
      <c r="E318" s="148" t="s">
        <v>1155</v>
      </c>
      <c r="F318" s="149">
        <v>1</v>
      </c>
      <c r="G318" s="148" t="s">
        <v>591</v>
      </c>
      <c r="H318" s="150">
        <v>96.62</v>
      </c>
      <c r="I318" s="151">
        <f t="shared" si="2"/>
        <v>96620</v>
      </c>
    </row>
    <row r="319" spans="1:9" ht="15" customHeight="1" x14ac:dyDescent="0.25">
      <c r="A319" s="148">
        <v>10053</v>
      </c>
      <c r="B319" s="148" t="s">
        <v>463</v>
      </c>
      <c r="C319" s="148" t="s">
        <v>1161</v>
      </c>
      <c r="D319" s="148" t="s">
        <v>1025</v>
      </c>
      <c r="E319" s="148" t="s">
        <v>1155</v>
      </c>
      <c r="F319" s="149">
        <v>1</v>
      </c>
      <c r="G319" s="148" t="s">
        <v>591</v>
      </c>
      <c r="H319" s="150">
        <v>96.67</v>
      </c>
      <c r="I319" s="151">
        <f t="shared" si="2"/>
        <v>96670</v>
      </c>
    </row>
    <row r="320" spans="1:9" ht="15" customHeight="1" x14ac:dyDescent="0.25">
      <c r="A320" s="148">
        <v>10062</v>
      </c>
      <c r="B320" s="148" t="s">
        <v>1162</v>
      </c>
      <c r="C320" s="148" t="s">
        <v>1163</v>
      </c>
      <c r="D320" s="148" t="s">
        <v>1025</v>
      </c>
      <c r="E320" s="148" t="s">
        <v>1164</v>
      </c>
      <c r="F320" s="149">
        <v>1</v>
      </c>
      <c r="G320" s="148" t="s">
        <v>591</v>
      </c>
      <c r="H320" s="150">
        <v>127.51</v>
      </c>
      <c r="I320" s="151">
        <f t="shared" si="2"/>
        <v>127510</v>
      </c>
    </row>
    <row r="321" spans="1:9" ht="15" customHeight="1" x14ac:dyDescent="0.25">
      <c r="A321" s="148">
        <v>10063</v>
      </c>
      <c r="B321" s="148" t="s">
        <v>1165</v>
      </c>
      <c r="C321" s="148" t="s">
        <v>1166</v>
      </c>
      <c r="D321" s="148" t="s">
        <v>1025</v>
      </c>
      <c r="E321" s="148" t="s">
        <v>1164</v>
      </c>
      <c r="F321" s="149">
        <v>1</v>
      </c>
      <c r="G321" s="148" t="s">
        <v>591</v>
      </c>
      <c r="H321" s="150">
        <v>131.03</v>
      </c>
      <c r="I321" s="151">
        <f t="shared" si="2"/>
        <v>131030</v>
      </c>
    </row>
    <row r="322" spans="1:9" ht="15" customHeight="1" x14ac:dyDescent="0.25">
      <c r="A322" s="148">
        <v>10065</v>
      </c>
      <c r="B322" s="148" t="s">
        <v>1167</v>
      </c>
      <c r="C322" s="148" t="s">
        <v>1168</v>
      </c>
      <c r="D322" s="148" t="s">
        <v>1025</v>
      </c>
      <c r="E322" s="148" t="s">
        <v>1164</v>
      </c>
      <c r="F322" s="149">
        <v>1</v>
      </c>
      <c r="G322" s="148" t="s">
        <v>591</v>
      </c>
      <c r="H322" s="150">
        <v>133.54</v>
      </c>
      <c r="I322" s="151">
        <f t="shared" si="2"/>
        <v>133540</v>
      </c>
    </row>
    <row r="323" spans="1:9" ht="15" customHeight="1" x14ac:dyDescent="0.25">
      <c r="A323" s="148">
        <v>10077</v>
      </c>
      <c r="B323" s="148" t="s">
        <v>1169</v>
      </c>
      <c r="C323" s="148" t="s">
        <v>1170</v>
      </c>
      <c r="D323" s="148" t="s">
        <v>1025</v>
      </c>
      <c r="E323" s="148" t="s">
        <v>1171</v>
      </c>
      <c r="F323" s="149">
        <v>1</v>
      </c>
      <c r="G323" s="148" t="s">
        <v>591</v>
      </c>
      <c r="H323" s="150">
        <v>97.1</v>
      </c>
      <c r="I323" s="151">
        <f t="shared" si="2"/>
        <v>97100</v>
      </c>
    </row>
    <row r="324" spans="1:9" ht="15" customHeight="1" x14ac:dyDescent="0.25">
      <c r="A324" s="148">
        <v>10078</v>
      </c>
      <c r="B324" s="148" t="s">
        <v>1172</v>
      </c>
      <c r="C324" s="148" t="s">
        <v>1173</v>
      </c>
      <c r="D324" s="148" t="s">
        <v>1025</v>
      </c>
      <c r="E324" s="148" t="s">
        <v>1171</v>
      </c>
      <c r="F324" s="149">
        <v>1</v>
      </c>
      <c r="G324" s="148" t="s">
        <v>591</v>
      </c>
      <c r="H324" s="150">
        <v>98.26</v>
      </c>
      <c r="I324" s="151">
        <f t="shared" si="2"/>
        <v>98260</v>
      </c>
    </row>
    <row r="325" spans="1:9" ht="15" customHeight="1" x14ac:dyDescent="0.25">
      <c r="A325" s="148">
        <v>10081</v>
      </c>
      <c r="B325" s="148" t="s">
        <v>1174</v>
      </c>
      <c r="C325" s="148" t="s">
        <v>1175</v>
      </c>
      <c r="D325" s="148" t="s">
        <v>1025</v>
      </c>
      <c r="E325" s="148" t="s">
        <v>1176</v>
      </c>
      <c r="F325" s="149">
        <v>1</v>
      </c>
      <c r="G325" s="148" t="s">
        <v>591</v>
      </c>
      <c r="H325" s="150">
        <v>98.76</v>
      </c>
      <c r="I325" s="151">
        <f t="shared" si="2"/>
        <v>98760</v>
      </c>
    </row>
    <row r="326" spans="1:9" ht="15" customHeight="1" x14ac:dyDescent="0.25">
      <c r="A326" s="148">
        <v>10084</v>
      </c>
      <c r="B326" s="148" t="s">
        <v>1177</v>
      </c>
      <c r="C326" s="148" t="s">
        <v>1178</v>
      </c>
      <c r="D326" s="148" t="s">
        <v>1025</v>
      </c>
      <c r="E326" s="148" t="s">
        <v>1176</v>
      </c>
      <c r="F326" s="149">
        <v>1</v>
      </c>
      <c r="G326" s="148" t="s">
        <v>591</v>
      </c>
      <c r="H326" s="150">
        <v>99.88</v>
      </c>
      <c r="I326" s="151">
        <f t="shared" si="2"/>
        <v>99880</v>
      </c>
    </row>
    <row r="327" spans="1:9" ht="15" customHeight="1" x14ac:dyDescent="0.25">
      <c r="A327" s="148">
        <v>10086</v>
      </c>
      <c r="B327" s="148" t="s">
        <v>1179</v>
      </c>
      <c r="C327" s="148" t="s">
        <v>1180</v>
      </c>
      <c r="D327" s="148" t="s">
        <v>1025</v>
      </c>
      <c r="E327" s="148" t="s">
        <v>1176</v>
      </c>
      <c r="F327" s="149">
        <v>1</v>
      </c>
      <c r="G327" s="148" t="s">
        <v>591</v>
      </c>
      <c r="H327" s="150">
        <v>99.87</v>
      </c>
      <c r="I327" s="151">
        <f t="shared" si="2"/>
        <v>99870</v>
      </c>
    </row>
    <row r="328" spans="1:9" ht="15" customHeight="1" x14ac:dyDescent="0.25">
      <c r="A328" s="148">
        <v>10107</v>
      </c>
      <c r="B328" s="148" t="s">
        <v>1181</v>
      </c>
      <c r="C328" s="148" t="s">
        <v>1182</v>
      </c>
      <c r="D328" s="148" t="s">
        <v>1025</v>
      </c>
      <c r="E328" s="148" t="s">
        <v>1183</v>
      </c>
      <c r="F328" s="149">
        <v>1</v>
      </c>
      <c r="G328" s="148" t="s">
        <v>591</v>
      </c>
      <c r="H328" s="150">
        <v>105.38</v>
      </c>
      <c r="I328" s="151">
        <f t="shared" si="2"/>
        <v>105380</v>
      </c>
    </row>
    <row r="329" spans="1:9" ht="15" customHeight="1" x14ac:dyDescent="0.25">
      <c r="A329" s="148">
        <v>10108</v>
      </c>
      <c r="B329" s="148" t="s">
        <v>1184</v>
      </c>
      <c r="C329" s="148" t="s">
        <v>1185</v>
      </c>
      <c r="D329" s="148" t="s">
        <v>1025</v>
      </c>
      <c r="E329" s="148" t="s">
        <v>1183</v>
      </c>
      <c r="F329" s="149">
        <v>1</v>
      </c>
      <c r="G329" s="148" t="s">
        <v>591</v>
      </c>
      <c r="H329" s="150">
        <v>115.35</v>
      </c>
      <c r="I329" s="151">
        <f t="shared" si="2"/>
        <v>115350</v>
      </c>
    </row>
    <row r="330" spans="1:9" ht="15" customHeight="1" x14ac:dyDescent="0.25">
      <c r="A330" s="148">
        <v>10110</v>
      </c>
      <c r="B330" s="148" t="s">
        <v>1186</v>
      </c>
      <c r="C330" s="148" t="s">
        <v>1187</v>
      </c>
      <c r="D330" s="148" t="s">
        <v>1025</v>
      </c>
      <c r="E330" s="148" t="s">
        <v>1183</v>
      </c>
      <c r="F330" s="149">
        <v>1</v>
      </c>
      <c r="G330" s="148" t="s">
        <v>591</v>
      </c>
      <c r="H330" s="150">
        <v>136.22</v>
      </c>
      <c r="I330" s="151">
        <f t="shared" si="2"/>
        <v>136220</v>
      </c>
    </row>
    <row r="331" spans="1:9" ht="15" customHeight="1" x14ac:dyDescent="0.25">
      <c r="A331" s="148">
        <v>10111</v>
      </c>
      <c r="B331" s="148" t="s">
        <v>461</v>
      </c>
      <c r="C331" s="148" t="s">
        <v>1188</v>
      </c>
      <c r="D331" s="148" t="s">
        <v>1025</v>
      </c>
      <c r="E331" s="148" t="s">
        <v>1189</v>
      </c>
      <c r="F331" s="149">
        <v>1</v>
      </c>
      <c r="G331" s="148" t="s">
        <v>591</v>
      </c>
      <c r="H331" s="150">
        <v>177.65</v>
      </c>
      <c r="I331" s="151">
        <f t="shared" si="2"/>
        <v>177650</v>
      </c>
    </row>
    <row r="332" spans="1:9" ht="15" customHeight="1" x14ac:dyDescent="0.25">
      <c r="A332" s="148">
        <v>10130</v>
      </c>
      <c r="B332" s="148" t="s">
        <v>1190</v>
      </c>
      <c r="C332" s="148" t="s">
        <v>1191</v>
      </c>
      <c r="D332" s="148" t="s">
        <v>1025</v>
      </c>
      <c r="E332" s="148" t="s">
        <v>1192</v>
      </c>
      <c r="F332" s="149">
        <v>1</v>
      </c>
      <c r="G332" s="148" t="s">
        <v>591</v>
      </c>
      <c r="H332" s="150">
        <v>212.62</v>
      </c>
      <c r="I332" s="151">
        <f t="shared" si="2"/>
        <v>212620</v>
      </c>
    </row>
    <row r="333" spans="1:9" ht="15" customHeight="1" x14ac:dyDescent="0.25">
      <c r="A333" s="148">
        <v>10134</v>
      </c>
      <c r="B333" s="148" t="s">
        <v>1193</v>
      </c>
      <c r="C333" s="148" t="s">
        <v>1194</v>
      </c>
      <c r="D333" s="148" t="s">
        <v>1025</v>
      </c>
      <c r="E333" s="148" t="s">
        <v>1195</v>
      </c>
      <c r="F333" s="149">
        <v>1</v>
      </c>
      <c r="G333" s="148" t="s">
        <v>591</v>
      </c>
      <c r="H333" s="150">
        <v>101.05</v>
      </c>
      <c r="I333" s="151">
        <f t="shared" si="2"/>
        <v>101050</v>
      </c>
    </row>
    <row r="334" spans="1:9" ht="15" customHeight="1" x14ac:dyDescent="0.25">
      <c r="A334" s="148">
        <v>10135</v>
      </c>
      <c r="B334" s="148" t="s">
        <v>1196</v>
      </c>
      <c r="C334" s="148" t="s">
        <v>1197</v>
      </c>
      <c r="D334" s="148" t="s">
        <v>1025</v>
      </c>
      <c r="E334" s="148" t="s">
        <v>1198</v>
      </c>
      <c r="F334" s="149">
        <v>1</v>
      </c>
      <c r="G334" s="148" t="s">
        <v>591</v>
      </c>
      <c r="H334" s="150">
        <v>102.93</v>
      </c>
      <c r="I334" s="151">
        <f t="shared" si="2"/>
        <v>102930</v>
      </c>
    </row>
    <row r="335" spans="1:9" ht="15" customHeight="1" x14ac:dyDescent="0.25">
      <c r="A335" s="148">
        <v>10136</v>
      </c>
      <c r="B335" s="148" t="s">
        <v>1199</v>
      </c>
      <c r="C335" s="148" t="s">
        <v>1200</v>
      </c>
      <c r="D335" s="148" t="s">
        <v>1025</v>
      </c>
      <c r="E335" s="148" t="s">
        <v>1201</v>
      </c>
      <c r="F335" s="149">
        <v>1</v>
      </c>
      <c r="G335" s="148" t="s">
        <v>591</v>
      </c>
      <c r="H335" s="150">
        <v>124.23</v>
      </c>
      <c r="I335" s="151">
        <f t="shared" si="2"/>
        <v>124230</v>
      </c>
    </row>
    <row r="336" spans="1:9" ht="15" customHeight="1" x14ac:dyDescent="0.25">
      <c r="A336" s="148">
        <v>10137</v>
      </c>
      <c r="B336" s="148" t="s">
        <v>1202</v>
      </c>
      <c r="C336" s="148" t="s">
        <v>1203</v>
      </c>
      <c r="D336" s="148" t="s">
        <v>1025</v>
      </c>
      <c r="E336" s="148" t="s">
        <v>1201</v>
      </c>
      <c r="F336" s="149">
        <v>1</v>
      </c>
      <c r="G336" s="148" t="s">
        <v>591</v>
      </c>
      <c r="H336" s="150">
        <v>124.62</v>
      </c>
      <c r="I336" s="151">
        <f t="shared" si="2"/>
        <v>124620</v>
      </c>
    </row>
    <row r="337" spans="1:9" ht="15" customHeight="1" x14ac:dyDescent="0.25">
      <c r="A337" s="148">
        <v>10139</v>
      </c>
      <c r="B337" s="148" t="s">
        <v>1204</v>
      </c>
      <c r="C337" s="148" t="s">
        <v>1205</v>
      </c>
      <c r="D337" s="148" t="s">
        <v>1025</v>
      </c>
      <c r="E337" s="148" t="s">
        <v>1206</v>
      </c>
      <c r="F337" s="149">
        <v>1</v>
      </c>
      <c r="G337" s="148" t="s">
        <v>591</v>
      </c>
      <c r="H337" s="150">
        <v>119.62</v>
      </c>
      <c r="I337" s="151">
        <f t="shared" si="2"/>
        <v>119620</v>
      </c>
    </row>
    <row r="338" spans="1:9" ht="15" customHeight="1" x14ac:dyDescent="0.25">
      <c r="A338" s="148">
        <v>10141</v>
      </c>
      <c r="B338" s="148" t="s">
        <v>1207</v>
      </c>
      <c r="C338" s="148" t="s">
        <v>1208</v>
      </c>
      <c r="D338" s="148" t="s">
        <v>1025</v>
      </c>
      <c r="E338" s="148" t="s">
        <v>1209</v>
      </c>
      <c r="F338" s="149">
        <v>1</v>
      </c>
      <c r="G338" s="148" t="s">
        <v>591</v>
      </c>
      <c r="H338" s="150">
        <v>88.09</v>
      </c>
      <c r="I338" s="151">
        <f t="shared" si="2"/>
        <v>88090</v>
      </c>
    </row>
    <row r="339" spans="1:9" ht="15" customHeight="1" x14ac:dyDescent="0.25">
      <c r="A339" s="148">
        <v>10144</v>
      </c>
      <c r="B339" s="148" t="s">
        <v>1210</v>
      </c>
      <c r="C339" s="148" t="s">
        <v>1211</v>
      </c>
      <c r="D339" s="148" t="s">
        <v>1025</v>
      </c>
      <c r="E339" s="148" t="s">
        <v>1212</v>
      </c>
      <c r="F339" s="149">
        <v>1</v>
      </c>
      <c r="G339" s="148" t="s">
        <v>591</v>
      </c>
      <c r="H339" s="150">
        <v>100.09</v>
      </c>
      <c r="I339" s="151">
        <f t="shared" si="2"/>
        <v>100090</v>
      </c>
    </row>
    <row r="340" spans="1:9" ht="15" customHeight="1" x14ac:dyDescent="0.25">
      <c r="A340" s="148">
        <v>10148</v>
      </c>
      <c r="B340" s="148" t="s">
        <v>1213</v>
      </c>
      <c r="C340" s="148" t="s">
        <v>1214</v>
      </c>
      <c r="D340" s="148" t="s">
        <v>1025</v>
      </c>
      <c r="E340" s="148" t="s">
        <v>1212</v>
      </c>
      <c r="F340" s="149">
        <v>1</v>
      </c>
      <c r="G340" s="148" t="s">
        <v>591</v>
      </c>
      <c r="H340" s="150">
        <v>108.12</v>
      </c>
      <c r="I340" s="151">
        <f t="shared" si="2"/>
        <v>108120</v>
      </c>
    </row>
    <row r="341" spans="1:9" ht="15" customHeight="1" x14ac:dyDescent="0.25">
      <c r="A341" s="148">
        <v>10149</v>
      </c>
      <c r="B341" s="148" t="s">
        <v>1215</v>
      </c>
      <c r="C341" s="148" t="s">
        <v>1216</v>
      </c>
      <c r="D341" s="148" t="s">
        <v>1025</v>
      </c>
      <c r="E341" s="148" t="s">
        <v>1212</v>
      </c>
      <c r="F341" s="149">
        <v>1</v>
      </c>
      <c r="G341" s="148" t="s">
        <v>591</v>
      </c>
      <c r="H341" s="150">
        <v>110.88</v>
      </c>
      <c r="I341" s="151">
        <f t="shared" si="2"/>
        <v>110880</v>
      </c>
    </row>
    <row r="342" spans="1:9" ht="15" customHeight="1" x14ac:dyDescent="0.25">
      <c r="A342" s="148">
        <v>10152</v>
      </c>
      <c r="B342" s="148" t="s">
        <v>1217</v>
      </c>
      <c r="C342" s="148" t="s">
        <v>1218</v>
      </c>
      <c r="D342" s="148" t="s">
        <v>1025</v>
      </c>
      <c r="E342" s="148" t="s">
        <v>1212</v>
      </c>
      <c r="F342" s="149">
        <v>1</v>
      </c>
      <c r="G342" s="148" t="s">
        <v>591</v>
      </c>
      <c r="H342" s="150">
        <v>118.53</v>
      </c>
      <c r="I342" s="151">
        <f t="shared" si="2"/>
        <v>118530</v>
      </c>
    </row>
    <row r="343" spans="1:9" ht="15" customHeight="1" x14ac:dyDescent="0.25">
      <c r="A343" s="148">
        <v>10154</v>
      </c>
      <c r="B343" s="148" t="s">
        <v>1219</v>
      </c>
      <c r="C343" s="148" t="s">
        <v>1220</v>
      </c>
      <c r="D343" s="148" t="s">
        <v>1025</v>
      </c>
      <c r="E343" s="148" t="s">
        <v>1212</v>
      </c>
      <c r="F343" s="149">
        <v>1</v>
      </c>
      <c r="G343" s="148" t="s">
        <v>591</v>
      </c>
      <c r="H343" s="150">
        <v>103.3</v>
      </c>
      <c r="I343" s="151">
        <f t="shared" si="2"/>
        <v>103300</v>
      </c>
    </row>
    <row r="344" spans="1:9" ht="15" customHeight="1" x14ac:dyDescent="0.25">
      <c r="A344" s="148">
        <v>10167</v>
      </c>
      <c r="B344" s="148" t="s">
        <v>1221</v>
      </c>
      <c r="C344" s="148" t="s">
        <v>1222</v>
      </c>
      <c r="D344" s="148" t="s">
        <v>1025</v>
      </c>
      <c r="E344" s="148" t="s">
        <v>1189</v>
      </c>
      <c r="F344" s="149">
        <v>1</v>
      </c>
      <c r="G344" s="148" t="s">
        <v>591</v>
      </c>
      <c r="H344" s="150">
        <v>178.11</v>
      </c>
      <c r="I344" s="151">
        <f t="shared" si="2"/>
        <v>178110</v>
      </c>
    </row>
    <row r="345" spans="1:9" ht="15" customHeight="1" x14ac:dyDescent="0.25">
      <c r="A345" s="148">
        <v>10168</v>
      </c>
      <c r="B345" s="148" t="s">
        <v>1223</v>
      </c>
      <c r="C345" s="148" t="s">
        <v>1224</v>
      </c>
      <c r="D345" s="148" t="s">
        <v>1025</v>
      </c>
      <c r="E345" s="148" t="s">
        <v>1059</v>
      </c>
      <c r="F345" s="149">
        <v>1</v>
      </c>
      <c r="G345" s="148" t="s">
        <v>591</v>
      </c>
      <c r="H345" s="150">
        <v>106.68</v>
      </c>
      <c r="I345" s="151">
        <f t="shared" si="2"/>
        <v>106680</v>
      </c>
    </row>
    <row r="346" spans="1:9" ht="15" customHeight="1" x14ac:dyDescent="0.25">
      <c r="A346" s="148">
        <v>10181</v>
      </c>
      <c r="B346" s="148" t="s">
        <v>1225</v>
      </c>
      <c r="C346" s="148" t="s">
        <v>1226</v>
      </c>
      <c r="D346" s="148" t="s">
        <v>1025</v>
      </c>
      <c r="E346" s="148" t="s">
        <v>1227</v>
      </c>
      <c r="F346" s="149">
        <v>1</v>
      </c>
      <c r="G346" s="148" t="s">
        <v>591</v>
      </c>
      <c r="H346" s="150">
        <v>111.29</v>
      </c>
      <c r="I346" s="151">
        <f t="shared" si="2"/>
        <v>111290</v>
      </c>
    </row>
    <row r="347" spans="1:9" ht="15" customHeight="1" x14ac:dyDescent="0.25">
      <c r="A347" s="148">
        <v>10183</v>
      </c>
      <c r="B347" s="148" t="s">
        <v>1228</v>
      </c>
      <c r="C347" s="148" t="s">
        <v>1229</v>
      </c>
      <c r="D347" s="148" t="s">
        <v>1025</v>
      </c>
      <c r="E347" s="148" t="s">
        <v>1227</v>
      </c>
      <c r="F347" s="149">
        <v>1</v>
      </c>
      <c r="G347" s="148" t="s">
        <v>591</v>
      </c>
      <c r="H347" s="150">
        <v>111.98</v>
      </c>
      <c r="I347" s="151">
        <f t="shared" si="2"/>
        <v>111980</v>
      </c>
    </row>
    <row r="348" spans="1:9" ht="15" customHeight="1" x14ac:dyDescent="0.25">
      <c r="A348" s="148">
        <v>10184</v>
      </c>
      <c r="B348" s="148" t="s">
        <v>1230</v>
      </c>
      <c r="C348" s="148" t="s">
        <v>1231</v>
      </c>
      <c r="D348" s="148" t="s">
        <v>1025</v>
      </c>
      <c r="E348" s="148" t="s">
        <v>1164</v>
      </c>
      <c r="F348" s="149">
        <v>1</v>
      </c>
      <c r="G348" s="148" t="s">
        <v>591</v>
      </c>
      <c r="H348" s="150">
        <v>114.1</v>
      </c>
      <c r="I348" s="151">
        <f t="shared" si="2"/>
        <v>114100</v>
      </c>
    </row>
    <row r="349" spans="1:9" ht="15" customHeight="1" x14ac:dyDescent="0.25">
      <c r="A349" s="148">
        <v>10185</v>
      </c>
      <c r="B349" s="148" t="s">
        <v>547</v>
      </c>
      <c r="C349" s="148" t="s">
        <v>1232</v>
      </c>
      <c r="D349" s="148" t="s">
        <v>630</v>
      </c>
      <c r="E349" s="148" t="s">
        <v>886</v>
      </c>
      <c r="F349" s="149">
        <v>1</v>
      </c>
      <c r="G349" s="148" t="s">
        <v>591</v>
      </c>
      <c r="H349" s="150">
        <v>93.46</v>
      </c>
      <c r="I349" s="151">
        <f t="shared" si="2"/>
        <v>93460</v>
      </c>
    </row>
    <row r="350" spans="1:9" ht="15" customHeight="1" x14ac:dyDescent="0.25">
      <c r="A350" s="148">
        <v>10186</v>
      </c>
      <c r="B350" s="148" t="s">
        <v>515</v>
      </c>
      <c r="C350" s="148" t="s">
        <v>1233</v>
      </c>
      <c r="D350" s="148" t="s">
        <v>630</v>
      </c>
      <c r="E350" s="148" t="s">
        <v>1234</v>
      </c>
      <c r="F350" s="149">
        <v>1</v>
      </c>
      <c r="G350" s="148" t="s">
        <v>591</v>
      </c>
      <c r="H350" s="150">
        <v>86.18</v>
      </c>
      <c r="I350" s="151">
        <f t="shared" si="2"/>
        <v>86180</v>
      </c>
    </row>
    <row r="351" spans="1:9" ht="15" customHeight="1" x14ac:dyDescent="0.25">
      <c r="A351" s="148">
        <v>10300</v>
      </c>
      <c r="B351" s="148" t="s">
        <v>1235</v>
      </c>
      <c r="C351" s="148" t="s">
        <v>1236</v>
      </c>
      <c r="D351" s="148" t="s">
        <v>1025</v>
      </c>
      <c r="E351" s="148" t="s">
        <v>1121</v>
      </c>
      <c r="F351" s="149">
        <v>19</v>
      </c>
      <c r="G351" s="148" t="s">
        <v>591</v>
      </c>
      <c r="H351" s="150">
        <v>1838.79</v>
      </c>
      <c r="I351" s="151">
        <v>1838.79</v>
      </c>
    </row>
    <row r="352" spans="1:9" ht="15" customHeight="1" x14ac:dyDescent="0.25">
      <c r="A352" s="148">
        <v>10301</v>
      </c>
      <c r="B352" s="148" t="s">
        <v>1237</v>
      </c>
      <c r="C352" s="148" t="s">
        <v>1238</v>
      </c>
      <c r="D352" s="148" t="s">
        <v>1025</v>
      </c>
      <c r="E352" s="148" t="s">
        <v>1121</v>
      </c>
      <c r="F352" s="149">
        <v>19</v>
      </c>
      <c r="G352" s="148" t="s">
        <v>591</v>
      </c>
      <c r="H352" s="150">
        <v>1794.67</v>
      </c>
      <c r="I352" s="151">
        <v>1794.67</v>
      </c>
    </row>
    <row r="353" spans="1:9" ht="15" customHeight="1" x14ac:dyDescent="0.25">
      <c r="A353" s="148">
        <v>10302</v>
      </c>
      <c r="B353" s="148" t="s">
        <v>1239</v>
      </c>
      <c r="C353" s="148" t="s">
        <v>1240</v>
      </c>
      <c r="D353" s="148" t="s">
        <v>1025</v>
      </c>
      <c r="E353" s="148" t="s">
        <v>1121</v>
      </c>
      <c r="F353" s="149">
        <v>19</v>
      </c>
      <c r="G353" s="148" t="s">
        <v>591</v>
      </c>
      <c r="H353" s="150">
        <v>1814.3</v>
      </c>
      <c r="I353" s="151">
        <v>1814.3</v>
      </c>
    </row>
    <row r="354" spans="1:9" ht="15" customHeight="1" x14ac:dyDescent="0.25">
      <c r="A354" s="148">
        <v>10303</v>
      </c>
      <c r="B354" s="148" t="s">
        <v>1241</v>
      </c>
      <c r="C354" s="148" t="s">
        <v>1242</v>
      </c>
      <c r="D354" s="148" t="s">
        <v>1025</v>
      </c>
      <c r="E354" s="148" t="s">
        <v>1121</v>
      </c>
      <c r="F354" s="149">
        <v>19</v>
      </c>
      <c r="G354" s="148" t="s">
        <v>591</v>
      </c>
      <c r="H354" s="150">
        <v>1885.11</v>
      </c>
      <c r="I354" s="151">
        <v>1885.11</v>
      </c>
    </row>
    <row r="355" spans="1:9" ht="15" customHeight="1" x14ac:dyDescent="0.25">
      <c r="A355" s="148">
        <v>10304</v>
      </c>
      <c r="B355" s="148" t="s">
        <v>1243</v>
      </c>
      <c r="C355" s="148" t="s">
        <v>1244</v>
      </c>
      <c r="D355" s="148" t="s">
        <v>1025</v>
      </c>
      <c r="E355" s="148" t="s">
        <v>1121</v>
      </c>
      <c r="F355" s="149">
        <v>19</v>
      </c>
      <c r="G355" s="148" t="s">
        <v>591</v>
      </c>
      <c r="H355" s="150">
        <v>1952.65</v>
      </c>
      <c r="I355" s="151">
        <v>1952.65</v>
      </c>
    </row>
    <row r="356" spans="1:9" ht="15" customHeight="1" x14ac:dyDescent="0.25">
      <c r="A356" s="148">
        <v>10305</v>
      </c>
      <c r="B356" s="148" t="s">
        <v>1245</v>
      </c>
      <c r="C356" s="148" t="s">
        <v>1246</v>
      </c>
      <c r="D356" s="148" t="s">
        <v>1025</v>
      </c>
      <c r="E356" s="148" t="s">
        <v>1121</v>
      </c>
      <c r="F356" s="149">
        <v>19</v>
      </c>
      <c r="G356" s="148" t="s">
        <v>591</v>
      </c>
      <c r="H356" s="150">
        <v>1970.8</v>
      </c>
      <c r="I356" s="151">
        <v>1970.8</v>
      </c>
    </row>
    <row r="357" spans="1:9" ht="15" customHeight="1" x14ac:dyDescent="0.25">
      <c r="A357" s="148">
        <v>10306</v>
      </c>
      <c r="B357" s="148" t="s">
        <v>1247</v>
      </c>
      <c r="C357" s="148" t="s">
        <v>1248</v>
      </c>
      <c r="D357" s="148" t="s">
        <v>1025</v>
      </c>
      <c r="E357" s="148" t="s">
        <v>1121</v>
      </c>
      <c r="F357" s="149">
        <v>19</v>
      </c>
      <c r="G357" s="148" t="s">
        <v>591</v>
      </c>
      <c r="H357" s="150">
        <v>1984.7</v>
      </c>
      <c r="I357" s="151">
        <v>1984.7</v>
      </c>
    </row>
    <row r="358" spans="1:9" ht="15" customHeight="1" x14ac:dyDescent="0.25">
      <c r="A358" s="148">
        <v>10307</v>
      </c>
      <c r="B358" s="148" t="s">
        <v>1249</v>
      </c>
      <c r="C358" s="148" t="s">
        <v>1250</v>
      </c>
      <c r="D358" s="148" t="s">
        <v>1025</v>
      </c>
      <c r="E358" s="148" t="s">
        <v>1121</v>
      </c>
      <c r="F358" s="149">
        <v>19</v>
      </c>
      <c r="G358" s="148" t="s">
        <v>591</v>
      </c>
      <c r="H358" s="150">
        <v>1991.42</v>
      </c>
      <c r="I358" s="151">
        <v>1991.42</v>
      </c>
    </row>
    <row r="359" spans="1:9" ht="15" customHeight="1" x14ac:dyDescent="0.25">
      <c r="A359" s="148">
        <v>10308</v>
      </c>
      <c r="B359" s="148" t="s">
        <v>1251</v>
      </c>
      <c r="C359" s="148" t="s">
        <v>1252</v>
      </c>
      <c r="D359" s="148" t="s">
        <v>1025</v>
      </c>
      <c r="E359" s="148" t="s">
        <v>1121</v>
      </c>
      <c r="F359" s="149">
        <v>19</v>
      </c>
      <c r="G359" s="148" t="s">
        <v>591</v>
      </c>
      <c r="H359" s="150">
        <v>1990.23</v>
      </c>
      <c r="I359" s="151">
        <v>1990.23</v>
      </c>
    </row>
    <row r="360" spans="1:9" ht="15" customHeight="1" x14ac:dyDescent="0.25">
      <c r="A360" s="148">
        <v>10309</v>
      </c>
      <c r="B360" s="148" t="s">
        <v>1253</v>
      </c>
      <c r="C360" s="148" t="s">
        <v>1254</v>
      </c>
      <c r="D360" s="148" t="s">
        <v>1025</v>
      </c>
      <c r="E360" s="148" t="s">
        <v>1121</v>
      </c>
      <c r="F360" s="149">
        <v>19</v>
      </c>
      <c r="G360" s="148" t="s">
        <v>591</v>
      </c>
      <c r="H360" s="150">
        <v>1861.85</v>
      </c>
      <c r="I360" s="151">
        <v>1861.85</v>
      </c>
    </row>
    <row r="361" spans="1:9" ht="15" customHeight="1" x14ac:dyDescent="0.25">
      <c r="A361" s="148">
        <v>10310</v>
      </c>
      <c r="B361" s="148" t="s">
        <v>1255</v>
      </c>
      <c r="C361" s="148" t="s">
        <v>1256</v>
      </c>
      <c r="D361" s="148" t="s">
        <v>1025</v>
      </c>
      <c r="E361" s="148" t="s">
        <v>1121</v>
      </c>
      <c r="F361" s="149">
        <v>19</v>
      </c>
      <c r="G361" s="148" t="s">
        <v>591</v>
      </c>
      <c r="H361" s="150">
        <v>1994.92</v>
      </c>
      <c r="I361" s="151">
        <v>1994.92</v>
      </c>
    </row>
    <row r="362" spans="1:9" ht="15" customHeight="1" x14ac:dyDescent="0.25">
      <c r="A362" s="148">
        <v>10311</v>
      </c>
      <c r="B362" s="148" t="s">
        <v>1257</v>
      </c>
      <c r="C362" s="148" t="s">
        <v>1258</v>
      </c>
      <c r="D362" s="148" t="s">
        <v>1025</v>
      </c>
      <c r="E362" s="148" t="s">
        <v>1121</v>
      </c>
      <c r="F362" s="149">
        <v>19</v>
      </c>
      <c r="G362" s="148" t="s">
        <v>591</v>
      </c>
      <c r="H362" s="150">
        <v>1991.66</v>
      </c>
      <c r="I362" s="151">
        <v>1991.66</v>
      </c>
    </row>
    <row r="363" spans="1:9" ht="15" customHeight="1" x14ac:dyDescent="0.25">
      <c r="A363" s="148">
        <v>10312</v>
      </c>
      <c r="B363" s="148" t="s">
        <v>1259</v>
      </c>
      <c r="C363" s="148" t="s">
        <v>1260</v>
      </c>
      <c r="D363" s="148" t="s">
        <v>1025</v>
      </c>
      <c r="E363" s="148" t="s">
        <v>1134</v>
      </c>
      <c r="F363" s="149">
        <v>19</v>
      </c>
      <c r="G363" s="148" t="s">
        <v>591</v>
      </c>
      <c r="H363" s="150">
        <v>2099.7399999999998</v>
      </c>
      <c r="I363" s="151">
        <v>2099.7399999999998</v>
      </c>
    </row>
    <row r="364" spans="1:9" ht="15" customHeight="1" x14ac:dyDescent="0.25">
      <c r="A364" s="148">
        <v>10313</v>
      </c>
      <c r="B364" s="148" t="s">
        <v>1261</v>
      </c>
      <c r="C364" s="148" t="s">
        <v>1262</v>
      </c>
      <c r="D364" s="148" t="s">
        <v>1025</v>
      </c>
      <c r="E364" s="148" t="s">
        <v>1134</v>
      </c>
      <c r="F364" s="149">
        <v>19</v>
      </c>
      <c r="G364" s="148" t="s">
        <v>591</v>
      </c>
      <c r="H364" s="150">
        <v>2086.9</v>
      </c>
      <c r="I364" s="151">
        <v>2086.9</v>
      </c>
    </row>
    <row r="365" spans="1:9" ht="15" customHeight="1" x14ac:dyDescent="0.25">
      <c r="A365" s="148">
        <v>10314</v>
      </c>
      <c r="B365" s="148" t="s">
        <v>1263</v>
      </c>
      <c r="C365" s="148" t="s">
        <v>1264</v>
      </c>
      <c r="D365" s="148" t="s">
        <v>1025</v>
      </c>
      <c r="E365" s="148" t="s">
        <v>1134</v>
      </c>
      <c r="F365" s="149">
        <v>19</v>
      </c>
      <c r="G365" s="148" t="s">
        <v>591</v>
      </c>
      <c r="H365" s="150">
        <v>2204.12</v>
      </c>
      <c r="I365" s="151">
        <v>2204.12</v>
      </c>
    </row>
    <row r="366" spans="1:9" ht="15" customHeight="1" x14ac:dyDescent="0.25">
      <c r="A366" s="148">
        <v>10315</v>
      </c>
      <c r="B366" s="148" t="s">
        <v>1265</v>
      </c>
      <c r="C366" s="148" t="s">
        <v>1266</v>
      </c>
      <c r="D366" s="148" t="s">
        <v>1025</v>
      </c>
      <c r="E366" s="148" t="s">
        <v>1134</v>
      </c>
      <c r="F366" s="149">
        <v>19</v>
      </c>
      <c r="G366" s="148" t="s">
        <v>591</v>
      </c>
      <c r="H366" s="150">
        <v>2326.5100000000002</v>
      </c>
      <c r="I366" s="151">
        <v>2326.5100000000002</v>
      </c>
    </row>
    <row r="367" spans="1:9" ht="15" customHeight="1" x14ac:dyDescent="0.25">
      <c r="A367" s="148">
        <v>10316</v>
      </c>
      <c r="B367" s="148" t="s">
        <v>1267</v>
      </c>
      <c r="C367" s="148" t="s">
        <v>1268</v>
      </c>
      <c r="D367" s="148" t="s">
        <v>1025</v>
      </c>
      <c r="E367" s="148" t="s">
        <v>1134</v>
      </c>
      <c r="F367" s="149">
        <v>19</v>
      </c>
      <c r="G367" s="148" t="s">
        <v>591</v>
      </c>
      <c r="H367" s="150">
        <v>2579.52</v>
      </c>
      <c r="I367" s="151">
        <v>2579.52</v>
      </c>
    </row>
    <row r="368" spans="1:9" ht="15" customHeight="1" x14ac:dyDescent="0.25">
      <c r="A368" s="148">
        <v>10317</v>
      </c>
      <c r="B368" s="148" t="s">
        <v>1269</v>
      </c>
      <c r="C368" s="148" t="s">
        <v>1270</v>
      </c>
      <c r="D368" s="148" t="s">
        <v>1025</v>
      </c>
      <c r="E368" s="148" t="s">
        <v>1134</v>
      </c>
      <c r="F368" s="149">
        <v>19</v>
      </c>
      <c r="G368" s="148" t="s">
        <v>591</v>
      </c>
      <c r="H368" s="150">
        <v>2803.94</v>
      </c>
      <c r="I368" s="151">
        <v>2803.94</v>
      </c>
    </row>
    <row r="369" spans="1:9" ht="15" customHeight="1" x14ac:dyDescent="0.25">
      <c r="A369" s="148">
        <v>10318</v>
      </c>
      <c r="B369" s="148" t="s">
        <v>1271</v>
      </c>
      <c r="C369" s="148" t="s">
        <v>1272</v>
      </c>
      <c r="D369" s="148" t="s">
        <v>1025</v>
      </c>
      <c r="E369" s="148" t="s">
        <v>1139</v>
      </c>
      <c r="F369" s="149">
        <v>19</v>
      </c>
      <c r="G369" s="148" t="s">
        <v>591</v>
      </c>
      <c r="H369" s="150">
        <v>1985.19</v>
      </c>
      <c r="I369" s="151">
        <v>1985.19</v>
      </c>
    </row>
    <row r="370" spans="1:9" ht="15" customHeight="1" x14ac:dyDescent="0.25">
      <c r="A370" s="148">
        <v>10319</v>
      </c>
      <c r="B370" s="148" t="s">
        <v>1273</v>
      </c>
      <c r="C370" s="148" t="s">
        <v>1274</v>
      </c>
      <c r="D370" s="148" t="s">
        <v>1025</v>
      </c>
      <c r="E370" s="148" t="s">
        <v>1139</v>
      </c>
      <c r="F370" s="149">
        <v>19</v>
      </c>
      <c r="G370" s="148" t="s">
        <v>591</v>
      </c>
      <c r="H370" s="150">
        <v>2060.83</v>
      </c>
      <c r="I370" s="151">
        <v>2060.83</v>
      </c>
    </row>
    <row r="371" spans="1:9" ht="15" customHeight="1" x14ac:dyDescent="0.25">
      <c r="A371" s="148">
        <v>10320</v>
      </c>
      <c r="B371" s="148" t="s">
        <v>1275</v>
      </c>
      <c r="C371" s="148" t="s">
        <v>1276</v>
      </c>
      <c r="D371" s="148" t="s">
        <v>1025</v>
      </c>
      <c r="E371" s="148" t="s">
        <v>1139</v>
      </c>
      <c r="F371" s="149">
        <v>19</v>
      </c>
      <c r="G371" s="148" t="s">
        <v>591</v>
      </c>
      <c r="H371" s="150">
        <v>2075.19</v>
      </c>
      <c r="I371" s="151">
        <v>2075.19</v>
      </c>
    </row>
    <row r="372" spans="1:9" ht="15" customHeight="1" x14ac:dyDescent="0.25">
      <c r="A372" s="148">
        <v>10321</v>
      </c>
      <c r="B372" s="148" t="s">
        <v>1277</v>
      </c>
      <c r="C372" s="148" t="s">
        <v>1278</v>
      </c>
      <c r="D372" s="148" t="s">
        <v>1025</v>
      </c>
      <c r="E372" s="148" t="s">
        <v>1139</v>
      </c>
      <c r="F372" s="149">
        <v>19</v>
      </c>
      <c r="G372" s="148" t="s">
        <v>591</v>
      </c>
      <c r="H372" s="150">
        <v>2084.96</v>
      </c>
      <c r="I372" s="151">
        <v>2084.96</v>
      </c>
    </row>
    <row r="373" spans="1:9" ht="15" customHeight="1" x14ac:dyDescent="0.25">
      <c r="A373" s="148">
        <v>10322</v>
      </c>
      <c r="B373" s="148" t="s">
        <v>1279</v>
      </c>
      <c r="C373" s="148" t="s">
        <v>1280</v>
      </c>
      <c r="D373" s="148" t="s">
        <v>1025</v>
      </c>
      <c r="E373" s="148" t="s">
        <v>1142</v>
      </c>
      <c r="F373" s="149">
        <v>19</v>
      </c>
      <c r="G373" s="148" t="s">
        <v>591</v>
      </c>
      <c r="H373" s="150">
        <v>3490.84</v>
      </c>
      <c r="I373" s="151">
        <v>3490.84</v>
      </c>
    </row>
    <row r="374" spans="1:9" ht="15" customHeight="1" x14ac:dyDescent="0.25">
      <c r="A374" s="148">
        <v>10323</v>
      </c>
      <c r="B374" s="148" t="s">
        <v>1281</v>
      </c>
      <c r="C374" s="148" t="s">
        <v>1282</v>
      </c>
      <c r="D374" s="148" t="s">
        <v>1025</v>
      </c>
      <c r="E374" s="148" t="s">
        <v>1142</v>
      </c>
      <c r="F374" s="149">
        <v>19</v>
      </c>
      <c r="G374" s="148" t="s">
        <v>591</v>
      </c>
      <c r="H374" s="150">
        <v>3577.99</v>
      </c>
      <c r="I374" s="151">
        <v>3577.99</v>
      </c>
    </row>
    <row r="375" spans="1:9" ht="15" customHeight="1" x14ac:dyDescent="0.25">
      <c r="A375" s="148">
        <v>10324</v>
      </c>
      <c r="B375" s="148" t="s">
        <v>1283</v>
      </c>
      <c r="C375" s="148" t="s">
        <v>1284</v>
      </c>
      <c r="D375" s="148" t="s">
        <v>1025</v>
      </c>
      <c r="E375" s="148" t="s">
        <v>1142</v>
      </c>
      <c r="F375" s="149">
        <v>19</v>
      </c>
      <c r="G375" s="148" t="s">
        <v>591</v>
      </c>
      <c r="H375" s="150">
        <v>3900.27</v>
      </c>
      <c r="I375" s="151">
        <v>3900.27</v>
      </c>
    </row>
    <row r="376" spans="1:9" ht="15" customHeight="1" x14ac:dyDescent="0.25">
      <c r="A376" s="148">
        <v>10325</v>
      </c>
      <c r="B376" s="148" t="s">
        <v>1285</v>
      </c>
      <c r="C376" s="148" t="s">
        <v>1286</v>
      </c>
      <c r="D376" s="148" t="s">
        <v>1025</v>
      </c>
      <c r="E376" s="148" t="s">
        <v>1287</v>
      </c>
      <c r="F376" s="149">
        <v>19</v>
      </c>
      <c r="G376" s="148" t="s">
        <v>591</v>
      </c>
      <c r="H376" s="150">
        <v>3453.49</v>
      </c>
      <c r="I376" s="151">
        <v>3453.49</v>
      </c>
    </row>
    <row r="377" spans="1:9" ht="15" customHeight="1" x14ac:dyDescent="0.25">
      <c r="A377" s="148">
        <v>10326</v>
      </c>
      <c r="B377" s="148" t="s">
        <v>1288</v>
      </c>
      <c r="C377" s="148" t="s">
        <v>1289</v>
      </c>
      <c r="D377" s="148" t="s">
        <v>1025</v>
      </c>
      <c r="E377" s="148" t="s">
        <v>1147</v>
      </c>
      <c r="F377" s="149">
        <v>19</v>
      </c>
      <c r="G377" s="148" t="s">
        <v>591</v>
      </c>
      <c r="H377" s="150">
        <v>1969.75</v>
      </c>
      <c r="I377" s="151">
        <v>1969.75</v>
      </c>
    </row>
    <row r="378" spans="1:9" ht="15" customHeight="1" x14ac:dyDescent="0.25">
      <c r="A378" s="148">
        <v>10327</v>
      </c>
      <c r="B378" s="148" t="s">
        <v>1290</v>
      </c>
      <c r="C378" s="148" t="s">
        <v>1291</v>
      </c>
      <c r="D378" s="148" t="s">
        <v>1025</v>
      </c>
      <c r="E378" s="148" t="s">
        <v>1147</v>
      </c>
      <c r="F378" s="149">
        <v>19</v>
      </c>
      <c r="G378" s="148" t="s">
        <v>591</v>
      </c>
      <c r="H378" s="150">
        <v>2037.81</v>
      </c>
      <c r="I378" s="151">
        <v>2037.81</v>
      </c>
    </row>
    <row r="379" spans="1:9" ht="15" customHeight="1" x14ac:dyDescent="0.25">
      <c r="A379" s="148">
        <v>10328</v>
      </c>
      <c r="B379" s="148" t="s">
        <v>1292</v>
      </c>
      <c r="C379" s="148" t="s">
        <v>1293</v>
      </c>
      <c r="D379" s="148" t="s">
        <v>1025</v>
      </c>
      <c r="E379" s="148" t="s">
        <v>1147</v>
      </c>
      <c r="F379" s="149">
        <v>19</v>
      </c>
      <c r="G379" s="148" t="s">
        <v>591</v>
      </c>
      <c r="H379" s="150">
        <v>2051.9299999999998</v>
      </c>
      <c r="I379" s="151">
        <v>2051.9299999999998</v>
      </c>
    </row>
    <row r="380" spans="1:9" ht="15" customHeight="1" x14ac:dyDescent="0.25">
      <c r="A380" s="148">
        <v>10329</v>
      </c>
      <c r="B380" s="148" t="s">
        <v>1294</v>
      </c>
      <c r="C380" s="148" t="s">
        <v>1295</v>
      </c>
      <c r="D380" s="148" t="s">
        <v>1025</v>
      </c>
      <c r="E380" s="148" t="s">
        <v>1147</v>
      </c>
      <c r="F380" s="149">
        <v>19</v>
      </c>
      <c r="G380" s="148" t="s">
        <v>591</v>
      </c>
      <c r="H380" s="150">
        <v>2068.5100000000002</v>
      </c>
      <c r="I380" s="151">
        <v>2068.5100000000002</v>
      </c>
    </row>
    <row r="381" spans="1:9" ht="15" customHeight="1" x14ac:dyDescent="0.25">
      <c r="A381" s="148">
        <v>10330</v>
      </c>
      <c r="B381" s="148" t="s">
        <v>1296</v>
      </c>
      <c r="C381" s="148" t="s">
        <v>1297</v>
      </c>
      <c r="D381" s="148" t="s">
        <v>1025</v>
      </c>
      <c r="E381" s="148" t="s">
        <v>1147</v>
      </c>
      <c r="F381" s="149">
        <v>19</v>
      </c>
      <c r="G381" s="148" t="s">
        <v>591</v>
      </c>
      <c r="H381" s="150">
        <v>2066.7600000000002</v>
      </c>
      <c r="I381" s="151">
        <v>2066.7600000000002</v>
      </c>
    </row>
    <row r="382" spans="1:9" ht="15" customHeight="1" x14ac:dyDescent="0.25">
      <c r="A382" s="148">
        <v>10331</v>
      </c>
      <c r="B382" s="148" t="s">
        <v>1298</v>
      </c>
      <c r="C382" s="148" t="s">
        <v>1299</v>
      </c>
      <c r="D382" s="148" t="s">
        <v>1025</v>
      </c>
      <c r="E382" s="148" t="s">
        <v>1147</v>
      </c>
      <c r="F382" s="149">
        <v>19</v>
      </c>
      <c r="G382" s="148" t="s">
        <v>591</v>
      </c>
      <c r="H382" s="150">
        <v>2071.3000000000002</v>
      </c>
      <c r="I382" s="151">
        <v>2071.3000000000002</v>
      </c>
    </row>
    <row r="383" spans="1:9" ht="15" customHeight="1" x14ac:dyDescent="0.25">
      <c r="A383" s="148">
        <v>10332</v>
      </c>
      <c r="B383" s="148" t="s">
        <v>1300</v>
      </c>
      <c r="C383" s="148" t="s">
        <v>1301</v>
      </c>
      <c r="D383" s="148" t="s">
        <v>1025</v>
      </c>
      <c r="E383" s="148" t="s">
        <v>1147</v>
      </c>
      <c r="F383" s="149">
        <v>19</v>
      </c>
      <c r="G383" s="148" t="s">
        <v>591</v>
      </c>
      <c r="H383" s="150">
        <v>2067.7399999999998</v>
      </c>
      <c r="I383" s="151">
        <v>2067.7399999999998</v>
      </c>
    </row>
    <row r="384" spans="1:9" ht="15" customHeight="1" x14ac:dyDescent="0.25">
      <c r="A384" s="148">
        <v>10333</v>
      </c>
      <c r="B384" s="148" t="s">
        <v>1302</v>
      </c>
      <c r="C384" s="148" t="s">
        <v>1303</v>
      </c>
      <c r="D384" s="148" t="s">
        <v>1025</v>
      </c>
      <c r="E384" s="148" t="s">
        <v>1147</v>
      </c>
      <c r="F384" s="149">
        <v>19</v>
      </c>
      <c r="G384" s="148" t="s">
        <v>591</v>
      </c>
      <c r="H384" s="150">
        <v>2111.61</v>
      </c>
      <c r="I384" s="151">
        <v>2111.61</v>
      </c>
    </row>
    <row r="385" spans="1:9" ht="15" customHeight="1" x14ac:dyDescent="0.25">
      <c r="A385" s="148">
        <v>10334</v>
      </c>
      <c r="B385" s="148" t="s">
        <v>1304</v>
      </c>
      <c r="C385" s="148" t="s">
        <v>1305</v>
      </c>
      <c r="D385" s="148" t="s">
        <v>1025</v>
      </c>
      <c r="E385" s="148" t="s">
        <v>1147</v>
      </c>
      <c r="F385" s="149">
        <v>19</v>
      </c>
      <c r="G385" s="148" t="s">
        <v>591</v>
      </c>
      <c r="H385" s="150">
        <v>2109.52</v>
      </c>
      <c r="I385" s="151">
        <v>2109.52</v>
      </c>
    </row>
    <row r="386" spans="1:9" ht="15" customHeight="1" x14ac:dyDescent="0.25">
      <c r="A386" s="148">
        <v>10335</v>
      </c>
      <c r="B386" s="148" t="s">
        <v>1306</v>
      </c>
      <c r="C386" s="148" t="s">
        <v>1307</v>
      </c>
      <c r="D386" s="148" t="s">
        <v>1025</v>
      </c>
      <c r="E386" s="148" t="s">
        <v>1150</v>
      </c>
      <c r="F386" s="149">
        <v>19</v>
      </c>
      <c r="G386" s="148" t="s">
        <v>591</v>
      </c>
      <c r="H386" s="150">
        <v>1928.44</v>
      </c>
      <c r="I386" s="151">
        <v>1928.44</v>
      </c>
    </row>
    <row r="387" spans="1:9" ht="15" customHeight="1" x14ac:dyDescent="0.25">
      <c r="A387" s="148">
        <v>10336</v>
      </c>
      <c r="B387" s="148" t="s">
        <v>1308</v>
      </c>
      <c r="C387" s="148" t="s">
        <v>1309</v>
      </c>
      <c r="D387" s="148" t="s">
        <v>1025</v>
      </c>
      <c r="E387" s="148" t="s">
        <v>1150</v>
      </c>
      <c r="F387" s="149">
        <v>19</v>
      </c>
      <c r="G387" s="148" t="s">
        <v>591</v>
      </c>
      <c r="H387" s="150">
        <v>1997.33</v>
      </c>
      <c r="I387" s="151">
        <v>1997.33</v>
      </c>
    </row>
    <row r="388" spans="1:9" ht="15" customHeight="1" x14ac:dyDescent="0.25">
      <c r="A388" s="148">
        <v>10337</v>
      </c>
      <c r="B388" s="148" t="s">
        <v>1310</v>
      </c>
      <c r="C388" s="148" t="s">
        <v>1311</v>
      </c>
      <c r="D388" s="148" t="s">
        <v>1025</v>
      </c>
      <c r="E388" s="148" t="s">
        <v>1150</v>
      </c>
      <c r="F388" s="149">
        <v>19</v>
      </c>
      <c r="G388" s="148" t="s">
        <v>591</v>
      </c>
      <c r="H388" s="150">
        <v>2016.77</v>
      </c>
      <c r="I388" s="151">
        <v>2016.77</v>
      </c>
    </row>
    <row r="389" spans="1:9" ht="15" customHeight="1" x14ac:dyDescent="0.25">
      <c r="A389" s="148">
        <v>10338</v>
      </c>
      <c r="B389" s="148" t="s">
        <v>1312</v>
      </c>
      <c r="C389" s="148" t="s">
        <v>1313</v>
      </c>
      <c r="D389" s="148" t="s">
        <v>1025</v>
      </c>
      <c r="E389" s="148" t="s">
        <v>1150</v>
      </c>
      <c r="F389" s="149">
        <v>19</v>
      </c>
      <c r="G389" s="148" t="s">
        <v>591</v>
      </c>
      <c r="H389" s="150">
        <v>2026.46</v>
      </c>
      <c r="I389" s="151">
        <v>2026.46</v>
      </c>
    </row>
    <row r="390" spans="1:9" ht="15" customHeight="1" x14ac:dyDescent="0.25">
      <c r="A390" s="148">
        <v>10339</v>
      </c>
      <c r="B390" s="148" t="s">
        <v>1314</v>
      </c>
      <c r="C390" s="148" t="s">
        <v>1315</v>
      </c>
      <c r="D390" s="148" t="s">
        <v>1025</v>
      </c>
      <c r="E390" s="148" t="s">
        <v>1150</v>
      </c>
      <c r="F390" s="149">
        <v>19</v>
      </c>
      <c r="G390" s="148" t="s">
        <v>591</v>
      </c>
      <c r="H390" s="150">
        <v>2024.55</v>
      </c>
      <c r="I390" s="151">
        <v>2024.55</v>
      </c>
    </row>
    <row r="391" spans="1:9" ht="15" customHeight="1" x14ac:dyDescent="0.25">
      <c r="A391" s="148">
        <v>10340</v>
      </c>
      <c r="B391" s="148" t="s">
        <v>1316</v>
      </c>
      <c r="C391" s="148" t="s">
        <v>1317</v>
      </c>
      <c r="D391" s="148" t="s">
        <v>1025</v>
      </c>
      <c r="E391" s="148" t="s">
        <v>1150</v>
      </c>
      <c r="F391" s="149">
        <v>19</v>
      </c>
      <c r="G391" s="148" t="s">
        <v>591</v>
      </c>
      <c r="H391" s="150">
        <v>2029.62</v>
      </c>
      <c r="I391" s="151">
        <v>2029.62</v>
      </c>
    </row>
    <row r="392" spans="1:9" ht="15" customHeight="1" x14ac:dyDescent="0.25">
      <c r="A392" s="148">
        <v>10341</v>
      </c>
      <c r="B392" s="148" t="s">
        <v>1318</v>
      </c>
      <c r="C392" s="148" t="s">
        <v>1319</v>
      </c>
      <c r="D392" s="148" t="s">
        <v>1025</v>
      </c>
      <c r="E392" s="148" t="s">
        <v>1150</v>
      </c>
      <c r="F392" s="149">
        <v>19</v>
      </c>
      <c r="G392" s="148" t="s">
        <v>591</v>
      </c>
      <c r="H392" s="150">
        <v>2040.07</v>
      </c>
      <c r="I392" s="151">
        <v>2040.07</v>
      </c>
    </row>
    <row r="393" spans="1:9" ht="15" customHeight="1" x14ac:dyDescent="0.25">
      <c r="A393" s="148">
        <v>10342</v>
      </c>
      <c r="B393" s="148" t="s">
        <v>1320</v>
      </c>
      <c r="C393" s="148" t="s">
        <v>1321</v>
      </c>
      <c r="D393" s="148" t="s">
        <v>1025</v>
      </c>
      <c r="E393" s="148" t="s">
        <v>1150</v>
      </c>
      <c r="F393" s="149">
        <v>19</v>
      </c>
      <c r="G393" s="148" t="s">
        <v>591</v>
      </c>
      <c r="H393" s="150">
        <v>2032.34</v>
      </c>
      <c r="I393" s="151">
        <v>2032.34</v>
      </c>
    </row>
    <row r="394" spans="1:9" ht="15" customHeight="1" x14ac:dyDescent="0.25">
      <c r="A394" s="148">
        <v>10343</v>
      </c>
      <c r="B394" s="148" t="s">
        <v>1322</v>
      </c>
      <c r="C394" s="148" t="s">
        <v>1323</v>
      </c>
      <c r="D394" s="148" t="s">
        <v>1025</v>
      </c>
      <c r="E394" s="148" t="s">
        <v>1150</v>
      </c>
      <c r="F394" s="149">
        <v>19</v>
      </c>
      <c r="G394" s="148" t="s">
        <v>591</v>
      </c>
      <c r="H394" s="150">
        <v>2070.1799999999998</v>
      </c>
      <c r="I394" s="151">
        <v>2070.1799999999998</v>
      </c>
    </row>
    <row r="395" spans="1:9" ht="15" customHeight="1" x14ac:dyDescent="0.25">
      <c r="A395" s="148">
        <v>10344</v>
      </c>
      <c r="B395" s="148" t="s">
        <v>1324</v>
      </c>
      <c r="C395" s="148" t="s">
        <v>1325</v>
      </c>
      <c r="D395" s="148" t="s">
        <v>1025</v>
      </c>
      <c r="E395" s="148" t="s">
        <v>1150</v>
      </c>
      <c r="F395" s="149">
        <v>19</v>
      </c>
      <c r="G395" s="148" t="s">
        <v>591</v>
      </c>
      <c r="H395" s="150">
        <v>2072.09</v>
      </c>
      <c r="I395" s="151">
        <v>2072.09</v>
      </c>
    </row>
    <row r="396" spans="1:9" ht="15" customHeight="1" x14ac:dyDescent="0.25">
      <c r="A396" s="148">
        <v>10345</v>
      </c>
      <c r="B396" s="148" t="s">
        <v>1326</v>
      </c>
      <c r="C396" s="148" t="s">
        <v>1327</v>
      </c>
      <c r="D396" s="148" t="s">
        <v>1025</v>
      </c>
      <c r="E396" s="148" t="s">
        <v>1155</v>
      </c>
      <c r="F396" s="149">
        <v>19</v>
      </c>
      <c r="G396" s="148" t="s">
        <v>591</v>
      </c>
      <c r="H396" s="150">
        <v>1813.56</v>
      </c>
      <c r="I396" s="151">
        <v>1813.56</v>
      </c>
    </row>
    <row r="397" spans="1:9" ht="15" customHeight="1" x14ac:dyDescent="0.25">
      <c r="A397" s="148">
        <v>10346</v>
      </c>
      <c r="B397" s="148" t="s">
        <v>1328</v>
      </c>
      <c r="C397" s="148" t="s">
        <v>1329</v>
      </c>
      <c r="D397" s="148" t="s">
        <v>1025</v>
      </c>
      <c r="E397" s="148" t="s">
        <v>1155</v>
      </c>
      <c r="F397" s="149">
        <v>19</v>
      </c>
      <c r="G397" s="148" t="s">
        <v>591</v>
      </c>
      <c r="H397" s="150">
        <v>1778.91</v>
      </c>
      <c r="I397" s="151">
        <v>1778.91</v>
      </c>
    </row>
    <row r="398" spans="1:9" ht="15" customHeight="1" x14ac:dyDescent="0.25">
      <c r="A398" s="148">
        <v>10347</v>
      </c>
      <c r="B398" s="148" t="s">
        <v>1330</v>
      </c>
      <c r="C398" s="148" t="s">
        <v>1331</v>
      </c>
      <c r="D398" s="148" t="s">
        <v>1025</v>
      </c>
      <c r="E398" s="148" t="s">
        <v>1155</v>
      </c>
      <c r="F398" s="149">
        <v>19</v>
      </c>
      <c r="G398" s="148" t="s">
        <v>591</v>
      </c>
      <c r="H398" s="150">
        <v>1803.52</v>
      </c>
      <c r="I398" s="151">
        <v>1803.52</v>
      </c>
    </row>
    <row r="399" spans="1:9" ht="15" customHeight="1" x14ac:dyDescent="0.25">
      <c r="A399" s="148">
        <v>10348</v>
      </c>
      <c r="B399" s="148" t="s">
        <v>1332</v>
      </c>
      <c r="C399" s="148" t="s">
        <v>1333</v>
      </c>
      <c r="D399" s="148" t="s">
        <v>1025</v>
      </c>
      <c r="E399" s="148" t="s">
        <v>1155</v>
      </c>
      <c r="F399" s="149">
        <v>19</v>
      </c>
      <c r="G399" s="148" t="s">
        <v>591</v>
      </c>
      <c r="H399" s="150">
        <v>1862.75</v>
      </c>
      <c r="I399" s="151">
        <v>1862.75</v>
      </c>
    </row>
    <row r="400" spans="1:9" ht="15" customHeight="1" x14ac:dyDescent="0.25">
      <c r="A400" s="148">
        <v>10349</v>
      </c>
      <c r="B400" s="148" t="s">
        <v>1334</v>
      </c>
      <c r="C400" s="148" t="s">
        <v>1335</v>
      </c>
      <c r="D400" s="148" t="s">
        <v>1025</v>
      </c>
      <c r="E400" s="148" t="s">
        <v>1155</v>
      </c>
      <c r="F400" s="149">
        <v>19</v>
      </c>
      <c r="G400" s="148" t="s">
        <v>591</v>
      </c>
      <c r="H400" s="150">
        <v>1929.12</v>
      </c>
      <c r="I400" s="151">
        <v>1929.12</v>
      </c>
    </row>
    <row r="401" spans="1:9" ht="15" customHeight="1" x14ac:dyDescent="0.25">
      <c r="A401" s="148">
        <v>10350</v>
      </c>
      <c r="B401" s="148" t="s">
        <v>1336</v>
      </c>
      <c r="C401" s="148" t="s">
        <v>1337</v>
      </c>
      <c r="D401" s="148" t="s">
        <v>1025</v>
      </c>
      <c r="E401" s="148" t="s">
        <v>1155</v>
      </c>
      <c r="F401" s="149">
        <v>19</v>
      </c>
      <c r="G401" s="148" t="s">
        <v>591</v>
      </c>
      <c r="H401" s="150">
        <v>1959.58</v>
      </c>
      <c r="I401" s="151">
        <v>1959.58</v>
      </c>
    </row>
    <row r="402" spans="1:9" ht="15" customHeight="1" x14ac:dyDescent="0.25">
      <c r="A402" s="148">
        <v>10351</v>
      </c>
      <c r="B402" s="148" t="s">
        <v>1338</v>
      </c>
      <c r="C402" s="148" t="s">
        <v>1339</v>
      </c>
      <c r="D402" s="148" t="s">
        <v>1025</v>
      </c>
      <c r="E402" s="148" t="s">
        <v>1155</v>
      </c>
      <c r="F402" s="149">
        <v>19</v>
      </c>
      <c r="G402" s="148" t="s">
        <v>591</v>
      </c>
      <c r="H402" s="150">
        <v>1960.8</v>
      </c>
      <c r="I402" s="151">
        <v>1960.8</v>
      </c>
    </row>
    <row r="403" spans="1:9" ht="15" customHeight="1" x14ac:dyDescent="0.25">
      <c r="A403" s="148">
        <v>10352</v>
      </c>
      <c r="B403" s="148" t="s">
        <v>1340</v>
      </c>
      <c r="C403" s="148" t="s">
        <v>1341</v>
      </c>
      <c r="D403" s="148" t="s">
        <v>1025</v>
      </c>
      <c r="E403" s="148" t="s">
        <v>1155</v>
      </c>
      <c r="F403" s="149">
        <v>19</v>
      </c>
      <c r="G403" s="148" t="s">
        <v>591</v>
      </c>
      <c r="H403" s="150">
        <v>1974.46</v>
      </c>
      <c r="I403" s="151">
        <v>1974.46</v>
      </c>
    </row>
    <row r="404" spans="1:9" ht="15" customHeight="1" x14ac:dyDescent="0.25">
      <c r="A404" s="148">
        <v>10353</v>
      </c>
      <c r="B404" s="148" t="s">
        <v>1342</v>
      </c>
      <c r="C404" s="148" t="s">
        <v>1343</v>
      </c>
      <c r="D404" s="148" t="s">
        <v>1025</v>
      </c>
      <c r="E404" s="148" t="s">
        <v>1155</v>
      </c>
      <c r="F404" s="149">
        <v>19</v>
      </c>
      <c r="G404" s="148" t="s">
        <v>591</v>
      </c>
      <c r="H404" s="150">
        <v>1975.26</v>
      </c>
      <c r="I404" s="151">
        <v>1975.26</v>
      </c>
    </row>
    <row r="405" spans="1:9" ht="15" customHeight="1" x14ac:dyDescent="0.25">
      <c r="A405" s="148">
        <v>10354</v>
      </c>
      <c r="B405" s="148" t="s">
        <v>1344</v>
      </c>
      <c r="C405" s="148" t="s">
        <v>1345</v>
      </c>
      <c r="D405" s="148" t="s">
        <v>1025</v>
      </c>
      <c r="E405" s="148" t="s">
        <v>1155</v>
      </c>
      <c r="F405" s="149">
        <v>19</v>
      </c>
      <c r="G405" s="148" t="s">
        <v>591</v>
      </c>
      <c r="H405" s="150">
        <v>1976.44</v>
      </c>
      <c r="I405" s="151">
        <v>1976.44</v>
      </c>
    </row>
    <row r="406" spans="1:9" ht="15" customHeight="1" x14ac:dyDescent="0.25">
      <c r="A406" s="148">
        <v>10356</v>
      </c>
      <c r="B406" s="148" t="s">
        <v>1346</v>
      </c>
      <c r="C406" s="148" t="s">
        <v>1347</v>
      </c>
      <c r="D406" s="148" t="s">
        <v>1025</v>
      </c>
      <c r="E406" s="148" t="s">
        <v>1155</v>
      </c>
      <c r="F406" s="149">
        <v>19</v>
      </c>
      <c r="G406" s="148" t="s">
        <v>591</v>
      </c>
      <c r="H406" s="150">
        <v>2021.12</v>
      </c>
      <c r="I406" s="151">
        <v>2021.12</v>
      </c>
    </row>
    <row r="407" spans="1:9" ht="15" customHeight="1" x14ac:dyDescent="0.25">
      <c r="A407" s="148">
        <v>10358</v>
      </c>
      <c r="B407" s="148" t="s">
        <v>1348</v>
      </c>
      <c r="C407" s="148" t="s">
        <v>1349</v>
      </c>
      <c r="D407" s="148" t="s">
        <v>1025</v>
      </c>
      <c r="E407" s="148" t="s">
        <v>1350</v>
      </c>
      <c r="F407" s="149">
        <v>19</v>
      </c>
      <c r="G407" s="148" t="s">
        <v>591</v>
      </c>
      <c r="H407" s="150">
        <v>1636.7</v>
      </c>
      <c r="I407" s="151">
        <v>1636.7</v>
      </c>
    </row>
    <row r="408" spans="1:9" ht="15" customHeight="1" x14ac:dyDescent="0.25">
      <c r="A408" s="148">
        <v>10359</v>
      </c>
      <c r="B408" s="148" t="s">
        <v>1351</v>
      </c>
      <c r="C408" s="148" t="s">
        <v>1352</v>
      </c>
      <c r="D408" s="148" t="s">
        <v>1025</v>
      </c>
      <c r="E408" s="148" t="s">
        <v>1353</v>
      </c>
      <c r="F408" s="149">
        <v>19</v>
      </c>
      <c r="G408" s="148" t="s">
        <v>591</v>
      </c>
      <c r="H408" s="150">
        <v>2083.23</v>
      </c>
      <c r="I408" s="151">
        <v>2083.23</v>
      </c>
    </row>
    <row r="409" spans="1:9" ht="15" customHeight="1" x14ac:dyDescent="0.25">
      <c r="A409" s="148">
        <v>10360</v>
      </c>
      <c r="B409" s="148" t="s">
        <v>1354</v>
      </c>
      <c r="C409" s="148" t="s">
        <v>1355</v>
      </c>
      <c r="D409" s="148" t="s">
        <v>1025</v>
      </c>
      <c r="E409" s="148" t="s">
        <v>1353</v>
      </c>
      <c r="F409" s="149">
        <v>19</v>
      </c>
      <c r="G409" s="148" t="s">
        <v>591</v>
      </c>
      <c r="H409" s="150">
        <v>2042.64</v>
      </c>
      <c r="I409" s="151">
        <v>2042.64</v>
      </c>
    </row>
    <row r="410" spans="1:9" ht="15" customHeight="1" x14ac:dyDescent="0.25">
      <c r="A410" s="148">
        <v>10361</v>
      </c>
      <c r="B410" s="148" t="s">
        <v>1356</v>
      </c>
      <c r="C410" s="148" t="s">
        <v>1357</v>
      </c>
      <c r="D410" s="148" t="s">
        <v>1025</v>
      </c>
      <c r="E410" s="148" t="s">
        <v>1353</v>
      </c>
      <c r="F410" s="149">
        <v>19</v>
      </c>
      <c r="G410" s="148" t="s">
        <v>591</v>
      </c>
      <c r="H410" s="150">
        <v>2070.86</v>
      </c>
      <c r="I410" s="151">
        <v>2070.86</v>
      </c>
    </row>
    <row r="411" spans="1:9" ht="15" customHeight="1" x14ac:dyDescent="0.25">
      <c r="A411" s="148">
        <v>10362</v>
      </c>
      <c r="B411" s="148" t="s">
        <v>1358</v>
      </c>
      <c r="C411" s="148" t="s">
        <v>1359</v>
      </c>
      <c r="D411" s="148" t="s">
        <v>1025</v>
      </c>
      <c r="E411" s="148" t="s">
        <v>1164</v>
      </c>
      <c r="F411" s="149">
        <v>19</v>
      </c>
      <c r="G411" s="148" t="s">
        <v>591</v>
      </c>
      <c r="H411" s="150">
        <v>1899.12</v>
      </c>
      <c r="I411" s="151">
        <v>1899.12</v>
      </c>
    </row>
    <row r="412" spans="1:9" ht="15" customHeight="1" x14ac:dyDescent="0.25">
      <c r="A412" s="148">
        <v>10363</v>
      </c>
      <c r="B412" s="148" t="s">
        <v>1360</v>
      </c>
      <c r="C412" s="148" t="s">
        <v>1361</v>
      </c>
      <c r="D412" s="148" t="s">
        <v>1025</v>
      </c>
      <c r="E412" s="148" t="s">
        <v>1164</v>
      </c>
      <c r="F412" s="149">
        <v>19</v>
      </c>
      <c r="G412" s="148" t="s">
        <v>591</v>
      </c>
      <c r="H412" s="150">
        <v>1965.9</v>
      </c>
      <c r="I412" s="151">
        <v>1965.9</v>
      </c>
    </row>
    <row r="413" spans="1:9" ht="15" customHeight="1" x14ac:dyDescent="0.25">
      <c r="A413" s="148">
        <v>10364</v>
      </c>
      <c r="B413" s="148" t="s">
        <v>1362</v>
      </c>
      <c r="C413" s="148" t="s">
        <v>1363</v>
      </c>
      <c r="D413" s="148" t="s">
        <v>1025</v>
      </c>
      <c r="E413" s="148" t="s">
        <v>1164</v>
      </c>
      <c r="F413" s="149">
        <v>19</v>
      </c>
      <c r="G413" s="148" t="s">
        <v>591</v>
      </c>
      <c r="H413" s="150">
        <v>2000.82</v>
      </c>
      <c r="I413" s="151">
        <v>2000.82</v>
      </c>
    </row>
    <row r="414" spans="1:9" ht="15" customHeight="1" x14ac:dyDescent="0.25">
      <c r="A414" s="148">
        <v>10365</v>
      </c>
      <c r="B414" s="148" t="s">
        <v>1364</v>
      </c>
      <c r="C414" s="148" t="s">
        <v>1365</v>
      </c>
      <c r="D414" s="148" t="s">
        <v>1025</v>
      </c>
      <c r="E414" s="148" t="s">
        <v>1164</v>
      </c>
      <c r="F414" s="149">
        <v>19</v>
      </c>
      <c r="G414" s="148" t="s">
        <v>591</v>
      </c>
      <c r="H414" s="150">
        <v>2015.68</v>
      </c>
      <c r="I414" s="151">
        <v>2015.68</v>
      </c>
    </row>
    <row r="415" spans="1:9" ht="15" customHeight="1" x14ac:dyDescent="0.25">
      <c r="A415" s="148">
        <v>10366</v>
      </c>
      <c r="B415" s="148" t="s">
        <v>1366</v>
      </c>
      <c r="C415" s="148" t="s">
        <v>1367</v>
      </c>
      <c r="D415" s="148" t="s">
        <v>1025</v>
      </c>
      <c r="E415" s="148" t="s">
        <v>1164</v>
      </c>
      <c r="F415" s="149">
        <v>19</v>
      </c>
      <c r="G415" s="148" t="s">
        <v>591</v>
      </c>
      <c r="H415" s="150">
        <v>2008.24</v>
      </c>
      <c r="I415" s="151">
        <v>2008.24</v>
      </c>
    </row>
    <row r="416" spans="1:9" ht="15" customHeight="1" x14ac:dyDescent="0.25">
      <c r="A416" s="148">
        <v>10367</v>
      </c>
      <c r="B416" s="148" t="s">
        <v>1368</v>
      </c>
      <c r="C416" s="148" t="s">
        <v>1369</v>
      </c>
      <c r="D416" s="148" t="s">
        <v>1025</v>
      </c>
      <c r="E416" s="148" t="s">
        <v>1164</v>
      </c>
      <c r="F416" s="149">
        <v>19</v>
      </c>
      <c r="G416" s="148" t="s">
        <v>591</v>
      </c>
      <c r="H416" s="150">
        <v>2026.1</v>
      </c>
      <c r="I416" s="151">
        <v>2026.1</v>
      </c>
    </row>
    <row r="417" spans="1:9" ht="15" customHeight="1" x14ac:dyDescent="0.25">
      <c r="A417" s="148">
        <v>10368</v>
      </c>
      <c r="B417" s="148" t="s">
        <v>1370</v>
      </c>
      <c r="C417" s="148" t="s">
        <v>1371</v>
      </c>
      <c r="D417" s="148" t="s">
        <v>1025</v>
      </c>
      <c r="E417" s="148" t="s">
        <v>1164</v>
      </c>
      <c r="F417" s="149">
        <v>19</v>
      </c>
      <c r="G417" s="148" t="s">
        <v>591</v>
      </c>
      <c r="H417" s="150">
        <v>2014.2</v>
      </c>
      <c r="I417" s="151">
        <v>2014.2</v>
      </c>
    </row>
    <row r="418" spans="1:9" ht="15" customHeight="1" x14ac:dyDescent="0.25">
      <c r="A418" s="148">
        <v>10369</v>
      </c>
      <c r="B418" s="148" t="s">
        <v>1372</v>
      </c>
      <c r="C418" s="148" t="s">
        <v>1373</v>
      </c>
      <c r="D418" s="148" t="s">
        <v>1025</v>
      </c>
      <c r="E418" s="148" t="s">
        <v>1374</v>
      </c>
      <c r="F418" s="149">
        <v>19</v>
      </c>
      <c r="G418" s="148" t="s">
        <v>591</v>
      </c>
      <c r="H418" s="150">
        <v>1992.84</v>
      </c>
      <c r="I418" s="151">
        <v>1992.84</v>
      </c>
    </row>
    <row r="419" spans="1:9" ht="15" customHeight="1" x14ac:dyDescent="0.25">
      <c r="A419" s="148">
        <v>10370</v>
      </c>
      <c r="B419" s="148" t="s">
        <v>1375</v>
      </c>
      <c r="C419" s="148" t="s">
        <v>1376</v>
      </c>
      <c r="D419" s="148" t="s">
        <v>1025</v>
      </c>
      <c r="E419" s="148" t="s">
        <v>1374</v>
      </c>
      <c r="F419" s="149">
        <v>19</v>
      </c>
      <c r="G419" s="148" t="s">
        <v>591</v>
      </c>
      <c r="H419" s="150">
        <v>2078.0300000000002</v>
      </c>
      <c r="I419" s="151">
        <v>2078.0300000000002</v>
      </c>
    </row>
    <row r="420" spans="1:9" ht="15" customHeight="1" x14ac:dyDescent="0.25">
      <c r="A420" s="148">
        <v>10371</v>
      </c>
      <c r="B420" s="148" t="s">
        <v>1377</v>
      </c>
      <c r="C420" s="148" t="s">
        <v>1378</v>
      </c>
      <c r="D420" s="148" t="s">
        <v>1025</v>
      </c>
      <c r="E420" s="148" t="s">
        <v>1374</v>
      </c>
      <c r="F420" s="149">
        <v>19</v>
      </c>
      <c r="G420" s="148" t="s">
        <v>591</v>
      </c>
      <c r="H420" s="150">
        <v>2222.61</v>
      </c>
      <c r="I420" s="151">
        <v>2222.61</v>
      </c>
    </row>
    <row r="421" spans="1:9" ht="15" customHeight="1" x14ac:dyDescent="0.25">
      <c r="A421" s="148">
        <v>10372</v>
      </c>
      <c r="B421" s="148" t="s">
        <v>1379</v>
      </c>
      <c r="C421" s="148" t="s">
        <v>1380</v>
      </c>
      <c r="D421" s="148" t="s">
        <v>1025</v>
      </c>
      <c r="E421" s="148" t="s">
        <v>1374</v>
      </c>
      <c r="F421" s="149">
        <v>19</v>
      </c>
      <c r="G421" s="148" t="s">
        <v>591</v>
      </c>
      <c r="H421" s="150">
        <v>2345.37</v>
      </c>
      <c r="I421" s="151">
        <v>2345.37</v>
      </c>
    </row>
    <row r="422" spans="1:9" ht="15" customHeight="1" x14ac:dyDescent="0.25">
      <c r="A422" s="148">
        <v>10373</v>
      </c>
      <c r="B422" s="148" t="s">
        <v>1381</v>
      </c>
      <c r="C422" s="148" t="s">
        <v>1382</v>
      </c>
      <c r="D422" s="148" t="s">
        <v>1025</v>
      </c>
      <c r="E422" s="148" t="s">
        <v>1383</v>
      </c>
      <c r="F422" s="149">
        <v>19</v>
      </c>
      <c r="G422" s="148" t="s">
        <v>591</v>
      </c>
      <c r="H422" s="150">
        <v>1967.12</v>
      </c>
      <c r="I422" s="151">
        <v>1967.12</v>
      </c>
    </row>
    <row r="423" spans="1:9" ht="15" customHeight="1" x14ac:dyDescent="0.25">
      <c r="A423" s="148">
        <v>10374</v>
      </c>
      <c r="B423" s="148" t="s">
        <v>1384</v>
      </c>
      <c r="C423" s="148" t="s">
        <v>1385</v>
      </c>
      <c r="D423" s="148" t="s">
        <v>1025</v>
      </c>
      <c r="E423" s="148" t="s">
        <v>1383</v>
      </c>
      <c r="F423" s="149">
        <v>19</v>
      </c>
      <c r="G423" s="148" t="s">
        <v>591</v>
      </c>
      <c r="H423" s="150">
        <v>2042.95</v>
      </c>
      <c r="I423" s="151">
        <v>2042.95</v>
      </c>
    </row>
    <row r="424" spans="1:9" ht="15" customHeight="1" x14ac:dyDescent="0.25">
      <c r="A424" s="148">
        <v>10375</v>
      </c>
      <c r="B424" s="148" t="s">
        <v>1386</v>
      </c>
      <c r="C424" s="148" t="s">
        <v>1387</v>
      </c>
      <c r="D424" s="148" t="s">
        <v>1025</v>
      </c>
      <c r="E424" s="148" t="s">
        <v>1383</v>
      </c>
      <c r="F424" s="149">
        <v>19</v>
      </c>
      <c r="G424" s="148" t="s">
        <v>591</v>
      </c>
      <c r="H424" s="150">
        <v>2187.44</v>
      </c>
      <c r="I424" s="151">
        <v>2187.44</v>
      </c>
    </row>
    <row r="425" spans="1:9" ht="15" customHeight="1" x14ac:dyDescent="0.25">
      <c r="A425" s="148">
        <v>10376</v>
      </c>
      <c r="B425" s="148" t="s">
        <v>1388</v>
      </c>
      <c r="C425" s="148" t="s">
        <v>1389</v>
      </c>
      <c r="D425" s="148" t="s">
        <v>1025</v>
      </c>
      <c r="E425" s="148" t="s">
        <v>1383</v>
      </c>
      <c r="F425" s="149">
        <v>19</v>
      </c>
      <c r="G425" s="148" t="s">
        <v>591</v>
      </c>
      <c r="H425" s="150">
        <v>2312.2399999999998</v>
      </c>
      <c r="I425" s="151">
        <v>2312.2399999999998</v>
      </c>
    </row>
    <row r="426" spans="1:9" ht="15" customHeight="1" x14ac:dyDescent="0.25">
      <c r="A426" s="148">
        <v>10377</v>
      </c>
      <c r="B426" s="148" t="s">
        <v>1390</v>
      </c>
      <c r="C426" s="148" t="s">
        <v>1391</v>
      </c>
      <c r="D426" s="148" t="s">
        <v>1025</v>
      </c>
      <c r="E426" s="148" t="s">
        <v>1171</v>
      </c>
      <c r="F426" s="149">
        <v>19</v>
      </c>
      <c r="G426" s="148" t="s">
        <v>591</v>
      </c>
      <c r="H426" s="150">
        <v>1984.22</v>
      </c>
      <c r="I426" s="151">
        <v>1984.22</v>
      </c>
    </row>
    <row r="427" spans="1:9" ht="15" customHeight="1" x14ac:dyDescent="0.25">
      <c r="A427" s="148">
        <v>10378</v>
      </c>
      <c r="B427" s="148" t="s">
        <v>1392</v>
      </c>
      <c r="C427" s="148" t="s">
        <v>1393</v>
      </c>
      <c r="D427" s="148" t="s">
        <v>1025</v>
      </c>
      <c r="E427" s="148" t="s">
        <v>1171</v>
      </c>
      <c r="F427" s="149">
        <v>19</v>
      </c>
      <c r="G427" s="148" t="s">
        <v>591</v>
      </c>
      <c r="H427" s="150">
        <v>2069.04</v>
      </c>
      <c r="I427" s="151">
        <v>2069.04</v>
      </c>
    </row>
    <row r="428" spans="1:9" ht="15" customHeight="1" x14ac:dyDescent="0.25">
      <c r="A428" s="148">
        <v>10379</v>
      </c>
      <c r="B428" s="148" t="s">
        <v>1394</v>
      </c>
      <c r="C428" s="148" t="s">
        <v>1395</v>
      </c>
      <c r="D428" s="148" t="s">
        <v>1025</v>
      </c>
      <c r="E428" s="148" t="s">
        <v>1171</v>
      </c>
      <c r="F428" s="149">
        <v>19</v>
      </c>
      <c r="G428" s="148" t="s">
        <v>591</v>
      </c>
      <c r="H428" s="150">
        <v>2204.4499999999998</v>
      </c>
      <c r="I428" s="151">
        <v>2204.4499999999998</v>
      </c>
    </row>
    <row r="429" spans="1:9" ht="15" customHeight="1" x14ac:dyDescent="0.25">
      <c r="A429" s="148">
        <v>10380</v>
      </c>
      <c r="B429" s="148" t="s">
        <v>1396</v>
      </c>
      <c r="C429" s="148" t="s">
        <v>1397</v>
      </c>
      <c r="D429" s="148" t="s">
        <v>1025</v>
      </c>
      <c r="E429" s="148" t="s">
        <v>1171</v>
      </c>
      <c r="F429" s="149">
        <v>19</v>
      </c>
      <c r="G429" s="148" t="s">
        <v>591</v>
      </c>
      <c r="H429" s="150">
        <v>2334.14</v>
      </c>
      <c r="I429" s="151">
        <v>2334.14</v>
      </c>
    </row>
    <row r="430" spans="1:9" ht="15" customHeight="1" x14ac:dyDescent="0.25">
      <c r="A430" s="148">
        <v>10381</v>
      </c>
      <c r="B430" s="148" t="s">
        <v>1398</v>
      </c>
      <c r="C430" s="148" t="s">
        <v>1399</v>
      </c>
      <c r="D430" s="148" t="s">
        <v>1025</v>
      </c>
      <c r="E430" s="148" t="s">
        <v>1176</v>
      </c>
      <c r="F430" s="149">
        <v>19</v>
      </c>
      <c r="G430" s="148" t="s">
        <v>591</v>
      </c>
      <c r="H430" s="150">
        <v>2015.08</v>
      </c>
      <c r="I430" s="151">
        <v>2015.08</v>
      </c>
    </row>
    <row r="431" spans="1:9" ht="15" customHeight="1" x14ac:dyDescent="0.25">
      <c r="A431" s="148">
        <v>10382</v>
      </c>
      <c r="B431" s="148" t="s">
        <v>1400</v>
      </c>
      <c r="C431" s="148" t="s">
        <v>1401</v>
      </c>
      <c r="D431" s="148" t="s">
        <v>1025</v>
      </c>
      <c r="E431" s="148" t="s">
        <v>1176</v>
      </c>
      <c r="F431" s="149">
        <v>19</v>
      </c>
      <c r="G431" s="148" t="s">
        <v>591</v>
      </c>
      <c r="H431" s="150">
        <v>2030</v>
      </c>
      <c r="I431" s="151">
        <v>2030</v>
      </c>
    </row>
    <row r="432" spans="1:9" ht="15" customHeight="1" x14ac:dyDescent="0.25">
      <c r="A432" s="148">
        <v>10383</v>
      </c>
      <c r="B432" s="148" t="s">
        <v>1402</v>
      </c>
      <c r="C432" s="148" t="s">
        <v>1403</v>
      </c>
      <c r="D432" s="148" t="s">
        <v>1025</v>
      </c>
      <c r="E432" s="148" t="s">
        <v>1176</v>
      </c>
      <c r="F432" s="149">
        <v>19</v>
      </c>
      <c r="G432" s="148" t="s">
        <v>591</v>
      </c>
      <c r="H432" s="150">
        <v>2035.18</v>
      </c>
      <c r="I432" s="151">
        <v>2035.18</v>
      </c>
    </row>
    <row r="433" spans="1:9" ht="15" customHeight="1" x14ac:dyDescent="0.25">
      <c r="A433" s="148">
        <v>10384</v>
      </c>
      <c r="B433" s="148" t="s">
        <v>1404</v>
      </c>
      <c r="C433" s="148" t="s">
        <v>1405</v>
      </c>
      <c r="D433" s="148" t="s">
        <v>1025</v>
      </c>
      <c r="E433" s="148" t="s">
        <v>1176</v>
      </c>
      <c r="F433" s="149">
        <v>19</v>
      </c>
      <c r="G433" s="148" t="s">
        <v>591</v>
      </c>
      <c r="H433" s="150">
        <v>2036.39</v>
      </c>
      <c r="I433" s="151">
        <v>2036.39</v>
      </c>
    </row>
    <row r="434" spans="1:9" ht="15" customHeight="1" x14ac:dyDescent="0.25">
      <c r="A434" s="148">
        <v>10385</v>
      </c>
      <c r="B434" s="148" t="s">
        <v>1406</v>
      </c>
      <c r="C434" s="148" t="s">
        <v>1407</v>
      </c>
      <c r="D434" s="148" t="s">
        <v>1025</v>
      </c>
      <c r="E434" s="148" t="s">
        <v>1176</v>
      </c>
      <c r="F434" s="149">
        <v>19</v>
      </c>
      <c r="G434" s="148" t="s">
        <v>591</v>
      </c>
      <c r="H434" s="150">
        <v>2041.55</v>
      </c>
      <c r="I434" s="151">
        <v>2041.55</v>
      </c>
    </row>
    <row r="435" spans="1:9" ht="15" customHeight="1" x14ac:dyDescent="0.25">
      <c r="A435" s="148">
        <v>10386</v>
      </c>
      <c r="B435" s="148" t="s">
        <v>1408</v>
      </c>
      <c r="C435" s="148" t="s">
        <v>1409</v>
      </c>
      <c r="D435" s="148" t="s">
        <v>1025</v>
      </c>
      <c r="E435" s="148" t="s">
        <v>1176</v>
      </c>
      <c r="F435" s="149">
        <v>19</v>
      </c>
      <c r="G435" s="148" t="s">
        <v>591</v>
      </c>
      <c r="H435" s="150">
        <v>2036.31</v>
      </c>
      <c r="I435" s="151">
        <v>2036.31</v>
      </c>
    </row>
    <row r="436" spans="1:9" ht="15" customHeight="1" x14ac:dyDescent="0.25">
      <c r="A436" s="148">
        <v>10387</v>
      </c>
      <c r="B436" s="148" t="s">
        <v>1410</v>
      </c>
      <c r="C436" s="148" t="s">
        <v>1411</v>
      </c>
      <c r="D436" s="148" t="s">
        <v>1025</v>
      </c>
      <c r="E436" s="148" t="s">
        <v>1176</v>
      </c>
      <c r="F436" s="149">
        <v>19</v>
      </c>
      <c r="G436" s="148" t="s">
        <v>591</v>
      </c>
      <c r="H436" s="150">
        <v>2065.06</v>
      </c>
      <c r="I436" s="151">
        <v>2065.06</v>
      </c>
    </row>
    <row r="437" spans="1:9" ht="15" customHeight="1" x14ac:dyDescent="0.25">
      <c r="A437" s="148">
        <v>10388</v>
      </c>
      <c r="B437" s="148" t="s">
        <v>1412</v>
      </c>
      <c r="C437" s="148" t="s">
        <v>1413</v>
      </c>
      <c r="D437" s="148" t="s">
        <v>1025</v>
      </c>
      <c r="E437" s="148" t="s">
        <v>1176</v>
      </c>
      <c r="F437" s="149">
        <v>19</v>
      </c>
      <c r="G437" s="148" t="s">
        <v>591</v>
      </c>
      <c r="H437" s="150">
        <v>2072.98</v>
      </c>
      <c r="I437" s="151">
        <v>2072.98</v>
      </c>
    </row>
    <row r="438" spans="1:9" ht="15" customHeight="1" x14ac:dyDescent="0.25">
      <c r="A438" s="148">
        <v>10389</v>
      </c>
      <c r="B438" s="148" t="s">
        <v>1414</v>
      </c>
      <c r="C438" s="148" t="s">
        <v>1415</v>
      </c>
      <c r="D438" s="148" t="s">
        <v>1025</v>
      </c>
      <c r="E438" s="148" t="s">
        <v>1416</v>
      </c>
      <c r="F438" s="149">
        <v>19</v>
      </c>
      <c r="G438" s="148" t="s">
        <v>591</v>
      </c>
      <c r="H438" s="150">
        <v>7282.33</v>
      </c>
      <c r="I438" s="151">
        <v>7282.33</v>
      </c>
    </row>
    <row r="439" spans="1:9" ht="15" customHeight="1" x14ac:dyDescent="0.25">
      <c r="A439" s="148">
        <v>10390</v>
      </c>
      <c r="B439" s="148" t="s">
        <v>1417</v>
      </c>
      <c r="C439" s="148" t="s">
        <v>1418</v>
      </c>
      <c r="D439" s="148" t="s">
        <v>1025</v>
      </c>
      <c r="E439" s="148" t="s">
        <v>1416</v>
      </c>
      <c r="F439" s="149">
        <v>19</v>
      </c>
      <c r="G439" s="148" t="s">
        <v>591</v>
      </c>
      <c r="H439" s="150">
        <v>8961.42</v>
      </c>
      <c r="I439" s="151">
        <v>8961.42</v>
      </c>
    </row>
    <row r="440" spans="1:9" ht="15" customHeight="1" x14ac:dyDescent="0.25">
      <c r="A440" s="148">
        <v>10391</v>
      </c>
      <c r="B440" s="148" t="s">
        <v>1419</v>
      </c>
      <c r="C440" s="148" t="s">
        <v>1420</v>
      </c>
      <c r="D440" s="148" t="s">
        <v>1025</v>
      </c>
      <c r="E440" s="148" t="s">
        <v>1416</v>
      </c>
      <c r="F440" s="149">
        <v>19</v>
      </c>
      <c r="G440" s="148" t="s">
        <v>591</v>
      </c>
      <c r="H440" s="150">
        <v>6939.2</v>
      </c>
      <c r="I440" s="151">
        <v>6939.2</v>
      </c>
    </row>
    <row r="441" spans="1:9" ht="15" customHeight="1" x14ac:dyDescent="0.25">
      <c r="A441" s="148">
        <v>10392</v>
      </c>
      <c r="B441" s="148" t="s">
        <v>1421</v>
      </c>
      <c r="C441" s="148" t="s">
        <v>1422</v>
      </c>
      <c r="D441" s="148" t="s">
        <v>1025</v>
      </c>
      <c r="E441" s="148" t="s">
        <v>1416</v>
      </c>
      <c r="F441" s="149">
        <v>19</v>
      </c>
      <c r="G441" s="148" t="s">
        <v>591</v>
      </c>
      <c r="H441" s="150">
        <v>7448.61</v>
      </c>
      <c r="I441" s="151">
        <v>7448.61</v>
      </c>
    </row>
    <row r="442" spans="1:9" ht="15" customHeight="1" x14ac:dyDescent="0.25">
      <c r="A442" s="148">
        <v>10393</v>
      </c>
      <c r="B442" s="148" t="s">
        <v>1423</v>
      </c>
      <c r="C442" s="148" t="s">
        <v>1424</v>
      </c>
      <c r="D442" s="148" t="s">
        <v>1025</v>
      </c>
      <c r="E442" s="148" t="s">
        <v>1416</v>
      </c>
      <c r="F442" s="149">
        <v>19</v>
      </c>
      <c r="G442" s="148" t="s">
        <v>591</v>
      </c>
      <c r="H442" s="150">
        <v>7916.69</v>
      </c>
      <c r="I442" s="151">
        <v>7916.69</v>
      </c>
    </row>
    <row r="443" spans="1:9" ht="15" customHeight="1" x14ac:dyDescent="0.25">
      <c r="A443" s="148">
        <v>10394</v>
      </c>
      <c r="B443" s="148" t="s">
        <v>1425</v>
      </c>
      <c r="C443" s="148" t="s">
        <v>1426</v>
      </c>
      <c r="D443" s="148" t="s">
        <v>1025</v>
      </c>
      <c r="E443" s="148" t="s">
        <v>1416</v>
      </c>
      <c r="F443" s="149">
        <v>19</v>
      </c>
      <c r="G443" s="148" t="s">
        <v>591</v>
      </c>
      <c r="H443" s="150">
        <v>7094.77</v>
      </c>
      <c r="I443" s="151">
        <v>7094.77</v>
      </c>
    </row>
    <row r="444" spans="1:9" ht="15" customHeight="1" x14ac:dyDescent="0.25">
      <c r="A444" s="148">
        <v>10395</v>
      </c>
      <c r="B444" s="148" t="s">
        <v>1427</v>
      </c>
      <c r="C444" s="148" t="s">
        <v>1428</v>
      </c>
      <c r="D444" s="148" t="s">
        <v>1025</v>
      </c>
      <c r="E444" s="148" t="s">
        <v>1429</v>
      </c>
      <c r="F444" s="149">
        <v>19</v>
      </c>
      <c r="G444" s="148" t="s">
        <v>591</v>
      </c>
      <c r="H444" s="150">
        <v>2048.08</v>
      </c>
      <c r="I444" s="151">
        <v>2048.08</v>
      </c>
    </row>
    <row r="445" spans="1:9" ht="15" customHeight="1" x14ac:dyDescent="0.25">
      <c r="A445" s="148">
        <v>10396</v>
      </c>
      <c r="B445" s="148" t="s">
        <v>1430</v>
      </c>
      <c r="C445" s="148" t="s">
        <v>1431</v>
      </c>
      <c r="D445" s="148" t="s">
        <v>1025</v>
      </c>
      <c r="E445" s="148" t="s">
        <v>1429</v>
      </c>
      <c r="F445" s="149">
        <v>19</v>
      </c>
      <c r="G445" s="148" t="s">
        <v>591</v>
      </c>
      <c r="H445" s="150">
        <v>2187.4299999999998</v>
      </c>
      <c r="I445" s="151">
        <v>2187.4299999999998</v>
      </c>
    </row>
    <row r="446" spans="1:9" ht="15" customHeight="1" x14ac:dyDescent="0.25">
      <c r="A446" s="148">
        <v>10397</v>
      </c>
      <c r="B446" s="148" t="s">
        <v>1432</v>
      </c>
      <c r="C446" s="148" t="s">
        <v>1433</v>
      </c>
      <c r="D446" s="148" t="s">
        <v>1025</v>
      </c>
      <c r="E446" s="148" t="s">
        <v>1429</v>
      </c>
      <c r="F446" s="149">
        <v>19</v>
      </c>
      <c r="G446" s="148" t="s">
        <v>591</v>
      </c>
      <c r="H446" s="150">
        <v>2310.5300000000002</v>
      </c>
      <c r="I446" s="151">
        <v>2310.5300000000002</v>
      </c>
    </row>
    <row r="447" spans="1:9" ht="15" customHeight="1" x14ac:dyDescent="0.25">
      <c r="A447" s="148">
        <v>10398</v>
      </c>
      <c r="B447" s="148" t="s">
        <v>1434</v>
      </c>
      <c r="C447" s="148" t="s">
        <v>1435</v>
      </c>
      <c r="D447" s="148" t="s">
        <v>1025</v>
      </c>
      <c r="E447" s="148" t="s">
        <v>1429</v>
      </c>
      <c r="F447" s="149">
        <v>19</v>
      </c>
      <c r="G447" s="148" t="s">
        <v>591</v>
      </c>
      <c r="H447" s="150">
        <v>2284.12</v>
      </c>
      <c r="I447" s="151">
        <v>2284.12</v>
      </c>
    </row>
    <row r="448" spans="1:9" ht="15" customHeight="1" x14ac:dyDescent="0.25">
      <c r="A448" s="148">
        <v>10399</v>
      </c>
      <c r="B448" s="148" t="s">
        <v>1436</v>
      </c>
      <c r="C448" s="148" t="s">
        <v>1437</v>
      </c>
      <c r="D448" s="148" t="s">
        <v>1025</v>
      </c>
      <c r="E448" s="148" t="s">
        <v>1438</v>
      </c>
      <c r="F448" s="149">
        <v>19</v>
      </c>
      <c r="G448" s="148" t="s">
        <v>591</v>
      </c>
      <c r="H448" s="150">
        <v>8049.96</v>
      </c>
      <c r="I448" s="151">
        <v>8049.96</v>
      </c>
    </row>
    <row r="449" spans="1:9" ht="15" customHeight="1" x14ac:dyDescent="0.25">
      <c r="A449" s="148">
        <v>10400</v>
      </c>
      <c r="B449" s="148" t="s">
        <v>1439</v>
      </c>
      <c r="C449" s="148" t="s">
        <v>1440</v>
      </c>
      <c r="D449" s="148" t="s">
        <v>1025</v>
      </c>
      <c r="E449" s="148" t="s">
        <v>1438</v>
      </c>
      <c r="F449" s="149">
        <v>19</v>
      </c>
      <c r="G449" s="148" t="s">
        <v>591</v>
      </c>
      <c r="H449" s="150">
        <v>8466.24</v>
      </c>
      <c r="I449" s="151">
        <v>8466.24</v>
      </c>
    </row>
    <row r="450" spans="1:9" ht="15" customHeight="1" x14ac:dyDescent="0.25">
      <c r="A450" s="148">
        <v>10401</v>
      </c>
      <c r="B450" s="148" t="s">
        <v>1441</v>
      </c>
      <c r="C450" s="148" t="s">
        <v>1442</v>
      </c>
      <c r="D450" s="148" t="s">
        <v>1025</v>
      </c>
      <c r="E450" s="148" t="s">
        <v>1438</v>
      </c>
      <c r="F450" s="149">
        <v>19</v>
      </c>
      <c r="G450" s="148" t="s">
        <v>591</v>
      </c>
      <c r="H450" s="150">
        <v>8836.25</v>
      </c>
      <c r="I450" s="151">
        <v>8836.25</v>
      </c>
    </row>
    <row r="451" spans="1:9" ht="15" customHeight="1" x14ac:dyDescent="0.25">
      <c r="A451" s="148">
        <v>10402</v>
      </c>
      <c r="B451" s="148" t="s">
        <v>1443</v>
      </c>
      <c r="C451" s="148" t="s">
        <v>1444</v>
      </c>
      <c r="D451" s="148" t="s">
        <v>1025</v>
      </c>
      <c r="E451" s="148" t="s">
        <v>1445</v>
      </c>
      <c r="F451" s="149">
        <v>19</v>
      </c>
      <c r="G451" s="148" t="s">
        <v>591</v>
      </c>
      <c r="H451" s="150">
        <v>10422.09</v>
      </c>
      <c r="I451" s="151">
        <v>10422.09</v>
      </c>
    </row>
    <row r="452" spans="1:9" ht="15" customHeight="1" x14ac:dyDescent="0.25">
      <c r="A452" s="148">
        <v>10403</v>
      </c>
      <c r="B452" s="148" t="s">
        <v>1446</v>
      </c>
      <c r="C452" s="148" t="s">
        <v>1447</v>
      </c>
      <c r="D452" s="148" t="s">
        <v>1025</v>
      </c>
      <c r="E452" s="148" t="s">
        <v>1445</v>
      </c>
      <c r="F452" s="149">
        <v>19</v>
      </c>
      <c r="G452" s="148" t="s">
        <v>591</v>
      </c>
      <c r="H452" s="150">
        <v>9443.4699999999993</v>
      </c>
      <c r="I452" s="151">
        <v>9443.4699999999993</v>
      </c>
    </row>
    <row r="453" spans="1:9" ht="15" customHeight="1" x14ac:dyDescent="0.25">
      <c r="A453" s="148">
        <v>10404</v>
      </c>
      <c r="B453" s="148" t="s">
        <v>1448</v>
      </c>
      <c r="C453" s="148" t="s">
        <v>1449</v>
      </c>
      <c r="D453" s="148" t="s">
        <v>1025</v>
      </c>
      <c r="E453" s="148" t="s">
        <v>1450</v>
      </c>
      <c r="F453" s="149">
        <v>19</v>
      </c>
      <c r="G453" s="148" t="s">
        <v>591</v>
      </c>
      <c r="H453" s="150">
        <v>6425.58</v>
      </c>
      <c r="I453" s="151">
        <v>6425.58</v>
      </c>
    </row>
    <row r="454" spans="1:9" ht="15" customHeight="1" x14ac:dyDescent="0.25">
      <c r="A454" s="148">
        <v>10405</v>
      </c>
      <c r="B454" s="148" t="s">
        <v>1451</v>
      </c>
      <c r="C454" s="148" t="s">
        <v>1452</v>
      </c>
      <c r="D454" s="148" t="s">
        <v>1025</v>
      </c>
      <c r="E454" s="148" t="s">
        <v>1450</v>
      </c>
      <c r="F454" s="149">
        <v>19</v>
      </c>
      <c r="G454" s="148" t="s">
        <v>591</v>
      </c>
      <c r="H454" s="150">
        <v>7153.91</v>
      </c>
      <c r="I454" s="151">
        <v>7153.91</v>
      </c>
    </row>
    <row r="455" spans="1:9" ht="15" customHeight="1" x14ac:dyDescent="0.25">
      <c r="A455" s="148">
        <v>10406</v>
      </c>
      <c r="B455" s="148" t="s">
        <v>1453</v>
      </c>
      <c r="C455" s="148" t="s">
        <v>1454</v>
      </c>
      <c r="D455" s="148" t="s">
        <v>1025</v>
      </c>
      <c r="E455" s="148" t="s">
        <v>1450</v>
      </c>
      <c r="F455" s="149">
        <v>19</v>
      </c>
      <c r="G455" s="148" t="s">
        <v>591</v>
      </c>
      <c r="H455" s="150">
        <v>7648.86</v>
      </c>
      <c r="I455" s="151">
        <v>7648.86</v>
      </c>
    </row>
    <row r="456" spans="1:9" ht="15" customHeight="1" x14ac:dyDescent="0.25">
      <c r="A456" s="148">
        <v>10407</v>
      </c>
      <c r="B456" s="148" t="s">
        <v>1455</v>
      </c>
      <c r="C456" s="148" t="s">
        <v>1456</v>
      </c>
      <c r="D456" s="148" t="s">
        <v>1025</v>
      </c>
      <c r="E456" s="148" t="s">
        <v>1183</v>
      </c>
      <c r="F456" s="149">
        <v>19</v>
      </c>
      <c r="G456" s="148" t="s">
        <v>591</v>
      </c>
      <c r="H456" s="150">
        <v>2140.96</v>
      </c>
      <c r="I456" s="151">
        <v>2140.96</v>
      </c>
    </row>
    <row r="457" spans="1:9" ht="15" customHeight="1" x14ac:dyDescent="0.25">
      <c r="A457" s="148">
        <v>10408</v>
      </c>
      <c r="B457" s="148" t="s">
        <v>1457</v>
      </c>
      <c r="C457" s="148" t="s">
        <v>1458</v>
      </c>
      <c r="D457" s="148" t="s">
        <v>1025</v>
      </c>
      <c r="E457" s="148" t="s">
        <v>1183</v>
      </c>
      <c r="F457" s="149">
        <v>19</v>
      </c>
      <c r="G457" s="148" t="s">
        <v>591</v>
      </c>
      <c r="H457" s="150">
        <v>2330.52</v>
      </c>
      <c r="I457" s="151">
        <v>2330.52</v>
      </c>
    </row>
    <row r="458" spans="1:9" ht="15" customHeight="1" x14ac:dyDescent="0.25">
      <c r="A458" s="148">
        <v>10409</v>
      </c>
      <c r="B458" s="148" t="s">
        <v>1459</v>
      </c>
      <c r="C458" s="148" t="s">
        <v>1460</v>
      </c>
      <c r="D458" s="148" t="s">
        <v>1025</v>
      </c>
      <c r="E458" s="148" t="s">
        <v>1183</v>
      </c>
      <c r="F458" s="149">
        <v>19</v>
      </c>
      <c r="G458" s="148" t="s">
        <v>591</v>
      </c>
      <c r="H458" s="150">
        <v>3179.24</v>
      </c>
      <c r="I458" s="151">
        <v>3179.24</v>
      </c>
    </row>
    <row r="459" spans="1:9" ht="15" customHeight="1" x14ac:dyDescent="0.25">
      <c r="A459" s="148">
        <v>10410</v>
      </c>
      <c r="B459" s="148" t="s">
        <v>1461</v>
      </c>
      <c r="C459" s="148" t="s">
        <v>1462</v>
      </c>
      <c r="D459" s="148" t="s">
        <v>1025</v>
      </c>
      <c r="E459" s="148" t="s">
        <v>1183</v>
      </c>
      <c r="F459" s="149">
        <v>19</v>
      </c>
      <c r="G459" s="148" t="s">
        <v>591</v>
      </c>
      <c r="H459" s="150">
        <v>3389.17</v>
      </c>
      <c r="I459" s="151">
        <v>3389.17</v>
      </c>
    </row>
    <row r="460" spans="1:9" ht="15" customHeight="1" x14ac:dyDescent="0.25">
      <c r="A460" s="148">
        <v>10411</v>
      </c>
      <c r="B460" s="148" t="s">
        <v>1463</v>
      </c>
      <c r="C460" s="148" t="s">
        <v>1464</v>
      </c>
      <c r="D460" s="148" t="s">
        <v>1025</v>
      </c>
      <c r="E460" s="148" t="s">
        <v>1189</v>
      </c>
      <c r="F460" s="149">
        <v>19</v>
      </c>
      <c r="G460" s="148" t="s">
        <v>591</v>
      </c>
      <c r="H460" s="150">
        <v>3513.96</v>
      </c>
      <c r="I460" s="151">
        <v>3513.96</v>
      </c>
    </row>
    <row r="461" spans="1:9" ht="15" customHeight="1" x14ac:dyDescent="0.25">
      <c r="A461" s="148">
        <v>10412</v>
      </c>
      <c r="B461" s="148" t="s">
        <v>1465</v>
      </c>
      <c r="C461" s="148" t="s">
        <v>1466</v>
      </c>
      <c r="D461" s="148" t="s">
        <v>1025</v>
      </c>
      <c r="E461" s="148" t="s">
        <v>1467</v>
      </c>
      <c r="F461" s="149">
        <v>19</v>
      </c>
      <c r="G461" s="148" t="s">
        <v>591</v>
      </c>
      <c r="H461" s="150">
        <v>2155.16</v>
      </c>
      <c r="I461" s="151">
        <v>2155.16</v>
      </c>
    </row>
    <row r="462" spans="1:9" ht="15" customHeight="1" x14ac:dyDescent="0.25">
      <c r="A462" s="148">
        <v>10413</v>
      </c>
      <c r="B462" s="148" t="s">
        <v>1468</v>
      </c>
      <c r="C462" s="148" t="s">
        <v>1469</v>
      </c>
      <c r="D462" s="148" t="s">
        <v>1025</v>
      </c>
      <c r="E462" s="148" t="s">
        <v>1467</v>
      </c>
      <c r="F462" s="149">
        <v>19</v>
      </c>
      <c r="G462" s="148" t="s">
        <v>591</v>
      </c>
      <c r="H462" s="150">
        <v>2181.2399999999998</v>
      </c>
      <c r="I462" s="151">
        <v>2181.2399999999998</v>
      </c>
    </row>
    <row r="463" spans="1:9" ht="15" customHeight="1" x14ac:dyDescent="0.25">
      <c r="A463" s="148">
        <v>10414</v>
      </c>
      <c r="B463" s="148" t="s">
        <v>1470</v>
      </c>
      <c r="C463" s="148" t="s">
        <v>1471</v>
      </c>
      <c r="D463" s="148" t="s">
        <v>1025</v>
      </c>
      <c r="E463" s="148" t="s">
        <v>1467</v>
      </c>
      <c r="F463" s="149">
        <v>19</v>
      </c>
      <c r="G463" s="148" t="s">
        <v>591</v>
      </c>
      <c r="H463" s="150">
        <v>2349.98</v>
      </c>
      <c r="I463" s="151">
        <v>2349.98</v>
      </c>
    </row>
    <row r="464" spans="1:9" ht="15" customHeight="1" x14ac:dyDescent="0.25">
      <c r="A464" s="148">
        <v>10415</v>
      </c>
      <c r="B464" s="148" t="s">
        <v>1472</v>
      </c>
      <c r="C464" s="148" t="s">
        <v>1473</v>
      </c>
      <c r="D464" s="148" t="s">
        <v>1025</v>
      </c>
      <c r="E464" s="148" t="s">
        <v>1474</v>
      </c>
      <c r="F464" s="149">
        <v>19</v>
      </c>
      <c r="G464" s="148" t="s">
        <v>591</v>
      </c>
      <c r="H464" s="150">
        <v>1992.19</v>
      </c>
      <c r="I464" s="151">
        <v>1992.19</v>
      </c>
    </row>
    <row r="465" spans="1:9" ht="15" customHeight="1" x14ac:dyDescent="0.25">
      <c r="A465" s="148">
        <v>10416</v>
      </c>
      <c r="B465" s="148" t="s">
        <v>1475</v>
      </c>
      <c r="C465" s="148" t="s">
        <v>1476</v>
      </c>
      <c r="D465" s="148" t="s">
        <v>1025</v>
      </c>
      <c r="E465" s="148" t="s">
        <v>1474</v>
      </c>
      <c r="F465" s="149">
        <v>19</v>
      </c>
      <c r="G465" s="148" t="s">
        <v>591</v>
      </c>
      <c r="H465" s="150">
        <v>2031.72</v>
      </c>
      <c r="I465" s="151">
        <v>2031.72</v>
      </c>
    </row>
    <row r="466" spans="1:9" ht="15" customHeight="1" x14ac:dyDescent="0.25">
      <c r="A466" s="148">
        <v>10417</v>
      </c>
      <c r="B466" s="148" t="s">
        <v>1477</v>
      </c>
      <c r="C466" s="148" t="s">
        <v>1478</v>
      </c>
      <c r="D466" s="148" t="s">
        <v>1025</v>
      </c>
      <c r="E466" s="148" t="s">
        <v>1474</v>
      </c>
      <c r="F466" s="149">
        <v>19</v>
      </c>
      <c r="G466" s="148" t="s">
        <v>591</v>
      </c>
      <c r="H466" s="150">
        <v>2047.95</v>
      </c>
      <c r="I466" s="151">
        <v>2047.95</v>
      </c>
    </row>
    <row r="467" spans="1:9" ht="15" customHeight="1" x14ac:dyDescent="0.25">
      <c r="A467" s="148">
        <v>10418</v>
      </c>
      <c r="B467" s="148" t="s">
        <v>1479</v>
      </c>
      <c r="C467" s="148" t="s">
        <v>1480</v>
      </c>
      <c r="D467" s="148" t="s">
        <v>1025</v>
      </c>
      <c r="E467" s="148" t="s">
        <v>1474</v>
      </c>
      <c r="F467" s="149">
        <v>19</v>
      </c>
      <c r="G467" s="148" t="s">
        <v>591</v>
      </c>
      <c r="H467" s="150">
        <v>2051.3000000000002</v>
      </c>
      <c r="I467" s="151">
        <v>2051.3000000000002</v>
      </c>
    </row>
    <row r="468" spans="1:9" ht="15" customHeight="1" x14ac:dyDescent="0.25">
      <c r="A468" s="148">
        <v>10419</v>
      </c>
      <c r="B468" s="148" t="s">
        <v>1481</v>
      </c>
      <c r="C468" s="148" t="s">
        <v>1482</v>
      </c>
      <c r="D468" s="148" t="s">
        <v>1025</v>
      </c>
      <c r="E468" s="148" t="s">
        <v>1474</v>
      </c>
      <c r="F468" s="149">
        <v>19</v>
      </c>
      <c r="G468" s="148" t="s">
        <v>591</v>
      </c>
      <c r="H468" s="150">
        <v>2057.29</v>
      </c>
      <c r="I468" s="151">
        <v>2057.29</v>
      </c>
    </row>
    <row r="469" spans="1:9" ht="15" customHeight="1" x14ac:dyDescent="0.25">
      <c r="A469" s="148">
        <v>10420</v>
      </c>
      <c r="B469" s="148" t="s">
        <v>1483</v>
      </c>
      <c r="C469" s="148" t="s">
        <v>1484</v>
      </c>
      <c r="D469" s="148" t="s">
        <v>1025</v>
      </c>
      <c r="E469" s="148" t="s">
        <v>1485</v>
      </c>
      <c r="F469" s="149">
        <v>19</v>
      </c>
      <c r="G469" s="148" t="s">
        <v>591</v>
      </c>
      <c r="H469" s="150">
        <v>7124.17</v>
      </c>
      <c r="I469" s="151">
        <v>7124.17</v>
      </c>
    </row>
    <row r="470" spans="1:9" ht="15" customHeight="1" x14ac:dyDescent="0.25">
      <c r="A470" s="148">
        <v>10421</v>
      </c>
      <c r="B470" s="148" t="s">
        <v>1486</v>
      </c>
      <c r="C470" s="148" t="s">
        <v>1487</v>
      </c>
      <c r="D470" s="148" t="s">
        <v>1025</v>
      </c>
      <c r="E470" s="148" t="s">
        <v>1485</v>
      </c>
      <c r="F470" s="149">
        <v>19</v>
      </c>
      <c r="G470" s="148" t="s">
        <v>591</v>
      </c>
      <c r="H470" s="150">
        <v>5535.21</v>
      </c>
      <c r="I470" s="151">
        <v>5535.21</v>
      </c>
    </row>
    <row r="471" spans="1:9" ht="15" customHeight="1" x14ac:dyDescent="0.25">
      <c r="A471" s="148">
        <v>10422</v>
      </c>
      <c r="B471" s="148" t="s">
        <v>1488</v>
      </c>
      <c r="C471" s="148" t="s">
        <v>1489</v>
      </c>
      <c r="D471" s="148" t="s">
        <v>1025</v>
      </c>
      <c r="E471" s="148" t="s">
        <v>1485</v>
      </c>
      <c r="F471" s="149">
        <v>19</v>
      </c>
      <c r="G471" s="148" t="s">
        <v>591</v>
      </c>
      <c r="H471" s="150">
        <v>7844.99</v>
      </c>
      <c r="I471" s="151">
        <v>7844.99</v>
      </c>
    </row>
    <row r="472" spans="1:9" ht="15" customHeight="1" x14ac:dyDescent="0.25">
      <c r="A472" s="148">
        <v>10423</v>
      </c>
      <c r="B472" s="148" t="s">
        <v>1490</v>
      </c>
      <c r="C472" s="148" t="s">
        <v>1491</v>
      </c>
      <c r="D472" s="148" t="s">
        <v>1025</v>
      </c>
      <c r="E472" s="148" t="s">
        <v>1492</v>
      </c>
      <c r="F472" s="149">
        <v>19</v>
      </c>
      <c r="G472" s="148" t="s">
        <v>591</v>
      </c>
      <c r="H472" s="150">
        <v>2167.54</v>
      </c>
      <c r="I472" s="151">
        <v>2167.54</v>
      </c>
    </row>
    <row r="473" spans="1:9" ht="15" customHeight="1" x14ac:dyDescent="0.25">
      <c r="A473" s="148">
        <v>10424</v>
      </c>
      <c r="B473" s="148" t="s">
        <v>1493</v>
      </c>
      <c r="C473" s="148" t="s">
        <v>1494</v>
      </c>
      <c r="D473" s="148" t="s">
        <v>1025</v>
      </c>
      <c r="E473" s="148" t="s">
        <v>1492</v>
      </c>
      <c r="F473" s="149">
        <v>19</v>
      </c>
      <c r="G473" s="148" t="s">
        <v>591</v>
      </c>
      <c r="H473" s="150">
        <v>2008.01</v>
      </c>
      <c r="I473" s="151">
        <v>2008.01</v>
      </c>
    </row>
    <row r="474" spans="1:9" ht="15" customHeight="1" x14ac:dyDescent="0.25">
      <c r="A474" s="148">
        <v>10425</v>
      </c>
      <c r="B474" s="148" t="s">
        <v>1495</v>
      </c>
      <c r="C474" s="148" t="s">
        <v>1496</v>
      </c>
      <c r="D474" s="148" t="s">
        <v>1025</v>
      </c>
      <c r="E474" s="148" t="s">
        <v>1492</v>
      </c>
      <c r="F474" s="149">
        <v>19</v>
      </c>
      <c r="G474" s="148" t="s">
        <v>591</v>
      </c>
      <c r="H474" s="150">
        <v>1982.11</v>
      </c>
      <c r="I474" s="151">
        <v>1982.11</v>
      </c>
    </row>
    <row r="475" spans="1:9" ht="15" customHeight="1" x14ac:dyDescent="0.25">
      <c r="A475" s="148">
        <v>10426</v>
      </c>
      <c r="B475" s="148" t="s">
        <v>1497</v>
      </c>
      <c r="C475" s="148" t="s">
        <v>1498</v>
      </c>
      <c r="D475" s="148" t="s">
        <v>1025</v>
      </c>
      <c r="E475" s="148" t="s">
        <v>1499</v>
      </c>
      <c r="F475" s="149">
        <v>19</v>
      </c>
      <c r="G475" s="148" t="s">
        <v>591</v>
      </c>
      <c r="H475" s="150">
        <v>3128.24</v>
      </c>
      <c r="I475" s="151">
        <v>3128.24</v>
      </c>
    </row>
    <row r="476" spans="1:9" ht="15" customHeight="1" x14ac:dyDescent="0.25">
      <c r="A476" s="148">
        <v>10427</v>
      </c>
      <c r="B476" s="148" t="s">
        <v>1500</v>
      </c>
      <c r="C476" s="148" t="s">
        <v>1501</v>
      </c>
      <c r="D476" s="148" t="s">
        <v>1025</v>
      </c>
      <c r="E476" s="148" t="s">
        <v>1502</v>
      </c>
      <c r="F476" s="149">
        <v>19</v>
      </c>
      <c r="G476" s="148" t="s">
        <v>935</v>
      </c>
      <c r="H476" s="150">
        <v>3783.38</v>
      </c>
      <c r="I476" s="151">
        <v>3783.38</v>
      </c>
    </row>
    <row r="477" spans="1:9" ht="15" customHeight="1" x14ac:dyDescent="0.25">
      <c r="A477" s="148">
        <v>10429</v>
      </c>
      <c r="B477" s="148" t="s">
        <v>1503</v>
      </c>
      <c r="C477" s="148" t="s">
        <v>1504</v>
      </c>
      <c r="D477" s="148" t="s">
        <v>1025</v>
      </c>
      <c r="E477" s="148" t="s">
        <v>1505</v>
      </c>
      <c r="F477" s="149">
        <v>19</v>
      </c>
      <c r="G477" s="148" t="s">
        <v>596</v>
      </c>
      <c r="H477" s="150">
        <v>2026.12</v>
      </c>
      <c r="I477" s="151">
        <v>2026.12</v>
      </c>
    </row>
    <row r="478" spans="1:9" ht="15" customHeight="1" x14ac:dyDescent="0.25">
      <c r="A478" s="148">
        <v>10430</v>
      </c>
      <c r="B478" s="148" t="s">
        <v>1506</v>
      </c>
      <c r="C478" s="148" t="s">
        <v>1507</v>
      </c>
      <c r="D478" s="148" t="s">
        <v>1025</v>
      </c>
      <c r="E478" s="148" t="s">
        <v>1192</v>
      </c>
      <c r="F478" s="149">
        <v>19</v>
      </c>
      <c r="G478" s="148" t="s">
        <v>591</v>
      </c>
      <c r="H478" s="150">
        <v>4185.9399999999996</v>
      </c>
      <c r="I478" s="151">
        <v>4185.9399999999996</v>
      </c>
    </row>
    <row r="479" spans="1:9" ht="15" customHeight="1" x14ac:dyDescent="0.25">
      <c r="A479" s="148">
        <v>10431</v>
      </c>
      <c r="B479" s="148" t="s">
        <v>1508</v>
      </c>
      <c r="C479" s="148" t="s">
        <v>1509</v>
      </c>
      <c r="D479" s="148" t="s">
        <v>1025</v>
      </c>
      <c r="E479" s="148" t="s">
        <v>1510</v>
      </c>
      <c r="F479" s="149">
        <v>19</v>
      </c>
      <c r="G479" s="148" t="s">
        <v>935</v>
      </c>
      <c r="H479" s="150">
        <v>4247.05</v>
      </c>
      <c r="I479" s="151">
        <v>4247.05</v>
      </c>
    </row>
    <row r="480" spans="1:9" ht="15" customHeight="1" x14ac:dyDescent="0.25">
      <c r="A480" s="148">
        <v>10432</v>
      </c>
      <c r="B480" s="148" t="s">
        <v>1511</v>
      </c>
      <c r="C480" s="148" t="s">
        <v>1512</v>
      </c>
      <c r="D480" s="148" t="s">
        <v>1025</v>
      </c>
      <c r="E480" s="148" t="s">
        <v>1513</v>
      </c>
      <c r="F480" s="149">
        <v>19</v>
      </c>
      <c r="G480" s="148" t="s">
        <v>591</v>
      </c>
      <c r="H480" s="150">
        <v>2828.23</v>
      </c>
      <c r="I480" s="151">
        <v>2828.23</v>
      </c>
    </row>
    <row r="481" spans="1:9" ht="15" customHeight="1" x14ac:dyDescent="0.25">
      <c r="A481" s="148">
        <v>10433</v>
      </c>
      <c r="B481" s="148" t="s">
        <v>1514</v>
      </c>
      <c r="C481" s="148" t="s">
        <v>1515</v>
      </c>
      <c r="D481" s="148" t="s">
        <v>1025</v>
      </c>
      <c r="E481" s="148" t="s">
        <v>1516</v>
      </c>
      <c r="F481" s="149">
        <v>19</v>
      </c>
      <c r="G481" s="148" t="s">
        <v>591</v>
      </c>
      <c r="H481" s="150">
        <v>2579.59</v>
      </c>
      <c r="I481" s="151">
        <v>2579.59</v>
      </c>
    </row>
    <row r="482" spans="1:9" ht="15" customHeight="1" x14ac:dyDescent="0.25">
      <c r="A482" s="148">
        <v>10434</v>
      </c>
      <c r="B482" s="148" t="s">
        <v>1517</v>
      </c>
      <c r="C482" s="148" t="s">
        <v>1518</v>
      </c>
      <c r="D482" s="148" t="s">
        <v>1025</v>
      </c>
      <c r="E482" s="148" t="s">
        <v>1195</v>
      </c>
      <c r="F482" s="149">
        <v>19</v>
      </c>
      <c r="G482" s="148" t="s">
        <v>591</v>
      </c>
      <c r="H482" s="150">
        <v>2058.6799999999998</v>
      </c>
      <c r="I482" s="151">
        <v>2058.6799999999998</v>
      </c>
    </row>
    <row r="483" spans="1:9" ht="15" customHeight="1" x14ac:dyDescent="0.25">
      <c r="A483" s="148">
        <v>10435</v>
      </c>
      <c r="B483" s="148" t="s">
        <v>1519</v>
      </c>
      <c r="C483" s="148" t="s">
        <v>1520</v>
      </c>
      <c r="D483" s="148" t="s">
        <v>1025</v>
      </c>
      <c r="E483" s="148" t="s">
        <v>1198</v>
      </c>
      <c r="F483" s="149">
        <v>19</v>
      </c>
      <c r="G483" s="148" t="s">
        <v>591</v>
      </c>
      <c r="H483" s="150">
        <v>2094.2399999999998</v>
      </c>
      <c r="I483" s="151">
        <v>2094.2399999999998</v>
      </c>
    </row>
    <row r="484" spans="1:9" ht="15" customHeight="1" x14ac:dyDescent="0.25">
      <c r="A484" s="148">
        <v>10436</v>
      </c>
      <c r="B484" s="148" t="s">
        <v>1521</v>
      </c>
      <c r="C484" s="148" t="s">
        <v>1522</v>
      </c>
      <c r="D484" s="148" t="s">
        <v>1025</v>
      </c>
      <c r="E484" s="148" t="s">
        <v>1201</v>
      </c>
      <c r="F484" s="149">
        <v>19</v>
      </c>
      <c r="G484" s="148" t="s">
        <v>591</v>
      </c>
      <c r="H484" s="150">
        <v>2499.11</v>
      </c>
      <c r="I484" s="151">
        <v>2499.11</v>
      </c>
    </row>
    <row r="485" spans="1:9" ht="15" customHeight="1" x14ac:dyDescent="0.25">
      <c r="A485" s="148">
        <v>10437</v>
      </c>
      <c r="B485" s="148" t="s">
        <v>1523</v>
      </c>
      <c r="C485" s="148" t="s">
        <v>1524</v>
      </c>
      <c r="D485" s="148" t="s">
        <v>1025</v>
      </c>
      <c r="E485" s="148" t="s">
        <v>1201</v>
      </c>
      <c r="F485" s="149">
        <v>19</v>
      </c>
      <c r="G485" s="148" t="s">
        <v>591</v>
      </c>
      <c r="H485" s="150">
        <v>2506.5300000000002</v>
      </c>
      <c r="I485" s="151">
        <v>2506.5300000000002</v>
      </c>
    </row>
    <row r="486" spans="1:9" ht="15" customHeight="1" x14ac:dyDescent="0.25">
      <c r="A486" s="148">
        <v>10438</v>
      </c>
      <c r="B486" s="148" t="s">
        <v>1525</v>
      </c>
      <c r="C486" s="148" t="s">
        <v>1526</v>
      </c>
      <c r="D486" s="148" t="s">
        <v>1025</v>
      </c>
      <c r="E486" s="148" t="s">
        <v>1527</v>
      </c>
      <c r="F486" s="149">
        <v>19</v>
      </c>
      <c r="G486" s="148" t="s">
        <v>591</v>
      </c>
      <c r="H486" s="150">
        <v>1822.07</v>
      </c>
      <c r="I486" s="151">
        <v>1822.07</v>
      </c>
    </row>
    <row r="487" spans="1:9" ht="15" customHeight="1" x14ac:dyDescent="0.25">
      <c r="A487" s="148">
        <v>10439</v>
      </c>
      <c r="B487" s="148" t="s">
        <v>1528</v>
      </c>
      <c r="C487" s="148" t="s">
        <v>1529</v>
      </c>
      <c r="D487" s="148" t="s">
        <v>1025</v>
      </c>
      <c r="E487" s="148" t="s">
        <v>1206</v>
      </c>
      <c r="F487" s="149">
        <v>19</v>
      </c>
      <c r="G487" s="148" t="s">
        <v>591</v>
      </c>
      <c r="H487" s="150">
        <v>2339.42</v>
      </c>
      <c r="I487" s="151">
        <v>2339.42</v>
      </c>
    </row>
    <row r="488" spans="1:9" ht="15" customHeight="1" x14ac:dyDescent="0.25">
      <c r="A488" s="148">
        <v>10441</v>
      </c>
      <c r="B488" s="148" t="s">
        <v>1530</v>
      </c>
      <c r="C488" s="148" t="s">
        <v>1531</v>
      </c>
      <c r="D488" s="148" t="s">
        <v>1025</v>
      </c>
      <c r="E488" s="148" t="s">
        <v>1209</v>
      </c>
      <c r="F488" s="149">
        <v>19</v>
      </c>
      <c r="G488" s="148" t="s">
        <v>591</v>
      </c>
      <c r="H488" s="150">
        <v>1783.2</v>
      </c>
      <c r="I488" s="151">
        <v>1783.2</v>
      </c>
    </row>
    <row r="489" spans="1:9" ht="15" customHeight="1" x14ac:dyDescent="0.25">
      <c r="A489" s="148">
        <v>10442</v>
      </c>
      <c r="B489" s="148" t="s">
        <v>1532</v>
      </c>
      <c r="C489" s="148" t="s">
        <v>1533</v>
      </c>
      <c r="D489" s="148" t="s">
        <v>1025</v>
      </c>
      <c r="E489" s="148" t="s">
        <v>1513</v>
      </c>
      <c r="F489" s="149">
        <v>19</v>
      </c>
      <c r="G489" s="148" t="s">
        <v>591</v>
      </c>
      <c r="H489" s="150">
        <v>2890.97</v>
      </c>
      <c r="I489" s="151">
        <v>2890.97</v>
      </c>
    </row>
    <row r="490" spans="1:9" ht="15" customHeight="1" x14ac:dyDescent="0.25">
      <c r="A490" s="148">
        <v>10443</v>
      </c>
      <c r="B490" s="148" t="s">
        <v>1534</v>
      </c>
      <c r="C490" s="148" t="s">
        <v>1535</v>
      </c>
      <c r="D490" s="148" t="s">
        <v>1025</v>
      </c>
      <c r="E490" s="148" t="s">
        <v>1527</v>
      </c>
      <c r="F490" s="149">
        <v>19</v>
      </c>
      <c r="G490" s="148" t="s">
        <v>591</v>
      </c>
      <c r="H490" s="150">
        <v>1878.98</v>
      </c>
      <c r="I490" s="151">
        <v>1878.98</v>
      </c>
    </row>
    <row r="491" spans="1:9" ht="15" customHeight="1" x14ac:dyDescent="0.25">
      <c r="A491" s="148">
        <v>10444</v>
      </c>
      <c r="B491" s="148" t="s">
        <v>1536</v>
      </c>
      <c r="C491" s="148" t="s">
        <v>1537</v>
      </c>
      <c r="D491" s="148" t="s">
        <v>1025</v>
      </c>
      <c r="E491" s="148" t="s">
        <v>1212</v>
      </c>
      <c r="F491" s="149">
        <v>19</v>
      </c>
      <c r="G491" s="148" t="s">
        <v>591</v>
      </c>
      <c r="H491" s="150">
        <v>2034.61</v>
      </c>
      <c r="I491" s="151">
        <v>2034.61</v>
      </c>
    </row>
    <row r="492" spans="1:9" ht="15" customHeight="1" x14ac:dyDescent="0.25">
      <c r="A492" s="148">
        <v>10449</v>
      </c>
      <c r="B492" s="148" t="s">
        <v>1538</v>
      </c>
      <c r="C492" s="148" t="s">
        <v>1539</v>
      </c>
      <c r="D492" s="148" t="s">
        <v>1025</v>
      </c>
      <c r="E492" s="148" t="s">
        <v>1212</v>
      </c>
      <c r="F492" s="149">
        <v>19</v>
      </c>
      <c r="G492" s="148" t="s">
        <v>591</v>
      </c>
      <c r="H492" s="150">
        <v>2239.59</v>
      </c>
      <c r="I492" s="151">
        <v>2239.59</v>
      </c>
    </row>
    <row r="493" spans="1:9" ht="15" customHeight="1" x14ac:dyDescent="0.25">
      <c r="A493" s="148">
        <v>10452</v>
      </c>
      <c r="B493" s="148" t="s">
        <v>1540</v>
      </c>
      <c r="C493" s="148" t="s">
        <v>1541</v>
      </c>
      <c r="D493" s="148" t="s">
        <v>1025</v>
      </c>
      <c r="E493" s="148" t="s">
        <v>1212</v>
      </c>
      <c r="F493" s="149">
        <v>19</v>
      </c>
      <c r="G493" s="148" t="s">
        <v>591</v>
      </c>
      <c r="H493" s="150">
        <v>2384.92</v>
      </c>
      <c r="I493" s="151">
        <v>2384.92</v>
      </c>
    </row>
    <row r="494" spans="1:9" ht="15" customHeight="1" x14ac:dyDescent="0.25">
      <c r="A494" s="148">
        <v>10453</v>
      </c>
      <c r="B494" s="148" t="s">
        <v>1542</v>
      </c>
      <c r="C494" s="148" t="s">
        <v>1543</v>
      </c>
      <c r="D494" s="148" t="s">
        <v>1025</v>
      </c>
      <c r="E494" s="148" t="s">
        <v>1212</v>
      </c>
      <c r="F494" s="149">
        <v>19</v>
      </c>
      <c r="G494" s="148" t="s">
        <v>591</v>
      </c>
      <c r="H494" s="150">
        <v>2064.5300000000002</v>
      </c>
      <c r="I494" s="151">
        <v>2064.5300000000002</v>
      </c>
    </row>
    <row r="495" spans="1:9" ht="15" customHeight="1" x14ac:dyDescent="0.25">
      <c r="A495" s="148">
        <v>10454</v>
      </c>
      <c r="B495" s="148" t="s">
        <v>1544</v>
      </c>
      <c r="C495" s="148" t="s">
        <v>1545</v>
      </c>
      <c r="D495" s="148" t="s">
        <v>1025</v>
      </c>
      <c r="E495" s="148" t="s">
        <v>1212</v>
      </c>
      <c r="F495" s="149">
        <v>19</v>
      </c>
      <c r="G495" s="148" t="s">
        <v>591</v>
      </c>
      <c r="H495" s="150">
        <v>2095.5700000000002</v>
      </c>
      <c r="I495" s="151">
        <v>2095.5700000000002</v>
      </c>
    </row>
    <row r="496" spans="1:9" ht="15" customHeight="1" x14ac:dyDescent="0.25">
      <c r="A496" s="148">
        <v>10460</v>
      </c>
      <c r="B496" s="148" t="s">
        <v>1546</v>
      </c>
      <c r="C496" s="148" t="s">
        <v>1547</v>
      </c>
      <c r="D496" s="148" t="s">
        <v>1025</v>
      </c>
      <c r="E496" s="148" t="s">
        <v>1548</v>
      </c>
      <c r="F496" s="149">
        <v>19</v>
      </c>
      <c r="G496" s="148" t="s">
        <v>591</v>
      </c>
      <c r="H496" s="150">
        <v>2092.73</v>
      </c>
      <c r="I496" s="151">
        <v>2092.73</v>
      </c>
    </row>
    <row r="497" spans="1:9" ht="15" customHeight="1" x14ac:dyDescent="0.25">
      <c r="A497" s="148">
        <v>10462</v>
      </c>
      <c r="B497" s="148" t="s">
        <v>1549</v>
      </c>
      <c r="C497" s="148" t="s">
        <v>1550</v>
      </c>
      <c r="D497" s="148" t="s">
        <v>1025</v>
      </c>
      <c r="E497" s="148" t="s">
        <v>1548</v>
      </c>
      <c r="F497" s="149">
        <v>19</v>
      </c>
      <c r="G497" s="148" t="s">
        <v>591</v>
      </c>
      <c r="H497" s="150">
        <v>2222.65</v>
      </c>
      <c r="I497" s="151">
        <v>2222.65</v>
      </c>
    </row>
    <row r="498" spans="1:9" ht="15" customHeight="1" x14ac:dyDescent="0.25">
      <c r="A498" s="148">
        <v>10463</v>
      </c>
      <c r="B498" s="148" t="s">
        <v>1551</v>
      </c>
      <c r="C498" s="148" t="s">
        <v>1552</v>
      </c>
      <c r="D498" s="148" t="s">
        <v>1025</v>
      </c>
      <c r="E498" s="148" t="s">
        <v>1548</v>
      </c>
      <c r="F498" s="149">
        <v>19</v>
      </c>
      <c r="G498" s="148" t="s">
        <v>591</v>
      </c>
      <c r="H498" s="150">
        <v>3016.7</v>
      </c>
      <c r="I498" s="151">
        <v>3016.7</v>
      </c>
    </row>
    <row r="499" spans="1:9" ht="15" customHeight="1" x14ac:dyDescent="0.25">
      <c r="A499" s="148">
        <v>10464</v>
      </c>
      <c r="B499" s="148" t="s">
        <v>1553</v>
      </c>
      <c r="C499" s="148" t="s">
        <v>1554</v>
      </c>
      <c r="D499" s="148" t="s">
        <v>1025</v>
      </c>
      <c r="E499" s="148" t="s">
        <v>1548</v>
      </c>
      <c r="F499" s="149">
        <v>19</v>
      </c>
      <c r="G499" s="148" t="s">
        <v>591</v>
      </c>
      <c r="H499" s="150">
        <v>3312.74</v>
      </c>
      <c r="I499" s="151">
        <v>3312.74</v>
      </c>
    </row>
    <row r="500" spans="1:9" ht="15" customHeight="1" x14ac:dyDescent="0.25">
      <c r="A500" s="148">
        <v>10465</v>
      </c>
      <c r="B500" s="148" t="s">
        <v>1555</v>
      </c>
      <c r="C500" s="148" t="s">
        <v>1556</v>
      </c>
      <c r="D500" s="148" t="s">
        <v>1025</v>
      </c>
      <c r="E500" s="148" t="s">
        <v>1548</v>
      </c>
      <c r="F500" s="149">
        <v>19</v>
      </c>
      <c r="G500" s="148" t="s">
        <v>591</v>
      </c>
      <c r="H500" s="150">
        <v>3514.55</v>
      </c>
      <c r="I500" s="151">
        <v>3514.55</v>
      </c>
    </row>
    <row r="501" spans="1:9" ht="15" customHeight="1" x14ac:dyDescent="0.25">
      <c r="A501" s="148">
        <v>10466</v>
      </c>
      <c r="B501" s="148" t="s">
        <v>1557</v>
      </c>
      <c r="C501" s="148" t="s">
        <v>1558</v>
      </c>
      <c r="D501" s="148" t="s">
        <v>1025</v>
      </c>
      <c r="E501" s="148" t="s">
        <v>1548</v>
      </c>
      <c r="F501" s="149">
        <v>19</v>
      </c>
      <c r="G501" s="148" t="s">
        <v>591</v>
      </c>
      <c r="H501" s="150">
        <v>3106.28</v>
      </c>
      <c r="I501" s="151">
        <v>3106.28</v>
      </c>
    </row>
    <row r="502" spans="1:9" ht="15" customHeight="1" x14ac:dyDescent="0.25">
      <c r="A502" s="148">
        <v>10600</v>
      </c>
      <c r="B502" s="148" t="s">
        <v>1559</v>
      </c>
      <c r="C502" s="148" t="s">
        <v>1560</v>
      </c>
      <c r="D502" s="148" t="s">
        <v>1025</v>
      </c>
      <c r="E502" s="148" t="s">
        <v>1121</v>
      </c>
      <c r="F502" s="149">
        <v>200</v>
      </c>
      <c r="G502" s="148" t="s">
        <v>591</v>
      </c>
      <c r="H502" s="150">
        <v>19266.52</v>
      </c>
      <c r="I502" s="151">
        <v>19266.52</v>
      </c>
    </row>
    <row r="503" spans="1:9" ht="15" customHeight="1" x14ac:dyDescent="0.25">
      <c r="A503" s="148">
        <v>10601</v>
      </c>
      <c r="B503" s="148" t="s">
        <v>1561</v>
      </c>
      <c r="C503" s="148" t="s">
        <v>1562</v>
      </c>
      <c r="D503" s="148" t="s">
        <v>1025</v>
      </c>
      <c r="E503" s="148" t="s">
        <v>1121</v>
      </c>
      <c r="F503" s="149">
        <v>200</v>
      </c>
      <c r="G503" s="148" t="s">
        <v>591</v>
      </c>
      <c r="H503" s="150">
        <v>18802.23</v>
      </c>
      <c r="I503" s="151">
        <v>18802.23</v>
      </c>
    </row>
    <row r="504" spans="1:9" ht="15" customHeight="1" x14ac:dyDescent="0.25">
      <c r="A504" s="148">
        <v>10602</v>
      </c>
      <c r="B504" s="148" t="s">
        <v>1563</v>
      </c>
      <c r="C504" s="148" t="s">
        <v>1564</v>
      </c>
      <c r="D504" s="148" t="s">
        <v>1025</v>
      </c>
      <c r="E504" s="148" t="s">
        <v>1121</v>
      </c>
      <c r="F504" s="149">
        <v>200</v>
      </c>
      <c r="G504" s="148" t="s">
        <v>591</v>
      </c>
      <c r="H504" s="150">
        <v>19008.73</v>
      </c>
      <c r="I504" s="151">
        <v>19008.73</v>
      </c>
    </row>
    <row r="505" spans="1:9" ht="15" customHeight="1" x14ac:dyDescent="0.25">
      <c r="A505" s="148">
        <v>10603</v>
      </c>
      <c r="B505" s="148" t="s">
        <v>1565</v>
      </c>
      <c r="C505" s="148" t="s">
        <v>1566</v>
      </c>
      <c r="D505" s="148" t="s">
        <v>1025</v>
      </c>
      <c r="E505" s="148" t="s">
        <v>1121</v>
      </c>
      <c r="F505" s="149">
        <v>200</v>
      </c>
      <c r="G505" s="148" t="s">
        <v>591</v>
      </c>
      <c r="H505" s="150">
        <v>19754.259999999998</v>
      </c>
      <c r="I505" s="151">
        <v>19754.259999999998</v>
      </c>
    </row>
    <row r="506" spans="1:9" ht="15" customHeight="1" x14ac:dyDescent="0.25">
      <c r="A506" s="148">
        <v>10604</v>
      </c>
      <c r="B506" s="148" t="s">
        <v>1567</v>
      </c>
      <c r="C506" s="148" t="s">
        <v>1568</v>
      </c>
      <c r="D506" s="148" t="s">
        <v>1025</v>
      </c>
      <c r="E506" s="148" t="s">
        <v>1121</v>
      </c>
      <c r="F506" s="149">
        <v>200</v>
      </c>
      <c r="G506" s="148" t="s">
        <v>591</v>
      </c>
      <c r="H506" s="150">
        <v>20465.2</v>
      </c>
      <c r="I506" s="151">
        <v>20465.2</v>
      </c>
    </row>
    <row r="507" spans="1:9" ht="15" customHeight="1" x14ac:dyDescent="0.25">
      <c r="A507" s="148">
        <v>10605</v>
      </c>
      <c r="B507" s="148" t="s">
        <v>1569</v>
      </c>
      <c r="C507" s="148" t="s">
        <v>1570</v>
      </c>
      <c r="D507" s="148" t="s">
        <v>1025</v>
      </c>
      <c r="E507" s="148" t="s">
        <v>1121</v>
      </c>
      <c r="F507" s="149">
        <v>200</v>
      </c>
      <c r="G507" s="148" t="s">
        <v>591</v>
      </c>
      <c r="H507" s="150">
        <v>20656.3</v>
      </c>
      <c r="I507" s="151">
        <v>20656.3</v>
      </c>
    </row>
    <row r="508" spans="1:9" ht="15" customHeight="1" x14ac:dyDescent="0.25">
      <c r="A508" s="148">
        <v>10606</v>
      </c>
      <c r="B508" s="148" t="s">
        <v>1571</v>
      </c>
      <c r="C508" s="148" t="s">
        <v>1572</v>
      </c>
      <c r="D508" s="148" t="s">
        <v>1025</v>
      </c>
      <c r="E508" s="148" t="s">
        <v>1121</v>
      </c>
      <c r="F508" s="149">
        <v>200</v>
      </c>
      <c r="G508" s="148" t="s">
        <v>591</v>
      </c>
      <c r="H508" s="150">
        <v>20802.5</v>
      </c>
      <c r="I508" s="151">
        <v>20802.5</v>
      </c>
    </row>
    <row r="509" spans="1:9" ht="15" customHeight="1" x14ac:dyDescent="0.25">
      <c r="A509" s="148">
        <v>10607</v>
      </c>
      <c r="B509" s="148" t="s">
        <v>1573</v>
      </c>
      <c r="C509" s="148" t="s">
        <v>1574</v>
      </c>
      <c r="D509" s="148" t="s">
        <v>1025</v>
      </c>
      <c r="E509" s="148" t="s">
        <v>1121</v>
      </c>
      <c r="F509" s="149">
        <v>200</v>
      </c>
      <c r="G509" s="148" t="s">
        <v>591</v>
      </c>
      <c r="H509" s="150">
        <v>20873.25</v>
      </c>
      <c r="I509" s="151">
        <v>20873.25</v>
      </c>
    </row>
    <row r="510" spans="1:9" ht="15" customHeight="1" x14ac:dyDescent="0.25">
      <c r="A510" s="148">
        <v>10608</v>
      </c>
      <c r="B510" s="148" t="s">
        <v>1575</v>
      </c>
      <c r="C510" s="148" t="s">
        <v>1576</v>
      </c>
      <c r="D510" s="148" t="s">
        <v>1025</v>
      </c>
      <c r="E510" s="148" t="s">
        <v>1121</v>
      </c>
      <c r="F510" s="149">
        <v>200</v>
      </c>
      <c r="G510" s="148" t="s">
        <v>591</v>
      </c>
      <c r="H510" s="150">
        <v>20860.72</v>
      </c>
      <c r="I510" s="151">
        <v>20860.72</v>
      </c>
    </row>
    <row r="511" spans="1:9" ht="15" customHeight="1" x14ac:dyDescent="0.25">
      <c r="A511" s="148">
        <v>10609</v>
      </c>
      <c r="B511" s="148" t="s">
        <v>1577</v>
      </c>
      <c r="C511" s="148" t="s">
        <v>1578</v>
      </c>
      <c r="D511" s="148" t="s">
        <v>1025</v>
      </c>
      <c r="E511" s="148" t="s">
        <v>1121</v>
      </c>
      <c r="F511" s="149">
        <v>200</v>
      </c>
      <c r="G511" s="148" t="s">
        <v>591</v>
      </c>
      <c r="H511" s="150">
        <v>20861.060000000001</v>
      </c>
      <c r="I511" s="151">
        <v>20861.060000000001</v>
      </c>
    </row>
    <row r="512" spans="1:9" ht="15" customHeight="1" x14ac:dyDescent="0.25">
      <c r="A512" s="148">
        <v>10610</v>
      </c>
      <c r="B512" s="148" t="s">
        <v>1579</v>
      </c>
      <c r="C512" s="148" t="s">
        <v>1580</v>
      </c>
      <c r="D512" s="148" t="s">
        <v>1025</v>
      </c>
      <c r="E512" s="148" t="s">
        <v>1121</v>
      </c>
      <c r="F512" s="149">
        <v>200</v>
      </c>
      <c r="G512" s="148" t="s">
        <v>591</v>
      </c>
      <c r="H512" s="150">
        <v>20910.060000000001</v>
      </c>
      <c r="I512" s="151">
        <v>20910.060000000001</v>
      </c>
    </row>
    <row r="513" spans="1:9" ht="15" customHeight="1" x14ac:dyDescent="0.25">
      <c r="A513" s="148">
        <v>10611</v>
      </c>
      <c r="B513" s="148" t="s">
        <v>1581</v>
      </c>
      <c r="C513" s="148" t="s">
        <v>1582</v>
      </c>
      <c r="D513" s="148" t="s">
        <v>1025</v>
      </c>
      <c r="E513" s="148" t="s">
        <v>1121</v>
      </c>
      <c r="F513" s="149">
        <v>200</v>
      </c>
      <c r="G513" s="148" t="s">
        <v>591</v>
      </c>
      <c r="H513" s="150">
        <v>20875.78</v>
      </c>
      <c r="I513" s="151">
        <v>20875.78</v>
      </c>
    </row>
    <row r="514" spans="1:9" ht="15" customHeight="1" x14ac:dyDescent="0.25">
      <c r="A514" s="148">
        <v>10612</v>
      </c>
      <c r="B514" s="148" t="s">
        <v>1583</v>
      </c>
      <c r="C514" s="148" t="s">
        <v>1584</v>
      </c>
      <c r="D514" s="148" t="s">
        <v>1025</v>
      </c>
      <c r="E514" s="148" t="s">
        <v>1134</v>
      </c>
      <c r="F514" s="149">
        <v>200</v>
      </c>
      <c r="G514" s="148" t="s">
        <v>591</v>
      </c>
      <c r="H514" s="150">
        <v>22013.56</v>
      </c>
      <c r="I514" s="151">
        <v>22013.56</v>
      </c>
    </row>
    <row r="515" spans="1:9" ht="15" customHeight="1" x14ac:dyDescent="0.25">
      <c r="A515" s="148">
        <v>10613</v>
      </c>
      <c r="B515" s="148" t="s">
        <v>1585</v>
      </c>
      <c r="C515" s="148" t="s">
        <v>1586</v>
      </c>
      <c r="D515" s="148" t="s">
        <v>1025</v>
      </c>
      <c r="E515" s="148" t="s">
        <v>1134</v>
      </c>
      <c r="F515" s="149">
        <v>200</v>
      </c>
      <c r="G515" s="148" t="s">
        <v>591</v>
      </c>
      <c r="H515" s="150">
        <v>21878.26</v>
      </c>
      <c r="I515" s="151">
        <v>21878.26</v>
      </c>
    </row>
    <row r="516" spans="1:9" ht="15" customHeight="1" x14ac:dyDescent="0.25">
      <c r="A516" s="148">
        <v>10614</v>
      </c>
      <c r="B516" s="148" t="s">
        <v>1587</v>
      </c>
      <c r="C516" s="148" t="s">
        <v>1588</v>
      </c>
      <c r="D516" s="148" t="s">
        <v>1025</v>
      </c>
      <c r="E516" s="148" t="s">
        <v>1134</v>
      </c>
      <c r="F516" s="149">
        <v>200</v>
      </c>
      <c r="G516" s="148" t="s">
        <v>591</v>
      </c>
      <c r="H516" s="150">
        <v>23112.23</v>
      </c>
      <c r="I516" s="151">
        <v>23112.23</v>
      </c>
    </row>
    <row r="517" spans="1:9" ht="15" customHeight="1" x14ac:dyDescent="0.25">
      <c r="A517" s="148">
        <v>10615</v>
      </c>
      <c r="B517" s="148" t="s">
        <v>1589</v>
      </c>
      <c r="C517" s="148" t="s">
        <v>1590</v>
      </c>
      <c r="D517" s="148" t="s">
        <v>1025</v>
      </c>
      <c r="E517" s="148" t="s">
        <v>1134</v>
      </c>
      <c r="F517" s="149">
        <v>200</v>
      </c>
      <c r="G517" s="148" t="s">
        <v>591</v>
      </c>
      <c r="H517" s="150">
        <v>24400.54</v>
      </c>
      <c r="I517" s="151">
        <v>24400.54</v>
      </c>
    </row>
    <row r="518" spans="1:9" ht="15" customHeight="1" x14ac:dyDescent="0.25">
      <c r="A518" s="148">
        <v>10616</v>
      </c>
      <c r="B518" s="148" t="s">
        <v>1591</v>
      </c>
      <c r="C518" s="148" t="s">
        <v>1592</v>
      </c>
      <c r="D518" s="148" t="s">
        <v>1025</v>
      </c>
      <c r="E518" s="148" t="s">
        <v>1134</v>
      </c>
      <c r="F518" s="149">
        <v>200</v>
      </c>
      <c r="G518" s="148" t="s">
        <v>591</v>
      </c>
      <c r="H518" s="150">
        <v>27063.74</v>
      </c>
      <c r="I518" s="151">
        <v>27063.74</v>
      </c>
    </row>
    <row r="519" spans="1:9" ht="15" customHeight="1" x14ac:dyDescent="0.25">
      <c r="A519" s="148">
        <v>10617</v>
      </c>
      <c r="B519" s="148" t="s">
        <v>1593</v>
      </c>
      <c r="C519" s="148" t="s">
        <v>1594</v>
      </c>
      <c r="D519" s="148" t="s">
        <v>1025</v>
      </c>
      <c r="E519" s="148" t="s">
        <v>1134</v>
      </c>
      <c r="F519" s="149">
        <v>200</v>
      </c>
      <c r="G519" s="148" t="s">
        <v>591</v>
      </c>
      <c r="H519" s="150">
        <v>29426.14</v>
      </c>
      <c r="I519" s="151">
        <v>29426.14</v>
      </c>
    </row>
    <row r="520" spans="1:9" ht="15" customHeight="1" x14ac:dyDescent="0.25">
      <c r="A520" s="148">
        <v>10618</v>
      </c>
      <c r="B520" s="148" t="s">
        <v>1595</v>
      </c>
      <c r="C520" s="148" t="s">
        <v>1596</v>
      </c>
      <c r="D520" s="148" t="s">
        <v>1025</v>
      </c>
      <c r="E520" s="148" t="s">
        <v>1139</v>
      </c>
      <c r="F520" s="149">
        <v>200</v>
      </c>
      <c r="G520" s="148" t="s">
        <v>591</v>
      </c>
      <c r="H520" s="150">
        <v>20807.38</v>
      </c>
      <c r="I520" s="151">
        <v>20807.38</v>
      </c>
    </row>
    <row r="521" spans="1:9" ht="15" customHeight="1" x14ac:dyDescent="0.25">
      <c r="A521" s="148">
        <v>10619</v>
      </c>
      <c r="B521" s="148" t="s">
        <v>1597</v>
      </c>
      <c r="C521" s="148" t="s">
        <v>1598</v>
      </c>
      <c r="D521" s="148" t="s">
        <v>1025</v>
      </c>
      <c r="E521" s="148" t="s">
        <v>1139</v>
      </c>
      <c r="F521" s="149">
        <v>200</v>
      </c>
      <c r="G521" s="148" t="s">
        <v>591</v>
      </c>
      <c r="H521" s="150">
        <v>21603.83</v>
      </c>
      <c r="I521" s="151">
        <v>21603.83</v>
      </c>
    </row>
    <row r="522" spans="1:9" ht="15" customHeight="1" x14ac:dyDescent="0.25">
      <c r="A522" s="148">
        <v>10620</v>
      </c>
      <c r="B522" s="148" t="s">
        <v>1599</v>
      </c>
      <c r="C522" s="148" t="s">
        <v>1600</v>
      </c>
      <c r="D522" s="148" t="s">
        <v>1025</v>
      </c>
      <c r="E522" s="148" t="s">
        <v>1139</v>
      </c>
      <c r="F522" s="149">
        <v>200</v>
      </c>
      <c r="G522" s="148" t="s">
        <v>591</v>
      </c>
      <c r="H522" s="150">
        <v>21755.07</v>
      </c>
      <c r="I522" s="151">
        <v>21755.07</v>
      </c>
    </row>
    <row r="523" spans="1:9" ht="15" customHeight="1" x14ac:dyDescent="0.25">
      <c r="A523" s="148">
        <v>10621</v>
      </c>
      <c r="B523" s="148" t="s">
        <v>1601</v>
      </c>
      <c r="C523" s="148" t="s">
        <v>1602</v>
      </c>
      <c r="D523" s="148" t="s">
        <v>1025</v>
      </c>
      <c r="E523" s="148" t="s">
        <v>1139</v>
      </c>
      <c r="F523" s="149">
        <v>200</v>
      </c>
      <c r="G523" s="148" t="s">
        <v>591</v>
      </c>
      <c r="H523" s="150">
        <v>21857.87</v>
      </c>
      <c r="I523" s="151">
        <v>21857.87</v>
      </c>
    </row>
    <row r="524" spans="1:9" ht="15" customHeight="1" x14ac:dyDescent="0.25">
      <c r="A524" s="148">
        <v>10622</v>
      </c>
      <c r="B524" s="148" t="s">
        <v>1603</v>
      </c>
      <c r="C524" s="148" t="s">
        <v>1604</v>
      </c>
      <c r="D524" s="148" t="s">
        <v>1025</v>
      </c>
      <c r="E524" s="148" t="s">
        <v>1142</v>
      </c>
      <c r="F524" s="149">
        <v>200</v>
      </c>
      <c r="G524" s="148" t="s">
        <v>591</v>
      </c>
      <c r="H524" s="150">
        <v>36656.58</v>
      </c>
      <c r="I524" s="151">
        <v>36656.58</v>
      </c>
    </row>
    <row r="525" spans="1:9" ht="15" customHeight="1" x14ac:dyDescent="0.25">
      <c r="A525" s="148">
        <v>10623</v>
      </c>
      <c r="B525" s="148" t="s">
        <v>1605</v>
      </c>
      <c r="C525" s="148" t="s">
        <v>1606</v>
      </c>
      <c r="D525" s="148" t="s">
        <v>1025</v>
      </c>
      <c r="E525" s="148" t="s">
        <v>1142</v>
      </c>
      <c r="F525" s="149">
        <v>200</v>
      </c>
      <c r="G525" s="148" t="s">
        <v>591</v>
      </c>
      <c r="H525" s="150">
        <v>37574.019999999997</v>
      </c>
      <c r="I525" s="151">
        <v>37574.019999999997</v>
      </c>
    </row>
    <row r="526" spans="1:9" ht="15" customHeight="1" x14ac:dyDescent="0.25">
      <c r="A526" s="148">
        <v>10624</v>
      </c>
      <c r="B526" s="148" t="s">
        <v>1607</v>
      </c>
      <c r="C526" s="148" t="s">
        <v>1608</v>
      </c>
      <c r="D526" s="148" t="s">
        <v>1025</v>
      </c>
      <c r="E526" s="148" t="s">
        <v>1142</v>
      </c>
      <c r="F526" s="149">
        <v>200</v>
      </c>
      <c r="G526" s="148" t="s">
        <v>591</v>
      </c>
      <c r="H526" s="150">
        <v>40966.21</v>
      </c>
      <c r="I526" s="151">
        <v>40966.21</v>
      </c>
    </row>
    <row r="527" spans="1:9" ht="15" customHeight="1" x14ac:dyDescent="0.25">
      <c r="A527" s="148">
        <v>10625</v>
      </c>
      <c r="B527" s="148" t="s">
        <v>1609</v>
      </c>
      <c r="C527" s="148" t="s">
        <v>1610</v>
      </c>
      <c r="D527" s="148" t="s">
        <v>1025</v>
      </c>
      <c r="E527" s="148" t="s">
        <v>1287</v>
      </c>
      <c r="F527" s="149">
        <v>200</v>
      </c>
      <c r="G527" s="148" t="s">
        <v>591</v>
      </c>
      <c r="H527" s="150">
        <v>36266.31</v>
      </c>
      <c r="I527" s="151">
        <v>36266.31</v>
      </c>
    </row>
    <row r="528" spans="1:9" ht="15" customHeight="1" x14ac:dyDescent="0.25">
      <c r="A528" s="148">
        <v>10626</v>
      </c>
      <c r="B528" s="148" t="s">
        <v>1611</v>
      </c>
      <c r="C528" s="148" t="s">
        <v>1612</v>
      </c>
      <c r="D528" s="148" t="s">
        <v>1025</v>
      </c>
      <c r="E528" s="148" t="s">
        <v>1147</v>
      </c>
      <c r="F528" s="149">
        <v>200</v>
      </c>
      <c r="G528" s="148" t="s">
        <v>591</v>
      </c>
      <c r="H528" s="150">
        <v>20647.939999999999</v>
      </c>
      <c r="I528" s="151">
        <v>20647.939999999999</v>
      </c>
    </row>
    <row r="529" spans="1:9" ht="15" customHeight="1" x14ac:dyDescent="0.25">
      <c r="A529" s="148">
        <v>10627</v>
      </c>
      <c r="B529" s="148" t="s">
        <v>1613</v>
      </c>
      <c r="C529" s="148" t="s">
        <v>1614</v>
      </c>
      <c r="D529" s="148" t="s">
        <v>1025</v>
      </c>
      <c r="E529" s="148" t="s">
        <v>1147</v>
      </c>
      <c r="F529" s="149">
        <v>200</v>
      </c>
      <c r="G529" s="148" t="s">
        <v>591</v>
      </c>
      <c r="H529" s="150">
        <v>21359.08</v>
      </c>
      <c r="I529" s="151">
        <v>21359.08</v>
      </c>
    </row>
    <row r="530" spans="1:9" ht="15" customHeight="1" x14ac:dyDescent="0.25">
      <c r="A530" s="148">
        <v>10628</v>
      </c>
      <c r="B530" s="148" t="s">
        <v>1615</v>
      </c>
      <c r="C530" s="148" t="s">
        <v>1616</v>
      </c>
      <c r="D530" s="148" t="s">
        <v>1025</v>
      </c>
      <c r="E530" s="148" t="s">
        <v>1147</v>
      </c>
      <c r="F530" s="149">
        <v>200</v>
      </c>
      <c r="G530" s="148" t="s">
        <v>591</v>
      </c>
      <c r="H530" s="150">
        <v>21513.06</v>
      </c>
      <c r="I530" s="151">
        <v>21513.06</v>
      </c>
    </row>
    <row r="531" spans="1:9" ht="15" customHeight="1" x14ac:dyDescent="0.25">
      <c r="A531" s="148">
        <v>10629</v>
      </c>
      <c r="B531" s="148" t="s">
        <v>1617</v>
      </c>
      <c r="C531" s="148" t="s">
        <v>1618</v>
      </c>
      <c r="D531" s="148" t="s">
        <v>1025</v>
      </c>
      <c r="E531" s="148" t="s">
        <v>1147</v>
      </c>
      <c r="F531" s="149">
        <v>200</v>
      </c>
      <c r="G531" s="148" t="s">
        <v>591</v>
      </c>
      <c r="H531" s="150">
        <v>21687.59</v>
      </c>
      <c r="I531" s="151">
        <v>21687.59</v>
      </c>
    </row>
    <row r="532" spans="1:9" ht="15" customHeight="1" x14ac:dyDescent="0.25">
      <c r="A532" s="148">
        <v>10630</v>
      </c>
      <c r="B532" s="148" t="s">
        <v>1619</v>
      </c>
      <c r="C532" s="148" t="s">
        <v>1620</v>
      </c>
      <c r="D532" s="148" t="s">
        <v>1025</v>
      </c>
      <c r="E532" s="148" t="s">
        <v>1147</v>
      </c>
      <c r="F532" s="149">
        <v>200</v>
      </c>
      <c r="G532" s="148" t="s">
        <v>591</v>
      </c>
      <c r="H532" s="150">
        <v>21669.05</v>
      </c>
      <c r="I532" s="151">
        <v>21669.05</v>
      </c>
    </row>
    <row r="533" spans="1:9" ht="15" customHeight="1" x14ac:dyDescent="0.25">
      <c r="A533" s="148">
        <v>10631</v>
      </c>
      <c r="B533" s="148" t="s">
        <v>1621</v>
      </c>
      <c r="C533" s="148" t="s">
        <v>1622</v>
      </c>
      <c r="D533" s="148" t="s">
        <v>1025</v>
      </c>
      <c r="E533" s="148" t="s">
        <v>1147</v>
      </c>
      <c r="F533" s="149">
        <v>200</v>
      </c>
      <c r="G533" s="148" t="s">
        <v>591</v>
      </c>
      <c r="H533" s="150">
        <v>21716.82</v>
      </c>
      <c r="I533" s="151">
        <v>21716.82</v>
      </c>
    </row>
    <row r="534" spans="1:9" ht="15" customHeight="1" x14ac:dyDescent="0.25">
      <c r="A534" s="148">
        <v>10633</v>
      </c>
      <c r="B534" s="148" t="s">
        <v>1623</v>
      </c>
      <c r="C534" s="148" t="s">
        <v>1624</v>
      </c>
      <c r="D534" s="148" t="s">
        <v>1025</v>
      </c>
      <c r="E534" s="148" t="s">
        <v>1147</v>
      </c>
      <c r="F534" s="149">
        <v>200</v>
      </c>
      <c r="G534" s="148" t="s">
        <v>591</v>
      </c>
      <c r="H534" s="150">
        <v>22141.119999999999</v>
      </c>
      <c r="I534" s="151">
        <v>22141.119999999999</v>
      </c>
    </row>
    <row r="535" spans="1:9" ht="15" customHeight="1" x14ac:dyDescent="0.25">
      <c r="A535" s="148">
        <v>10634</v>
      </c>
      <c r="B535" s="148" t="s">
        <v>1625</v>
      </c>
      <c r="C535" s="148" t="s">
        <v>1626</v>
      </c>
      <c r="D535" s="148" t="s">
        <v>1025</v>
      </c>
      <c r="E535" s="148" t="s">
        <v>1147</v>
      </c>
      <c r="F535" s="149">
        <v>200</v>
      </c>
      <c r="G535" s="148" t="s">
        <v>591</v>
      </c>
      <c r="H535" s="150">
        <v>22119.17</v>
      </c>
      <c r="I535" s="151">
        <v>22119.17</v>
      </c>
    </row>
    <row r="536" spans="1:9" ht="15" customHeight="1" x14ac:dyDescent="0.25">
      <c r="A536" s="148">
        <v>10635</v>
      </c>
      <c r="B536" s="148" t="s">
        <v>1627</v>
      </c>
      <c r="C536" s="148" t="s">
        <v>1628</v>
      </c>
      <c r="D536" s="148" t="s">
        <v>1025</v>
      </c>
      <c r="E536" s="148" t="s">
        <v>1150</v>
      </c>
      <c r="F536" s="149">
        <v>200</v>
      </c>
      <c r="G536" s="148" t="s">
        <v>591</v>
      </c>
      <c r="H536" s="150">
        <v>20213.09</v>
      </c>
      <c r="I536" s="151">
        <v>20213.09</v>
      </c>
    </row>
    <row r="537" spans="1:9" ht="15" customHeight="1" x14ac:dyDescent="0.25">
      <c r="A537" s="148">
        <v>10637</v>
      </c>
      <c r="B537" s="148" t="s">
        <v>1629</v>
      </c>
      <c r="C537" s="148" t="s">
        <v>1630</v>
      </c>
      <c r="D537" s="148" t="s">
        <v>1025</v>
      </c>
      <c r="E537" s="148" t="s">
        <v>1150</v>
      </c>
      <c r="F537" s="149">
        <v>200</v>
      </c>
      <c r="G537" s="148" t="s">
        <v>591</v>
      </c>
      <c r="H537" s="150">
        <v>21142.85</v>
      </c>
      <c r="I537" s="151">
        <v>21142.85</v>
      </c>
    </row>
    <row r="538" spans="1:9" ht="15" customHeight="1" x14ac:dyDescent="0.25">
      <c r="A538" s="148">
        <v>10638</v>
      </c>
      <c r="B538" s="148" t="s">
        <v>1631</v>
      </c>
      <c r="C538" s="148" t="s">
        <v>1632</v>
      </c>
      <c r="D538" s="148" t="s">
        <v>1025</v>
      </c>
      <c r="E538" s="148" t="s">
        <v>1150</v>
      </c>
      <c r="F538" s="149">
        <v>200</v>
      </c>
      <c r="G538" s="148" t="s">
        <v>591</v>
      </c>
      <c r="H538" s="150">
        <v>21244.93</v>
      </c>
      <c r="I538" s="151">
        <v>21244.93</v>
      </c>
    </row>
    <row r="539" spans="1:9" ht="15" customHeight="1" x14ac:dyDescent="0.25">
      <c r="A539" s="148">
        <v>10639</v>
      </c>
      <c r="B539" s="148" t="s">
        <v>1633</v>
      </c>
      <c r="C539" s="148" t="s">
        <v>1634</v>
      </c>
      <c r="D539" s="148" t="s">
        <v>1025</v>
      </c>
      <c r="E539" s="148" t="s">
        <v>1150</v>
      </c>
      <c r="F539" s="149">
        <v>200</v>
      </c>
      <c r="G539" s="148" t="s">
        <v>591</v>
      </c>
      <c r="H539" s="150">
        <v>21224.7</v>
      </c>
      <c r="I539" s="151">
        <v>21224.7</v>
      </c>
    </row>
    <row r="540" spans="1:9" ht="15" customHeight="1" x14ac:dyDescent="0.25">
      <c r="A540" s="148">
        <v>10640</v>
      </c>
      <c r="B540" s="148" t="s">
        <v>1635</v>
      </c>
      <c r="C540" s="148" t="s">
        <v>1636</v>
      </c>
      <c r="D540" s="148" t="s">
        <v>1025</v>
      </c>
      <c r="E540" s="148" t="s">
        <v>1150</v>
      </c>
      <c r="F540" s="149">
        <v>200</v>
      </c>
      <c r="G540" s="148" t="s">
        <v>591</v>
      </c>
      <c r="H540" s="150">
        <v>21257.279999999999</v>
      </c>
      <c r="I540" s="151">
        <v>21257.279999999999</v>
      </c>
    </row>
    <row r="541" spans="1:9" ht="15" customHeight="1" x14ac:dyDescent="0.25">
      <c r="A541" s="148">
        <v>10641</v>
      </c>
      <c r="B541" s="148" t="s">
        <v>1637</v>
      </c>
      <c r="C541" s="148" t="s">
        <v>1638</v>
      </c>
      <c r="D541" s="148" t="s">
        <v>1025</v>
      </c>
      <c r="E541" s="148" t="s">
        <v>1150</v>
      </c>
      <c r="F541" s="149">
        <v>200</v>
      </c>
      <c r="G541" s="148" t="s">
        <v>591</v>
      </c>
      <c r="H541" s="150">
        <v>21388.2</v>
      </c>
      <c r="I541" s="151">
        <v>21388.2</v>
      </c>
    </row>
    <row r="542" spans="1:9" ht="15" customHeight="1" x14ac:dyDescent="0.25">
      <c r="A542" s="148">
        <v>10642</v>
      </c>
      <c r="B542" s="148" t="s">
        <v>1639</v>
      </c>
      <c r="C542" s="148" t="s">
        <v>1640</v>
      </c>
      <c r="D542" s="148" t="s">
        <v>1025</v>
      </c>
      <c r="E542" s="148" t="s">
        <v>1150</v>
      </c>
      <c r="F542" s="149">
        <v>200</v>
      </c>
      <c r="G542" s="148" t="s">
        <v>591</v>
      </c>
      <c r="H542" s="150">
        <v>21306.81</v>
      </c>
      <c r="I542" s="151">
        <v>21306.81</v>
      </c>
    </row>
    <row r="543" spans="1:9" ht="15" customHeight="1" x14ac:dyDescent="0.25">
      <c r="A543" s="148">
        <v>10643</v>
      </c>
      <c r="B543" s="148" t="s">
        <v>1641</v>
      </c>
      <c r="C543" s="148" t="s">
        <v>1642</v>
      </c>
      <c r="D543" s="148" t="s">
        <v>1025</v>
      </c>
      <c r="E543" s="148" t="s">
        <v>1150</v>
      </c>
      <c r="F543" s="149">
        <v>200</v>
      </c>
      <c r="G543" s="148" t="s">
        <v>591</v>
      </c>
      <c r="H543" s="150">
        <v>21705.08</v>
      </c>
      <c r="I543" s="151">
        <v>21705.08</v>
      </c>
    </row>
    <row r="544" spans="1:9" ht="15" customHeight="1" x14ac:dyDescent="0.25">
      <c r="A544" s="148">
        <v>10644</v>
      </c>
      <c r="B544" s="148" t="s">
        <v>1643</v>
      </c>
      <c r="C544" s="148" t="s">
        <v>1644</v>
      </c>
      <c r="D544" s="148" t="s">
        <v>1025</v>
      </c>
      <c r="E544" s="148" t="s">
        <v>1150</v>
      </c>
      <c r="F544" s="149">
        <v>200</v>
      </c>
      <c r="G544" s="148" t="s">
        <v>591</v>
      </c>
      <c r="H544" s="150">
        <v>21725.21</v>
      </c>
      <c r="I544" s="151">
        <v>21725.21</v>
      </c>
    </row>
    <row r="545" spans="1:9" ht="15" customHeight="1" x14ac:dyDescent="0.25">
      <c r="A545" s="148">
        <v>10645</v>
      </c>
      <c r="B545" s="148" t="s">
        <v>1645</v>
      </c>
      <c r="C545" s="148" t="s">
        <v>1646</v>
      </c>
      <c r="D545" s="148" t="s">
        <v>1025</v>
      </c>
      <c r="E545" s="148" t="s">
        <v>1155</v>
      </c>
      <c r="F545" s="149">
        <v>200</v>
      </c>
      <c r="G545" s="148" t="s">
        <v>591</v>
      </c>
      <c r="H545" s="150">
        <v>18995.830000000002</v>
      </c>
      <c r="I545" s="151">
        <v>18995.830000000002</v>
      </c>
    </row>
    <row r="546" spans="1:9" ht="15" customHeight="1" x14ac:dyDescent="0.25">
      <c r="A546" s="148">
        <v>10646</v>
      </c>
      <c r="B546" s="148" t="s">
        <v>1647</v>
      </c>
      <c r="C546" s="148" t="s">
        <v>1648</v>
      </c>
      <c r="D546" s="148" t="s">
        <v>1025</v>
      </c>
      <c r="E546" s="148" t="s">
        <v>1155</v>
      </c>
      <c r="F546" s="149">
        <v>200</v>
      </c>
      <c r="G546" s="148" t="s">
        <v>591</v>
      </c>
      <c r="H546" s="150">
        <v>18639.5</v>
      </c>
      <c r="I546" s="151">
        <v>18639.5</v>
      </c>
    </row>
    <row r="547" spans="1:9" ht="15" customHeight="1" x14ac:dyDescent="0.25">
      <c r="A547" s="148">
        <v>10647</v>
      </c>
      <c r="B547" s="148" t="s">
        <v>1649</v>
      </c>
      <c r="C547" s="148" t="s">
        <v>1650</v>
      </c>
      <c r="D547" s="148" t="s">
        <v>1025</v>
      </c>
      <c r="E547" s="148" t="s">
        <v>1155</v>
      </c>
      <c r="F547" s="149">
        <v>200</v>
      </c>
      <c r="G547" s="148" t="s">
        <v>591</v>
      </c>
      <c r="H547" s="150">
        <v>18895.45</v>
      </c>
      <c r="I547" s="151">
        <v>18895.45</v>
      </c>
    </row>
    <row r="548" spans="1:9" ht="15" customHeight="1" x14ac:dyDescent="0.25">
      <c r="A548" s="148">
        <v>10648</v>
      </c>
      <c r="B548" s="148" t="s">
        <v>1651</v>
      </c>
      <c r="C548" s="148" t="s">
        <v>1652</v>
      </c>
      <c r="D548" s="148" t="s">
        <v>1025</v>
      </c>
      <c r="E548" s="148" t="s">
        <v>1155</v>
      </c>
      <c r="F548" s="149">
        <v>200</v>
      </c>
      <c r="G548" s="148" t="s">
        <v>591</v>
      </c>
      <c r="H548" s="150">
        <v>19518.96</v>
      </c>
      <c r="I548" s="151">
        <v>19518.96</v>
      </c>
    </row>
    <row r="549" spans="1:9" ht="15" customHeight="1" x14ac:dyDescent="0.25">
      <c r="A549" s="148">
        <v>10650</v>
      </c>
      <c r="B549" s="148" t="s">
        <v>1653</v>
      </c>
      <c r="C549" s="148" t="s">
        <v>1654</v>
      </c>
      <c r="D549" s="148" t="s">
        <v>1025</v>
      </c>
      <c r="E549" s="148" t="s">
        <v>1155</v>
      </c>
      <c r="F549" s="149">
        <v>200</v>
      </c>
      <c r="G549" s="148" t="s">
        <v>591</v>
      </c>
      <c r="H549" s="150">
        <v>20538.099999999999</v>
      </c>
      <c r="I549" s="151">
        <v>20538.099999999999</v>
      </c>
    </row>
    <row r="550" spans="1:9" ht="15" customHeight="1" x14ac:dyDescent="0.25">
      <c r="A550" s="148">
        <v>10651</v>
      </c>
      <c r="B550" s="148" t="s">
        <v>1655</v>
      </c>
      <c r="C550" s="148" t="s">
        <v>1656</v>
      </c>
      <c r="D550" s="148" t="s">
        <v>1025</v>
      </c>
      <c r="E550" s="148" t="s">
        <v>1155</v>
      </c>
      <c r="F550" s="149">
        <v>200</v>
      </c>
      <c r="G550" s="148" t="s">
        <v>591</v>
      </c>
      <c r="H550" s="150">
        <v>20550.84</v>
      </c>
      <c r="I550" s="151">
        <v>20550.84</v>
      </c>
    </row>
    <row r="551" spans="1:9" ht="15" customHeight="1" x14ac:dyDescent="0.25">
      <c r="A551" s="148">
        <v>10652</v>
      </c>
      <c r="B551" s="148" t="s">
        <v>1657</v>
      </c>
      <c r="C551" s="148" t="s">
        <v>1658</v>
      </c>
      <c r="D551" s="148" t="s">
        <v>1025</v>
      </c>
      <c r="E551" s="148" t="s">
        <v>1155</v>
      </c>
      <c r="F551" s="149">
        <v>200</v>
      </c>
      <c r="G551" s="148" t="s">
        <v>591</v>
      </c>
      <c r="H551" s="150">
        <v>20694.59</v>
      </c>
      <c r="I551" s="151">
        <v>20694.59</v>
      </c>
    </row>
    <row r="552" spans="1:9" ht="15" customHeight="1" x14ac:dyDescent="0.25">
      <c r="A552" s="148">
        <v>10653</v>
      </c>
      <c r="B552" s="148" t="s">
        <v>1659</v>
      </c>
      <c r="C552" s="148" t="s">
        <v>1660</v>
      </c>
      <c r="D552" s="148" t="s">
        <v>1025</v>
      </c>
      <c r="E552" s="148" t="s">
        <v>1155</v>
      </c>
      <c r="F552" s="149">
        <v>200</v>
      </c>
      <c r="G552" s="148" t="s">
        <v>591</v>
      </c>
      <c r="H552" s="150">
        <v>20703.240000000002</v>
      </c>
      <c r="I552" s="151">
        <v>20703.240000000002</v>
      </c>
    </row>
    <row r="553" spans="1:9" ht="15" customHeight="1" x14ac:dyDescent="0.25">
      <c r="A553" s="148">
        <v>10658</v>
      </c>
      <c r="B553" s="148" t="s">
        <v>1661</v>
      </c>
      <c r="C553" s="148" t="s">
        <v>1662</v>
      </c>
      <c r="D553" s="148" t="s">
        <v>1025</v>
      </c>
      <c r="E553" s="148" t="s">
        <v>1155</v>
      </c>
      <c r="F553" s="149">
        <v>200</v>
      </c>
      <c r="G553" s="148" t="s">
        <v>591</v>
      </c>
      <c r="H553" s="150">
        <v>17139.39</v>
      </c>
      <c r="I553" s="151">
        <v>17139.39</v>
      </c>
    </row>
    <row r="554" spans="1:9" ht="15" customHeight="1" x14ac:dyDescent="0.25">
      <c r="A554" s="148">
        <v>10659</v>
      </c>
      <c r="B554" s="148" t="s">
        <v>1663</v>
      </c>
      <c r="C554" s="148" t="s">
        <v>1664</v>
      </c>
      <c r="D554" s="148" t="s">
        <v>1025</v>
      </c>
      <c r="E554" s="148" t="s">
        <v>1353</v>
      </c>
      <c r="F554" s="149">
        <v>200</v>
      </c>
      <c r="G554" s="148" t="s">
        <v>591</v>
      </c>
      <c r="H554" s="150">
        <v>21839.75</v>
      </c>
      <c r="I554" s="151">
        <v>21839.75</v>
      </c>
    </row>
    <row r="555" spans="1:9" ht="15" customHeight="1" x14ac:dyDescent="0.25">
      <c r="A555" s="148">
        <v>10660</v>
      </c>
      <c r="B555" s="148" t="s">
        <v>1665</v>
      </c>
      <c r="C555" s="148" t="s">
        <v>1666</v>
      </c>
      <c r="D555" s="148" t="s">
        <v>1025</v>
      </c>
      <c r="E555" s="148" t="s">
        <v>1353</v>
      </c>
      <c r="F555" s="149">
        <v>200</v>
      </c>
      <c r="G555" s="148" t="s">
        <v>591</v>
      </c>
      <c r="H555" s="150">
        <v>21412.400000000001</v>
      </c>
      <c r="I555" s="151">
        <v>21412.400000000001</v>
      </c>
    </row>
    <row r="556" spans="1:9" ht="15" customHeight="1" x14ac:dyDescent="0.25">
      <c r="A556" s="148">
        <v>10662</v>
      </c>
      <c r="B556" s="148" t="s">
        <v>1667</v>
      </c>
      <c r="C556" s="148" t="s">
        <v>1668</v>
      </c>
      <c r="D556" s="148" t="s">
        <v>1025</v>
      </c>
      <c r="E556" s="148" t="s">
        <v>1164</v>
      </c>
      <c r="F556" s="149">
        <v>200</v>
      </c>
      <c r="G556" s="148" t="s">
        <v>591</v>
      </c>
      <c r="H556" s="150">
        <v>19899.52</v>
      </c>
      <c r="I556" s="151">
        <v>19899.52</v>
      </c>
    </row>
    <row r="557" spans="1:9" ht="15" customHeight="1" x14ac:dyDescent="0.25">
      <c r="A557" s="148">
        <v>10663</v>
      </c>
      <c r="B557" s="148" t="s">
        <v>1669</v>
      </c>
      <c r="C557" s="148" t="s">
        <v>1670</v>
      </c>
      <c r="D557" s="148" t="s">
        <v>1025</v>
      </c>
      <c r="E557" s="148" t="s">
        <v>1164</v>
      </c>
      <c r="F557" s="149">
        <v>200</v>
      </c>
      <c r="G557" s="148" t="s">
        <v>591</v>
      </c>
      <c r="H557" s="150">
        <v>20604.580000000002</v>
      </c>
      <c r="I557" s="151">
        <v>20604.580000000002</v>
      </c>
    </row>
    <row r="558" spans="1:9" ht="15" customHeight="1" x14ac:dyDescent="0.25">
      <c r="A558" s="148">
        <v>10664</v>
      </c>
      <c r="B558" s="148" t="s">
        <v>1671</v>
      </c>
      <c r="C558" s="148" t="s">
        <v>1672</v>
      </c>
      <c r="D558" s="148" t="s">
        <v>1025</v>
      </c>
      <c r="E558" s="148" t="s">
        <v>1164</v>
      </c>
      <c r="F558" s="149">
        <v>200</v>
      </c>
      <c r="G558" s="148" t="s">
        <v>591</v>
      </c>
      <c r="H558" s="150">
        <v>20972.17</v>
      </c>
      <c r="I558" s="151">
        <v>20972.17</v>
      </c>
    </row>
    <row r="559" spans="1:9" ht="15" customHeight="1" x14ac:dyDescent="0.25">
      <c r="A559" s="148">
        <v>10665</v>
      </c>
      <c r="B559" s="148" t="s">
        <v>1673</v>
      </c>
      <c r="C559" s="148" t="s">
        <v>1674</v>
      </c>
      <c r="D559" s="148" t="s">
        <v>1025</v>
      </c>
      <c r="E559" s="148" t="s">
        <v>1164</v>
      </c>
      <c r="F559" s="149">
        <v>200</v>
      </c>
      <c r="G559" s="148" t="s">
        <v>591</v>
      </c>
      <c r="H559" s="150">
        <v>21107.74</v>
      </c>
      <c r="I559" s="151">
        <v>21107.74</v>
      </c>
    </row>
    <row r="560" spans="1:9" ht="15" customHeight="1" x14ac:dyDescent="0.25">
      <c r="A560" s="148">
        <v>10666</v>
      </c>
      <c r="B560" s="148" t="s">
        <v>1675</v>
      </c>
      <c r="C560" s="148" t="s">
        <v>1676</v>
      </c>
      <c r="D560" s="148" t="s">
        <v>1025</v>
      </c>
      <c r="E560" s="148" t="s">
        <v>1164</v>
      </c>
      <c r="F560" s="149">
        <v>200</v>
      </c>
      <c r="G560" s="148" t="s">
        <v>591</v>
      </c>
      <c r="H560" s="150">
        <v>21050.3</v>
      </c>
      <c r="I560" s="151">
        <v>21050.3</v>
      </c>
    </row>
    <row r="561" spans="1:9" ht="15" customHeight="1" x14ac:dyDescent="0.25">
      <c r="A561" s="148">
        <v>10667</v>
      </c>
      <c r="B561" s="148" t="s">
        <v>1677</v>
      </c>
      <c r="C561" s="148" t="s">
        <v>1678</v>
      </c>
      <c r="D561" s="148" t="s">
        <v>1025</v>
      </c>
      <c r="E561" s="148" t="s">
        <v>1164</v>
      </c>
      <c r="F561" s="149">
        <v>200</v>
      </c>
      <c r="G561" s="148" t="s">
        <v>591</v>
      </c>
      <c r="H561" s="150">
        <v>21238.34</v>
      </c>
      <c r="I561" s="151">
        <v>21238.34</v>
      </c>
    </row>
    <row r="562" spans="1:9" ht="15" customHeight="1" x14ac:dyDescent="0.25">
      <c r="A562" s="148">
        <v>10668</v>
      </c>
      <c r="B562" s="148" t="s">
        <v>1679</v>
      </c>
      <c r="C562" s="148" t="s">
        <v>1680</v>
      </c>
      <c r="D562" s="148" t="s">
        <v>1025</v>
      </c>
      <c r="E562" s="148" t="s">
        <v>1164</v>
      </c>
      <c r="F562" s="149">
        <v>200</v>
      </c>
      <c r="G562" s="148" t="s">
        <v>591</v>
      </c>
      <c r="H562" s="150">
        <v>21116.17</v>
      </c>
      <c r="I562" s="151">
        <v>21116.17</v>
      </c>
    </row>
    <row r="563" spans="1:9" ht="15" customHeight="1" x14ac:dyDescent="0.25">
      <c r="A563" s="148">
        <v>10669</v>
      </c>
      <c r="B563" s="148" t="s">
        <v>1681</v>
      </c>
      <c r="C563" s="148" t="s">
        <v>1682</v>
      </c>
      <c r="D563" s="148" t="s">
        <v>1025</v>
      </c>
      <c r="E563" s="148" t="s">
        <v>1374</v>
      </c>
      <c r="F563" s="149">
        <v>200</v>
      </c>
      <c r="G563" s="148" t="s">
        <v>591</v>
      </c>
      <c r="H563" s="150">
        <v>20888.259999999998</v>
      </c>
      <c r="I563" s="151">
        <v>20888.259999999998</v>
      </c>
    </row>
    <row r="564" spans="1:9" ht="15" customHeight="1" x14ac:dyDescent="0.25">
      <c r="A564" s="148">
        <v>10670</v>
      </c>
      <c r="B564" s="148" t="s">
        <v>1683</v>
      </c>
      <c r="C564" s="148" t="s">
        <v>1684</v>
      </c>
      <c r="D564" s="148" t="s">
        <v>1025</v>
      </c>
      <c r="E564" s="148" t="s">
        <v>1374</v>
      </c>
      <c r="F564" s="149">
        <v>200</v>
      </c>
      <c r="G564" s="148" t="s">
        <v>591</v>
      </c>
      <c r="H564" s="150">
        <v>21784.97</v>
      </c>
      <c r="I564" s="151">
        <v>21784.97</v>
      </c>
    </row>
    <row r="565" spans="1:9" ht="15" customHeight="1" x14ac:dyDescent="0.25">
      <c r="A565" s="148">
        <v>10671</v>
      </c>
      <c r="B565" s="148" t="s">
        <v>1685</v>
      </c>
      <c r="C565" s="148" t="s">
        <v>1686</v>
      </c>
      <c r="D565" s="148" t="s">
        <v>1025</v>
      </c>
      <c r="E565" s="148" t="s">
        <v>1374</v>
      </c>
      <c r="F565" s="149">
        <v>200</v>
      </c>
      <c r="G565" s="148" t="s">
        <v>591</v>
      </c>
      <c r="H565" s="150">
        <v>23306.79</v>
      </c>
      <c r="I565" s="151">
        <v>23306.79</v>
      </c>
    </row>
    <row r="566" spans="1:9" ht="15" customHeight="1" x14ac:dyDescent="0.25">
      <c r="A566" s="148">
        <v>10673</v>
      </c>
      <c r="B566" s="148" t="s">
        <v>1687</v>
      </c>
      <c r="C566" s="148" t="s">
        <v>1688</v>
      </c>
      <c r="D566" s="148" t="s">
        <v>1025</v>
      </c>
      <c r="E566" s="148" t="s">
        <v>1383</v>
      </c>
      <c r="F566" s="149">
        <v>200</v>
      </c>
      <c r="G566" s="148" t="s">
        <v>591</v>
      </c>
      <c r="H566" s="150">
        <v>20617.39</v>
      </c>
      <c r="I566" s="151">
        <v>20617.39</v>
      </c>
    </row>
    <row r="567" spans="1:9" ht="15" customHeight="1" x14ac:dyDescent="0.25">
      <c r="A567" s="148">
        <v>10674</v>
      </c>
      <c r="B567" s="148" t="s">
        <v>1689</v>
      </c>
      <c r="C567" s="148" t="s">
        <v>1690</v>
      </c>
      <c r="D567" s="148" t="s">
        <v>1025</v>
      </c>
      <c r="E567" s="148" t="s">
        <v>1383</v>
      </c>
      <c r="F567" s="149">
        <v>200</v>
      </c>
      <c r="G567" s="148" t="s">
        <v>591</v>
      </c>
      <c r="H567" s="150">
        <v>21409.22</v>
      </c>
      <c r="I567" s="151">
        <v>21409.22</v>
      </c>
    </row>
    <row r="568" spans="1:9" ht="15" customHeight="1" x14ac:dyDescent="0.25">
      <c r="A568" s="148">
        <v>10675</v>
      </c>
      <c r="B568" s="148" t="s">
        <v>1691</v>
      </c>
      <c r="C568" s="148" t="s">
        <v>1692</v>
      </c>
      <c r="D568" s="148" t="s">
        <v>1025</v>
      </c>
      <c r="E568" s="148" t="s">
        <v>1383</v>
      </c>
      <c r="F568" s="149">
        <v>200</v>
      </c>
      <c r="G568" s="148" t="s">
        <v>591</v>
      </c>
      <c r="H568" s="150">
        <v>22936.62</v>
      </c>
      <c r="I568" s="151">
        <v>22936.62</v>
      </c>
    </row>
    <row r="569" spans="1:9" ht="15" customHeight="1" x14ac:dyDescent="0.25">
      <c r="A569" s="148">
        <v>10676</v>
      </c>
      <c r="B569" s="148" t="s">
        <v>1693</v>
      </c>
      <c r="C569" s="148" t="s">
        <v>1694</v>
      </c>
      <c r="D569" s="148" t="s">
        <v>1025</v>
      </c>
      <c r="E569" s="148" t="s">
        <v>1383</v>
      </c>
      <c r="F569" s="149">
        <v>200</v>
      </c>
      <c r="G569" s="148" t="s">
        <v>591</v>
      </c>
      <c r="H569" s="150">
        <v>24243.77</v>
      </c>
      <c r="I569" s="151">
        <v>24243.77</v>
      </c>
    </row>
    <row r="570" spans="1:9" ht="15" customHeight="1" x14ac:dyDescent="0.25">
      <c r="A570" s="148">
        <v>10677</v>
      </c>
      <c r="B570" s="148" t="s">
        <v>1695</v>
      </c>
      <c r="C570" s="148" t="s">
        <v>1696</v>
      </c>
      <c r="D570" s="148" t="s">
        <v>1025</v>
      </c>
      <c r="E570" s="148" t="s">
        <v>1171</v>
      </c>
      <c r="F570" s="149">
        <v>200</v>
      </c>
      <c r="G570" s="148" t="s">
        <v>591</v>
      </c>
      <c r="H570" s="150">
        <v>20791.07</v>
      </c>
      <c r="I570" s="151">
        <v>20791.07</v>
      </c>
    </row>
    <row r="571" spans="1:9" ht="15" customHeight="1" x14ac:dyDescent="0.25">
      <c r="A571" s="148">
        <v>10678</v>
      </c>
      <c r="B571" s="148" t="s">
        <v>1697</v>
      </c>
      <c r="C571" s="148" t="s">
        <v>1698</v>
      </c>
      <c r="D571" s="148" t="s">
        <v>1025</v>
      </c>
      <c r="E571" s="148" t="s">
        <v>1171</v>
      </c>
      <c r="F571" s="149">
        <v>200</v>
      </c>
      <c r="G571" s="148" t="s">
        <v>591</v>
      </c>
      <c r="H571" s="150">
        <v>21683.83</v>
      </c>
      <c r="I571" s="151">
        <v>21683.83</v>
      </c>
    </row>
    <row r="572" spans="1:9" ht="15" customHeight="1" x14ac:dyDescent="0.25">
      <c r="A572" s="148">
        <v>10679</v>
      </c>
      <c r="B572" s="148" t="s">
        <v>1699</v>
      </c>
      <c r="C572" s="148" t="s">
        <v>1700</v>
      </c>
      <c r="D572" s="148" t="s">
        <v>1025</v>
      </c>
      <c r="E572" s="148" t="s">
        <v>1171</v>
      </c>
      <c r="F572" s="149">
        <v>200</v>
      </c>
      <c r="G572" s="148" t="s">
        <v>591</v>
      </c>
      <c r="H572" s="150">
        <v>23115.71</v>
      </c>
      <c r="I572" s="151">
        <v>23115.71</v>
      </c>
    </row>
    <row r="573" spans="1:9" ht="15" customHeight="1" x14ac:dyDescent="0.25">
      <c r="A573" s="148">
        <v>10681</v>
      </c>
      <c r="B573" s="148" t="s">
        <v>1701</v>
      </c>
      <c r="C573" s="148" t="s">
        <v>1702</v>
      </c>
      <c r="D573" s="148" t="s">
        <v>1025</v>
      </c>
      <c r="E573" s="148" t="s">
        <v>1176</v>
      </c>
      <c r="F573" s="149">
        <v>200</v>
      </c>
      <c r="G573" s="148" t="s">
        <v>591</v>
      </c>
      <c r="H573" s="150">
        <v>21122.36</v>
      </c>
      <c r="I573" s="151">
        <v>21122.36</v>
      </c>
    </row>
    <row r="574" spans="1:9" ht="15" customHeight="1" x14ac:dyDescent="0.25">
      <c r="A574" s="148">
        <v>10682</v>
      </c>
      <c r="B574" s="148" t="s">
        <v>1703</v>
      </c>
      <c r="C574" s="148" t="s">
        <v>1704</v>
      </c>
      <c r="D574" s="148" t="s">
        <v>1025</v>
      </c>
      <c r="E574" s="148" t="s">
        <v>1176</v>
      </c>
      <c r="F574" s="149">
        <v>200</v>
      </c>
      <c r="G574" s="148" t="s">
        <v>591</v>
      </c>
      <c r="H574" s="150">
        <v>21279.42</v>
      </c>
      <c r="I574" s="151">
        <v>21279.42</v>
      </c>
    </row>
    <row r="575" spans="1:9" ht="15" customHeight="1" x14ac:dyDescent="0.25">
      <c r="A575" s="148">
        <v>10683</v>
      </c>
      <c r="B575" s="148" t="s">
        <v>1705</v>
      </c>
      <c r="C575" s="148" t="s">
        <v>1706</v>
      </c>
      <c r="D575" s="148" t="s">
        <v>1025</v>
      </c>
      <c r="E575" s="148" t="s">
        <v>1176</v>
      </c>
      <c r="F575" s="149">
        <v>200</v>
      </c>
      <c r="G575" s="148" t="s">
        <v>591</v>
      </c>
      <c r="H575" s="150">
        <v>21333.9</v>
      </c>
      <c r="I575" s="151">
        <v>21333.9</v>
      </c>
    </row>
    <row r="576" spans="1:9" ht="15" customHeight="1" x14ac:dyDescent="0.25">
      <c r="A576" s="148">
        <v>10684</v>
      </c>
      <c r="B576" s="148" t="s">
        <v>1707</v>
      </c>
      <c r="C576" s="148" t="s">
        <v>1708</v>
      </c>
      <c r="D576" s="148" t="s">
        <v>1025</v>
      </c>
      <c r="E576" s="148" t="s">
        <v>1176</v>
      </c>
      <c r="F576" s="149">
        <v>200</v>
      </c>
      <c r="G576" s="148" t="s">
        <v>591</v>
      </c>
      <c r="H576" s="150">
        <v>21346.6</v>
      </c>
      <c r="I576" s="151">
        <v>21346.6</v>
      </c>
    </row>
    <row r="577" spans="1:9" ht="15" customHeight="1" x14ac:dyDescent="0.25">
      <c r="A577" s="148">
        <v>10685</v>
      </c>
      <c r="B577" s="148" t="s">
        <v>1709</v>
      </c>
      <c r="C577" s="148" t="s">
        <v>1710</v>
      </c>
      <c r="D577" s="148" t="s">
        <v>1025</v>
      </c>
      <c r="E577" s="148" t="s">
        <v>1176</v>
      </c>
      <c r="F577" s="149">
        <v>200</v>
      </c>
      <c r="G577" s="148" t="s">
        <v>591</v>
      </c>
      <c r="H577" s="150">
        <v>21400.98</v>
      </c>
      <c r="I577" s="151">
        <v>21400.98</v>
      </c>
    </row>
    <row r="578" spans="1:9" ht="15" customHeight="1" x14ac:dyDescent="0.25">
      <c r="A578" s="148">
        <v>10686</v>
      </c>
      <c r="B578" s="148" t="s">
        <v>1711</v>
      </c>
      <c r="C578" s="148" t="s">
        <v>1712</v>
      </c>
      <c r="D578" s="148" t="s">
        <v>1025</v>
      </c>
      <c r="E578" s="148" t="s">
        <v>1176</v>
      </c>
      <c r="F578" s="149">
        <v>200</v>
      </c>
      <c r="G578" s="148" t="s">
        <v>591</v>
      </c>
      <c r="H578" s="150">
        <v>21345.79</v>
      </c>
      <c r="I578" s="151">
        <v>21345.79</v>
      </c>
    </row>
    <row r="579" spans="1:9" ht="15" customHeight="1" x14ac:dyDescent="0.25">
      <c r="A579" s="148">
        <v>10687</v>
      </c>
      <c r="B579" s="148" t="s">
        <v>1713</v>
      </c>
      <c r="C579" s="148" t="s">
        <v>1714</v>
      </c>
      <c r="D579" s="148" t="s">
        <v>1025</v>
      </c>
      <c r="E579" s="148" t="s">
        <v>1176</v>
      </c>
      <c r="F579" s="149">
        <v>200</v>
      </c>
      <c r="G579" s="148" t="s">
        <v>591</v>
      </c>
      <c r="H579" s="150">
        <v>21648.5</v>
      </c>
      <c r="I579" s="151">
        <v>21648.5</v>
      </c>
    </row>
    <row r="580" spans="1:9" ht="15" customHeight="1" x14ac:dyDescent="0.25">
      <c r="A580" s="148">
        <v>10688</v>
      </c>
      <c r="B580" s="148" t="s">
        <v>1715</v>
      </c>
      <c r="C580" s="148" t="s">
        <v>1716</v>
      </c>
      <c r="D580" s="148" t="s">
        <v>1025</v>
      </c>
      <c r="E580" s="148" t="s">
        <v>1176</v>
      </c>
      <c r="F580" s="149">
        <v>200</v>
      </c>
      <c r="G580" s="148" t="s">
        <v>591</v>
      </c>
      <c r="H580" s="150">
        <v>21725.279999999999</v>
      </c>
      <c r="I580" s="151">
        <v>21725.279999999999</v>
      </c>
    </row>
    <row r="581" spans="1:9" ht="15" customHeight="1" x14ac:dyDescent="0.25">
      <c r="A581" s="148">
        <v>10689</v>
      </c>
      <c r="B581" s="148" t="s">
        <v>1717</v>
      </c>
      <c r="C581" s="148" t="s">
        <v>1718</v>
      </c>
      <c r="D581" s="148" t="s">
        <v>1025</v>
      </c>
      <c r="E581" s="148" t="s">
        <v>1416</v>
      </c>
      <c r="F581" s="149">
        <v>200</v>
      </c>
      <c r="G581" s="148" t="s">
        <v>591</v>
      </c>
      <c r="H581" s="150">
        <v>76561.19</v>
      </c>
      <c r="I581" s="151">
        <v>76561.19</v>
      </c>
    </row>
    <row r="582" spans="1:9" ht="15" customHeight="1" x14ac:dyDescent="0.25">
      <c r="A582" s="148">
        <v>10690</v>
      </c>
      <c r="B582" s="148" t="s">
        <v>1719</v>
      </c>
      <c r="C582" s="148" t="s">
        <v>1720</v>
      </c>
      <c r="D582" s="148" t="s">
        <v>1025</v>
      </c>
      <c r="E582" s="148" t="s">
        <v>1416</v>
      </c>
      <c r="F582" s="149">
        <v>200</v>
      </c>
      <c r="G582" s="148" t="s">
        <v>591</v>
      </c>
      <c r="H582" s="150">
        <v>94230.06</v>
      </c>
      <c r="I582" s="151">
        <v>94230.06</v>
      </c>
    </row>
    <row r="583" spans="1:9" ht="15" customHeight="1" x14ac:dyDescent="0.25">
      <c r="A583" s="148">
        <v>10691</v>
      </c>
      <c r="B583" s="148" t="s">
        <v>1721</v>
      </c>
      <c r="C583" s="148" t="s">
        <v>1722</v>
      </c>
      <c r="D583" s="148" t="s">
        <v>1025</v>
      </c>
      <c r="E583" s="148" t="s">
        <v>1416</v>
      </c>
      <c r="F583" s="149">
        <v>200</v>
      </c>
      <c r="G583" s="148" t="s">
        <v>591</v>
      </c>
      <c r="H583" s="150">
        <v>72949.210000000006</v>
      </c>
      <c r="I583" s="151">
        <v>72949.210000000006</v>
      </c>
    </row>
    <row r="584" spans="1:9" ht="15" customHeight="1" x14ac:dyDescent="0.25">
      <c r="A584" s="148">
        <v>10692</v>
      </c>
      <c r="B584" s="148" t="s">
        <v>1723</v>
      </c>
      <c r="C584" s="148" t="s">
        <v>1724</v>
      </c>
      <c r="D584" s="148" t="s">
        <v>1025</v>
      </c>
      <c r="E584" s="148" t="s">
        <v>1416</v>
      </c>
      <c r="F584" s="149">
        <v>200</v>
      </c>
      <c r="G584" s="148" t="s">
        <v>591</v>
      </c>
      <c r="H584" s="150">
        <v>78311.63</v>
      </c>
      <c r="I584" s="151">
        <v>78311.63</v>
      </c>
    </row>
    <row r="585" spans="1:9" ht="15" customHeight="1" x14ac:dyDescent="0.25">
      <c r="A585" s="148">
        <v>10693</v>
      </c>
      <c r="B585" s="148" t="s">
        <v>1725</v>
      </c>
      <c r="C585" s="148" t="s">
        <v>1726</v>
      </c>
      <c r="D585" s="148" t="s">
        <v>1025</v>
      </c>
      <c r="E585" s="148" t="s">
        <v>1416</v>
      </c>
      <c r="F585" s="149">
        <v>200</v>
      </c>
      <c r="G585" s="148" t="s">
        <v>591</v>
      </c>
      <c r="H585" s="150">
        <v>83238.759999999995</v>
      </c>
      <c r="I585" s="151">
        <v>83238.759999999995</v>
      </c>
    </row>
    <row r="586" spans="1:9" ht="15" customHeight="1" x14ac:dyDescent="0.25">
      <c r="A586" s="148">
        <v>10695</v>
      </c>
      <c r="B586" s="148" t="s">
        <v>1727</v>
      </c>
      <c r="C586" s="148" t="s">
        <v>1728</v>
      </c>
      <c r="D586" s="148" t="s">
        <v>1025</v>
      </c>
      <c r="E586" s="148" t="s">
        <v>1429</v>
      </c>
      <c r="F586" s="149">
        <v>200</v>
      </c>
      <c r="G586" s="148" t="s">
        <v>591</v>
      </c>
      <c r="H586" s="150">
        <v>21469.64</v>
      </c>
      <c r="I586" s="151">
        <v>21469.64</v>
      </c>
    </row>
    <row r="587" spans="1:9" ht="15" customHeight="1" x14ac:dyDescent="0.25">
      <c r="A587" s="148">
        <v>10696</v>
      </c>
      <c r="B587" s="148" t="s">
        <v>1729</v>
      </c>
      <c r="C587" s="148" t="s">
        <v>1730</v>
      </c>
      <c r="D587" s="148" t="s">
        <v>1025</v>
      </c>
      <c r="E587" s="148" t="s">
        <v>1429</v>
      </c>
      <c r="F587" s="149">
        <v>200</v>
      </c>
      <c r="G587" s="148" t="s">
        <v>591</v>
      </c>
      <c r="H587" s="150">
        <v>22931.34</v>
      </c>
      <c r="I587" s="151">
        <v>22931.34</v>
      </c>
    </row>
    <row r="588" spans="1:9" ht="15" customHeight="1" x14ac:dyDescent="0.25">
      <c r="A588" s="148">
        <v>10697</v>
      </c>
      <c r="B588" s="148" t="s">
        <v>1731</v>
      </c>
      <c r="C588" s="148" t="s">
        <v>1732</v>
      </c>
      <c r="D588" s="148" t="s">
        <v>1025</v>
      </c>
      <c r="E588" s="148" t="s">
        <v>1429</v>
      </c>
      <c r="F588" s="149">
        <v>200</v>
      </c>
      <c r="G588" s="148" t="s">
        <v>591</v>
      </c>
      <c r="H588" s="150">
        <v>24211.37</v>
      </c>
      <c r="I588" s="151">
        <v>24211.37</v>
      </c>
    </row>
    <row r="589" spans="1:9" ht="15" customHeight="1" x14ac:dyDescent="0.25">
      <c r="A589" s="148">
        <v>10698</v>
      </c>
      <c r="B589" s="148" t="s">
        <v>1733</v>
      </c>
      <c r="C589" s="148" t="s">
        <v>1734</v>
      </c>
      <c r="D589" s="148" t="s">
        <v>1025</v>
      </c>
      <c r="E589" s="148" t="s">
        <v>1429</v>
      </c>
      <c r="F589" s="149">
        <v>200</v>
      </c>
      <c r="G589" s="148" t="s">
        <v>591</v>
      </c>
      <c r="H589" s="150">
        <v>23954.39</v>
      </c>
      <c r="I589" s="151">
        <v>23954.39</v>
      </c>
    </row>
    <row r="590" spans="1:9" ht="15" customHeight="1" x14ac:dyDescent="0.25">
      <c r="A590" s="148">
        <v>10699</v>
      </c>
      <c r="B590" s="148" t="s">
        <v>1735</v>
      </c>
      <c r="C590" s="148" t="s">
        <v>1736</v>
      </c>
      <c r="D590" s="148" t="s">
        <v>1025</v>
      </c>
      <c r="E590" s="148" t="s">
        <v>1438</v>
      </c>
      <c r="F590" s="149">
        <v>200</v>
      </c>
      <c r="G590" s="148" t="s">
        <v>591</v>
      </c>
      <c r="H590" s="150">
        <v>84647.33</v>
      </c>
      <c r="I590" s="151">
        <v>84647.33</v>
      </c>
    </row>
    <row r="591" spans="1:9" ht="15" customHeight="1" x14ac:dyDescent="0.25">
      <c r="A591" s="148">
        <v>10701</v>
      </c>
      <c r="B591" s="148" t="s">
        <v>1737</v>
      </c>
      <c r="C591" s="148" t="s">
        <v>1738</v>
      </c>
      <c r="D591" s="148" t="s">
        <v>1025</v>
      </c>
      <c r="E591" s="148" t="s">
        <v>1438</v>
      </c>
      <c r="F591" s="149">
        <v>200</v>
      </c>
      <c r="G591" s="148" t="s">
        <v>591</v>
      </c>
      <c r="H591" s="150">
        <v>92924.12</v>
      </c>
      <c r="I591" s="151">
        <v>92924.12</v>
      </c>
    </row>
    <row r="592" spans="1:9" ht="15" customHeight="1" x14ac:dyDescent="0.25">
      <c r="A592" s="148">
        <v>10702</v>
      </c>
      <c r="B592" s="148" t="s">
        <v>1739</v>
      </c>
      <c r="C592" s="148" t="s">
        <v>1740</v>
      </c>
      <c r="D592" s="148" t="s">
        <v>1025</v>
      </c>
      <c r="E592" s="148" t="s">
        <v>1445</v>
      </c>
      <c r="F592" s="149">
        <v>200</v>
      </c>
      <c r="G592" s="148" t="s">
        <v>591</v>
      </c>
      <c r="H592" s="150">
        <v>109617.16</v>
      </c>
      <c r="I592" s="151">
        <v>109617.16</v>
      </c>
    </row>
    <row r="593" spans="1:9" ht="15" customHeight="1" x14ac:dyDescent="0.25">
      <c r="A593" s="148">
        <v>10703</v>
      </c>
      <c r="B593" s="148" t="s">
        <v>1741</v>
      </c>
      <c r="C593" s="148" t="s">
        <v>1742</v>
      </c>
      <c r="D593" s="148" t="s">
        <v>1025</v>
      </c>
      <c r="E593" s="148" t="s">
        <v>1445</v>
      </c>
      <c r="F593" s="149">
        <v>200</v>
      </c>
      <c r="G593" s="148" t="s">
        <v>591</v>
      </c>
      <c r="H593" s="150">
        <v>99315.9</v>
      </c>
      <c r="I593" s="151">
        <v>99315.9</v>
      </c>
    </row>
    <row r="594" spans="1:9" ht="15" customHeight="1" x14ac:dyDescent="0.25">
      <c r="A594" s="148">
        <v>10704</v>
      </c>
      <c r="B594" s="148" t="s">
        <v>1743</v>
      </c>
      <c r="C594" s="148" t="s">
        <v>1744</v>
      </c>
      <c r="D594" s="148" t="s">
        <v>1025</v>
      </c>
      <c r="E594" s="148" t="s">
        <v>1450</v>
      </c>
      <c r="F594" s="149">
        <v>200</v>
      </c>
      <c r="G594" s="148" t="s">
        <v>591</v>
      </c>
      <c r="H594" s="150">
        <v>67543.56</v>
      </c>
      <c r="I594" s="151">
        <v>67543.56</v>
      </c>
    </row>
    <row r="595" spans="1:9" ht="15" customHeight="1" x14ac:dyDescent="0.25">
      <c r="A595" s="148">
        <v>10705</v>
      </c>
      <c r="B595" s="148" t="s">
        <v>1745</v>
      </c>
      <c r="C595" s="148" t="s">
        <v>1746</v>
      </c>
      <c r="D595" s="148" t="s">
        <v>1025</v>
      </c>
      <c r="E595" s="148" t="s">
        <v>1450</v>
      </c>
      <c r="F595" s="149">
        <v>200</v>
      </c>
      <c r="G595" s="148" t="s">
        <v>591</v>
      </c>
      <c r="H595" s="150">
        <v>68242.649999999994</v>
      </c>
      <c r="I595" s="151">
        <v>68242.649999999994</v>
      </c>
    </row>
    <row r="596" spans="1:9" ht="15" customHeight="1" x14ac:dyDescent="0.25">
      <c r="A596" s="148">
        <v>10707</v>
      </c>
      <c r="B596" s="148" t="s">
        <v>1747</v>
      </c>
      <c r="C596" s="148" t="s">
        <v>1748</v>
      </c>
      <c r="D596" s="148" t="s">
        <v>1025</v>
      </c>
      <c r="E596" s="148" t="s">
        <v>1183</v>
      </c>
      <c r="F596" s="149">
        <v>200</v>
      </c>
      <c r="G596" s="148" t="s">
        <v>591</v>
      </c>
      <c r="H596" s="150">
        <v>22447.47</v>
      </c>
      <c r="I596" s="151">
        <v>22447.47</v>
      </c>
    </row>
    <row r="597" spans="1:9" ht="15" customHeight="1" x14ac:dyDescent="0.25">
      <c r="A597" s="148">
        <v>10708</v>
      </c>
      <c r="B597" s="148" t="s">
        <v>1749</v>
      </c>
      <c r="C597" s="148" t="s">
        <v>1750</v>
      </c>
      <c r="D597" s="148" t="s">
        <v>1025</v>
      </c>
      <c r="E597" s="148" t="s">
        <v>1183</v>
      </c>
      <c r="F597" s="149">
        <v>200</v>
      </c>
      <c r="G597" s="148" t="s">
        <v>591</v>
      </c>
      <c r="H597" s="150">
        <v>24442.66</v>
      </c>
      <c r="I597" s="151">
        <v>24442.66</v>
      </c>
    </row>
    <row r="598" spans="1:9" ht="15" customHeight="1" x14ac:dyDescent="0.25">
      <c r="A598" s="148">
        <v>10709</v>
      </c>
      <c r="B598" s="148" t="s">
        <v>1751</v>
      </c>
      <c r="C598" s="148" t="s">
        <v>1752</v>
      </c>
      <c r="D598" s="148" t="s">
        <v>1025</v>
      </c>
      <c r="E598" s="148" t="s">
        <v>1183</v>
      </c>
      <c r="F598" s="149">
        <v>200</v>
      </c>
      <c r="G598" s="148" t="s">
        <v>591</v>
      </c>
      <c r="H598" s="150">
        <v>26404.06</v>
      </c>
      <c r="I598" s="151">
        <v>26404.06</v>
      </c>
    </row>
    <row r="599" spans="1:9" ht="15" customHeight="1" x14ac:dyDescent="0.25">
      <c r="A599" s="148">
        <v>10710</v>
      </c>
      <c r="B599" s="148" t="s">
        <v>1753</v>
      </c>
      <c r="C599" s="148" t="s">
        <v>1754</v>
      </c>
      <c r="D599" s="148" t="s">
        <v>1025</v>
      </c>
      <c r="E599" s="148" t="s">
        <v>1183</v>
      </c>
      <c r="F599" s="149">
        <v>200</v>
      </c>
      <c r="G599" s="148" t="s">
        <v>591</v>
      </c>
      <c r="H599" s="150">
        <v>28613.8</v>
      </c>
      <c r="I599" s="151">
        <v>28613.8</v>
      </c>
    </row>
    <row r="600" spans="1:9" ht="15" customHeight="1" x14ac:dyDescent="0.25">
      <c r="A600" s="148">
        <v>10711</v>
      </c>
      <c r="B600" s="148" t="s">
        <v>1755</v>
      </c>
      <c r="C600" s="148" t="s">
        <v>1756</v>
      </c>
      <c r="D600" s="148" t="s">
        <v>1025</v>
      </c>
      <c r="E600" s="148" t="s">
        <v>1189</v>
      </c>
      <c r="F600" s="149">
        <v>200</v>
      </c>
      <c r="G600" s="148" t="s">
        <v>591</v>
      </c>
      <c r="H600" s="150">
        <v>36899.85</v>
      </c>
      <c r="I600" s="151">
        <v>36899.85</v>
      </c>
    </row>
    <row r="601" spans="1:9" ht="15" customHeight="1" x14ac:dyDescent="0.25">
      <c r="A601" s="148">
        <v>10712</v>
      </c>
      <c r="B601" s="148" t="s">
        <v>1757</v>
      </c>
      <c r="C601" s="148" t="s">
        <v>1758</v>
      </c>
      <c r="D601" s="148" t="s">
        <v>1025</v>
      </c>
      <c r="E601" s="148" t="s">
        <v>1467</v>
      </c>
      <c r="F601" s="149">
        <v>200</v>
      </c>
      <c r="G601" s="148" t="s">
        <v>591</v>
      </c>
      <c r="H601" s="150">
        <v>22596.959999999999</v>
      </c>
      <c r="I601" s="151">
        <v>22596.959999999999</v>
      </c>
    </row>
    <row r="602" spans="1:9" ht="15" customHeight="1" x14ac:dyDescent="0.25">
      <c r="A602" s="148">
        <v>10713</v>
      </c>
      <c r="B602" s="148" t="s">
        <v>1759</v>
      </c>
      <c r="C602" s="148" t="s">
        <v>1760</v>
      </c>
      <c r="D602" s="148" t="s">
        <v>1025</v>
      </c>
      <c r="E602" s="148" t="s">
        <v>1467</v>
      </c>
      <c r="F602" s="149">
        <v>200</v>
      </c>
      <c r="G602" s="148" t="s">
        <v>591</v>
      </c>
      <c r="H602" s="150">
        <v>22871.3</v>
      </c>
      <c r="I602" s="151">
        <v>22871.3</v>
      </c>
    </row>
    <row r="603" spans="1:9" ht="15" customHeight="1" x14ac:dyDescent="0.25">
      <c r="A603" s="148">
        <v>10714</v>
      </c>
      <c r="B603" s="148" t="s">
        <v>1761</v>
      </c>
      <c r="C603" s="148" t="s">
        <v>1762</v>
      </c>
      <c r="D603" s="148" t="s">
        <v>1025</v>
      </c>
      <c r="E603" s="148" t="s">
        <v>1467</v>
      </c>
      <c r="F603" s="149">
        <v>200</v>
      </c>
      <c r="G603" s="148" t="s">
        <v>591</v>
      </c>
      <c r="H603" s="150">
        <v>24647.59</v>
      </c>
      <c r="I603" s="151">
        <v>24647.59</v>
      </c>
    </row>
    <row r="604" spans="1:9" ht="15" customHeight="1" x14ac:dyDescent="0.25">
      <c r="A604" s="148">
        <v>10715</v>
      </c>
      <c r="B604" s="148" t="s">
        <v>1763</v>
      </c>
      <c r="C604" s="148" t="s">
        <v>1764</v>
      </c>
      <c r="D604" s="148" t="s">
        <v>1025</v>
      </c>
      <c r="E604" s="148" t="s">
        <v>1474</v>
      </c>
      <c r="F604" s="149">
        <v>200</v>
      </c>
      <c r="G604" s="148" t="s">
        <v>591</v>
      </c>
      <c r="H604" s="150">
        <v>20881.310000000001</v>
      </c>
      <c r="I604" s="151">
        <v>20881.310000000001</v>
      </c>
    </row>
    <row r="605" spans="1:9" ht="15" customHeight="1" x14ac:dyDescent="0.25">
      <c r="A605" s="148">
        <v>10716</v>
      </c>
      <c r="B605" s="148" t="s">
        <v>1765</v>
      </c>
      <c r="C605" s="148" t="s">
        <v>1766</v>
      </c>
      <c r="D605" s="148" t="s">
        <v>1025</v>
      </c>
      <c r="E605" s="148" t="s">
        <v>1474</v>
      </c>
      <c r="F605" s="149">
        <v>200</v>
      </c>
      <c r="G605" s="148" t="s">
        <v>591</v>
      </c>
      <c r="H605" s="150">
        <v>21297.47</v>
      </c>
      <c r="I605" s="151">
        <v>21297.47</v>
      </c>
    </row>
    <row r="606" spans="1:9" ht="15" customHeight="1" x14ac:dyDescent="0.25">
      <c r="A606" s="148">
        <v>10717</v>
      </c>
      <c r="B606" s="148" t="s">
        <v>1767</v>
      </c>
      <c r="C606" s="148" t="s">
        <v>1768</v>
      </c>
      <c r="D606" s="148" t="s">
        <v>1025</v>
      </c>
      <c r="E606" s="148" t="s">
        <v>1474</v>
      </c>
      <c r="F606" s="149">
        <v>200</v>
      </c>
      <c r="G606" s="148" t="s">
        <v>591</v>
      </c>
      <c r="H606" s="150">
        <v>21468.39</v>
      </c>
      <c r="I606" s="151">
        <v>21468.39</v>
      </c>
    </row>
    <row r="607" spans="1:9" ht="15" customHeight="1" x14ac:dyDescent="0.25">
      <c r="A607" s="148">
        <v>10718</v>
      </c>
      <c r="B607" s="148" t="s">
        <v>1769</v>
      </c>
      <c r="C607" s="148" t="s">
        <v>1770</v>
      </c>
      <c r="D607" s="148" t="s">
        <v>1025</v>
      </c>
      <c r="E607" s="148" t="s">
        <v>1474</v>
      </c>
      <c r="F607" s="149">
        <v>200</v>
      </c>
      <c r="G607" s="148" t="s">
        <v>591</v>
      </c>
      <c r="H607" s="150">
        <v>21503.51</v>
      </c>
      <c r="I607" s="151">
        <v>21503.51</v>
      </c>
    </row>
    <row r="608" spans="1:9" ht="15" customHeight="1" x14ac:dyDescent="0.25">
      <c r="A608" s="148">
        <v>10719</v>
      </c>
      <c r="B608" s="148" t="s">
        <v>1771</v>
      </c>
      <c r="C608" s="148" t="s">
        <v>1772</v>
      </c>
      <c r="D608" s="148" t="s">
        <v>1025</v>
      </c>
      <c r="E608" s="148" t="s">
        <v>1474</v>
      </c>
      <c r="F608" s="149">
        <v>200</v>
      </c>
      <c r="G608" s="148" t="s">
        <v>591</v>
      </c>
      <c r="H608" s="150">
        <v>21566.51</v>
      </c>
      <c r="I608" s="151">
        <v>21566.51</v>
      </c>
    </row>
    <row r="609" spans="1:9" ht="15" customHeight="1" x14ac:dyDescent="0.25">
      <c r="A609" s="148">
        <v>10720</v>
      </c>
      <c r="B609" s="148" t="s">
        <v>1773</v>
      </c>
      <c r="C609" s="148" t="s">
        <v>1774</v>
      </c>
      <c r="D609" s="148" t="s">
        <v>1025</v>
      </c>
      <c r="E609" s="148" t="s">
        <v>1485</v>
      </c>
      <c r="F609" s="149">
        <v>200</v>
      </c>
      <c r="G609" s="148" t="s">
        <v>591</v>
      </c>
      <c r="H609" s="150">
        <v>74896.34</v>
      </c>
      <c r="I609" s="151">
        <v>74896.34</v>
      </c>
    </row>
    <row r="610" spans="1:9" ht="15" customHeight="1" x14ac:dyDescent="0.25">
      <c r="A610" s="148">
        <v>10721</v>
      </c>
      <c r="B610" s="148" t="s">
        <v>1775</v>
      </c>
      <c r="C610" s="148" t="s">
        <v>1776</v>
      </c>
      <c r="D610" s="148" t="s">
        <v>1025</v>
      </c>
      <c r="E610" s="148" t="s">
        <v>1485</v>
      </c>
      <c r="F610" s="149">
        <v>200</v>
      </c>
      <c r="G610" s="148" t="s">
        <v>591</v>
      </c>
      <c r="H610" s="150">
        <v>58176.86</v>
      </c>
      <c r="I610" s="151">
        <v>58176.86</v>
      </c>
    </row>
    <row r="611" spans="1:9" ht="15" customHeight="1" x14ac:dyDescent="0.25">
      <c r="A611" s="148">
        <v>10722</v>
      </c>
      <c r="B611" s="148" t="s">
        <v>1777</v>
      </c>
      <c r="C611" s="148" t="s">
        <v>1778</v>
      </c>
      <c r="D611" s="148" t="s">
        <v>1025</v>
      </c>
      <c r="E611" s="148" t="s">
        <v>1485</v>
      </c>
      <c r="F611" s="149">
        <v>200</v>
      </c>
      <c r="G611" s="148" t="s">
        <v>591</v>
      </c>
      <c r="H611" s="150">
        <v>82481.8</v>
      </c>
      <c r="I611" s="151">
        <v>82481.8</v>
      </c>
    </row>
    <row r="612" spans="1:9" ht="15" customHeight="1" x14ac:dyDescent="0.25">
      <c r="A612" s="148">
        <v>10723</v>
      </c>
      <c r="B612" s="148" t="s">
        <v>1779</v>
      </c>
      <c r="C612" s="148" t="s">
        <v>1780</v>
      </c>
      <c r="D612" s="148" t="s">
        <v>1025</v>
      </c>
      <c r="E612" s="148" t="s">
        <v>1492</v>
      </c>
      <c r="F612" s="149">
        <v>200</v>
      </c>
      <c r="G612" s="148" t="s">
        <v>591</v>
      </c>
      <c r="H612" s="150">
        <v>22727.19</v>
      </c>
      <c r="I612" s="151">
        <v>22727.19</v>
      </c>
    </row>
    <row r="613" spans="1:9" ht="15" customHeight="1" x14ac:dyDescent="0.25">
      <c r="A613" s="148">
        <v>10724</v>
      </c>
      <c r="B613" s="148" t="s">
        <v>1781</v>
      </c>
      <c r="C613" s="148" t="s">
        <v>1782</v>
      </c>
      <c r="D613" s="148" t="s">
        <v>1025</v>
      </c>
      <c r="E613" s="148" t="s">
        <v>1492</v>
      </c>
      <c r="F613" s="149">
        <v>200</v>
      </c>
      <c r="G613" s="148" t="s">
        <v>591</v>
      </c>
      <c r="H613" s="150">
        <v>21047.97</v>
      </c>
      <c r="I613" s="151">
        <v>21047.97</v>
      </c>
    </row>
    <row r="614" spans="1:9" ht="15" customHeight="1" x14ac:dyDescent="0.25">
      <c r="A614" s="148">
        <v>10725</v>
      </c>
      <c r="B614" s="148" t="s">
        <v>1783</v>
      </c>
      <c r="C614" s="148" t="s">
        <v>1784</v>
      </c>
      <c r="D614" s="148" t="s">
        <v>1025</v>
      </c>
      <c r="E614" s="148" t="s">
        <v>1492</v>
      </c>
      <c r="F614" s="149">
        <v>200</v>
      </c>
      <c r="G614" s="148" t="s">
        <v>591</v>
      </c>
      <c r="H614" s="150">
        <v>20775.25</v>
      </c>
      <c r="I614" s="151">
        <v>20775.25</v>
      </c>
    </row>
    <row r="615" spans="1:9" ht="15" customHeight="1" x14ac:dyDescent="0.25">
      <c r="A615" s="148">
        <v>10726</v>
      </c>
      <c r="B615" s="148" t="s">
        <v>1785</v>
      </c>
      <c r="C615" s="148" t="s">
        <v>1786</v>
      </c>
      <c r="D615" s="148" t="s">
        <v>1025</v>
      </c>
      <c r="E615" s="148" t="s">
        <v>1499</v>
      </c>
      <c r="F615" s="149">
        <v>200</v>
      </c>
      <c r="G615" s="148" t="s">
        <v>591</v>
      </c>
      <c r="H615" s="150">
        <v>32866.65</v>
      </c>
      <c r="I615" s="151">
        <v>32866.65</v>
      </c>
    </row>
    <row r="616" spans="1:9" ht="15" customHeight="1" x14ac:dyDescent="0.25">
      <c r="A616" s="148">
        <v>10727</v>
      </c>
      <c r="B616" s="148" t="s">
        <v>1787</v>
      </c>
      <c r="C616" s="148" t="s">
        <v>1788</v>
      </c>
      <c r="D616" s="148" t="s">
        <v>1025</v>
      </c>
      <c r="E616" s="148" t="s">
        <v>1502</v>
      </c>
      <c r="F616" s="149">
        <v>200</v>
      </c>
      <c r="G616" s="148" t="s">
        <v>591</v>
      </c>
      <c r="H616" s="150">
        <v>39735.97</v>
      </c>
      <c r="I616" s="151">
        <v>39735.97</v>
      </c>
    </row>
    <row r="617" spans="1:9" ht="15" customHeight="1" x14ac:dyDescent="0.25">
      <c r="A617" s="148">
        <v>10728</v>
      </c>
      <c r="B617" s="148" t="s">
        <v>1789</v>
      </c>
      <c r="C617" s="148" t="s">
        <v>1790</v>
      </c>
      <c r="D617" s="148" t="s">
        <v>1025</v>
      </c>
      <c r="E617" s="148" t="s">
        <v>1791</v>
      </c>
      <c r="F617" s="149">
        <v>200</v>
      </c>
      <c r="G617" s="148" t="s">
        <v>935</v>
      </c>
      <c r="H617" s="150">
        <v>27683.38</v>
      </c>
      <c r="I617" s="151">
        <v>27683.38</v>
      </c>
    </row>
    <row r="618" spans="1:9" ht="15" customHeight="1" x14ac:dyDescent="0.25">
      <c r="A618" s="148">
        <v>10729</v>
      </c>
      <c r="B618" s="148" t="s">
        <v>1792</v>
      </c>
      <c r="C618" s="148" t="s">
        <v>1793</v>
      </c>
      <c r="D618" s="148" t="s">
        <v>1025</v>
      </c>
      <c r="E618" s="148" t="s">
        <v>1505</v>
      </c>
      <c r="F618" s="149">
        <v>200</v>
      </c>
      <c r="G618" s="148" t="s">
        <v>591</v>
      </c>
      <c r="H618" s="150">
        <v>21220.39</v>
      </c>
      <c r="I618" s="151">
        <v>21220.39</v>
      </c>
    </row>
    <row r="619" spans="1:9" ht="15" customHeight="1" x14ac:dyDescent="0.25">
      <c r="A619" s="148">
        <v>10730</v>
      </c>
      <c r="B619" s="148" t="s">
        <v>1794</v>
      </c>
      <c r="C619" s="148" t="s">
        <v>1795</v>
      </c>
      <c r="D619" s="148" t="s">
        <v>1025</v>
      </c>
      <c r="E619" s="148" t="s">
        <v>1192</v>
      </c>
      <c r="F619" s="149">
        <v>200</v>
      </c>
      <c r="G619" s="148" t="s">
        <v>591</v>
      </c>
      <c r="H619" s="150">
        <v>43946.58</v>
      </c>
      <c r="I619" s="151">
        <v>43946.58</v>
      </c>
    </row>
    <row r="620" spans="1:9" ht="15" customHeight="1" x14ac:dyDescent="0.25">
      <c r="A620" s="148">
        <v>10731</v>
      </c>
      <c r="B620" s="148" t="s">
        <v>1796</v>
      </c>
      <c r="C620" s="148" t="s">
        <v>1797</v>
      </c>
      <c r="D620" s="148" t="s">
        <v>1025</v>
      </c>
      <c r="E620" s="148" t="s">
        <v>1798</v>
      </c>
      <c r="F620" s="149">
        <v>200</v>
      </c>
      <c r="G620" s="148" t="s">
        <v>596</v>
      </c>
      <c r="H620" s="150">
        <v>44616.38</v>
      </c>
      <c r="I620" s="151">
        <v>44616.38</v>
      </c>
    </row>
    <row r="621" spans="1:9" ht="15" customHeight="1" x14ac:dyDescent="0.25">
      <c r="A621" s="148">
        <v>10732</v>
      </c>
      <c r="B621" s="148" t="s">
        <v>1799</v>
      </c>
      <c r="C621" s="148" t="s">
        <v>1800</v>
      </c>
      <c r="D621" s="148" t="s">
        <v>1025</v>
      </c>
      <c r="E621" s="148" t="s">
        <v>1513</v>
      </c>
      <c r="F621" s="149">
        <v>200</v>
      </c>
      <c r="G621" s="148" t="s">
        <v>591</v>
      </c>
      <c r="H621" s="150">
        <v>29675.89</v>
      </c>
      <c r="I621" s="151">
        <v>29675.89</v>
      </c>
    </row>
    <row r="622" spans="1:9" ht="15" customHeight="1" x14ac:dyDescent="0.25">
      <c r="A622" s="148">
        <v>10733</v>
      </c>
      <c r="B622" s="148" t="s">
        <v>1801</v>
      </c>
      <c r="C622" s="148" t="s">
        <v>1802</v>
      </c>
      <c r="D622" s="148" t="s">
        <v>1025</v>
      </c>
      <c r="E622" s="148" t="s">
        <v>1516</v>
      </c>
      <c r="F622" s="149">
        <v>200</v>
      </c>
      <c r="G622" s="148" t="s">
        <v>591</v>
      </c>
      <c r="H622" s="150">
        <v>20094.66</v>
      </c>
      <c r="I622" s="151">
        <v>20094.66</v>
      </c>
    </row>
    <row r="623" spans="1:9" ht="15" customHeight="1" x14ac:dyDescent="0.25">
      <c r="A623" s="148">
        <v>10734</v>
      </c>
      <c r="B623" s="148" t="s">
        <v>1803</v>
      </c>
      <c r="C623" s="148" t="s">
        <v>1804</v>
      </c>
      <c r="D623" s="148" t="s">
        <v>1025</v>
      </c>
      <c r="E623" s="148" t="s">
        <v>1195</v>
      </c>
      <c r="F623" s="149">
        <v>200</v>
      </c>
      <c r="G623" s="148" t="s">
        <v>591</v>
      </c>
      <c r="H623" s="150">
        <v>21581.23</v>
      </c>
      <c r="I623" s="151">
        <v>21581.23</v>
      </c>
    </row>
    <row r="624" spans="1:9" ht="15" customHeight="1" x14ac:dyDescent="0.25">
      <c r="A624" s="148">
        <v>10735</v>
      </c>
      <c r="B624" s="148" t="s">
        <v>1805</v>
      </c>
      <c r="C624" s="148" t="s">
        <v>1806</v>
      </c>
      <c r="D624" s="148" t="s">
        <v>1025</v>
      </c>
      <c r="E624" s="148" t="s">
        <v>1198</v>
      </c>
      <c r="F624" s="149">
        <v>200</v>
      </c>
      <c r="G624" s="148" t="s">
        <v>591</v>
      </c>
      <c r="H624" s="150">
        <v>21955.67</v>
      </c>
      <c r="I624" s="151">
        <v>21955.67</v>
      </c>
    </row>
    <row r="625" spans="1:9" ht="15" customHeight="1" x14ac:dyDescent="0.25">
      <c r="A625" s="148">
        <v>10736</v>
      </c>
      <c r="B625" s="148" t="s">
        <v>1807</v>
      </c>
      <c r="C625" s="148" t="s">
        <v>1808</v>
      </c>
      <c r="D625" s="148" t="s">
        <v>1025</v>
      </c>
      <c r="E625" s="148" t="s">
        <v>1201</v>
      </c>
      <c r="F625" s="149">
        <v>200</v>
      </c>
      <c r="G625" s="148" t="s">
        <v>591</v>
      </c>
      <c r="H625" s="150">
        <v>26217.25</v>
      </c>
      <c r="I625" s="151">
        <v>26217.25</v>
      </c>
    </row>
    <row r="626" spans="1:9" ht="15" customHeight="1" x14ac:dyDescent="0.25">
      <c r="A626" s="148">
        <v>10737</v>
      </c>
      <c r="B626" s="148" t="s">
        <v>1809</v>
      </c>
      <c r="C626" s="148" t="s">
        <v>1810</v>
      </c>
      <c r="D626" s="148" t="s">
        <v>1025</v>
      </c>
      <c r="E626" s="148" t="s">
        <v>1201</v>
      </c>
      <c r="F626" s="149">
        <v>200</v>
      </c>
      <c r="G626" s="148" t="s">
        <v>591</v>
      </c>
      <c r="H626" s="150">
        <v>26295.46</v>
      </c>
      <c r="I626" s="151">
        <v>26295.46</v>
      </c>
    </row>
    <row r="627" spans="1:9" ht="15" customHeight="1" x14ac:dyDescent="0.25">
      <c r="A627" s="148">
        <v>10738</v>
      </c>
      <c r="B627" s="148" t="s">
        <v>1811</v>
      </c>
      <c r="C627" s="148" t="s">
        <v>1812</v>
      </c>
      <c r="D627" s="148" t="s">
        <v>1025</v>
      </c>
      <c r="E627" s="148" t="s">
        <v>1527</v>
      </c>
      <c r="F627" s="149">
        <v>200</v>
      </c>
      <c r="G627" s="148" t="s">
        <v>935</v>
      </c>
      <c r="H627" s="150">
        <v>19069.61</v>
      </c>
      <c r="I627" s="151">
        <v>19069.61</v>
      </c>
    </row>
    <row r="628" spans="1:9" ht="15" customHeight="1" x14ac:dyDescent="0.25">
      <c r="A628" s="148">
        <v>10739</v>
      </c>
      <c r="B628" s="148" t="s">
        <v>1813</v>
      </c>
      <c r="C628" s="148" t="s">
        <v>1814</v>
      </c>
      <c r="D628" s="148" t="s">
        <v>1025</v>
      </c>
      <c r="E628" s="148" t="s">
        <v>1206</v>
      </c>
      <c r="F628" s="149">
        <v>200</v>
      </c>
      <c r="G628" s="148" t="s">
        <v>591</v>
      </c>
      <c r="H628" s="150">
        <v>24523.11</v>
      </c>
      <c r="I628" s="151">
        <v>24523.11</v>
      </c>
    </row>
    <row r="629" spans="1:9" ht="15" customHeight="1" x14ac:dyDescent="0.25">
      <c r="A629" s="148">
        <v>10740</v>
      </c>
      <c r="B629" s="148" t="s">
        <v>1815</v>
      </c>
      <c r="C629" s="148" t="s">
        <v>1816</v>
      </c>
      <c r="D629" s="148" t="s">
        <v>1025</v>
      </c>
      <c r="E629" s="148" t="s">
        <v>1817</v>
      </c>
      <c r="F629" s="149">
        <v>200</v>
      </c>
      <c r="G629" s="148" t="s">
        <v>591</v>
      </c>
      <c r="H629" s="150">
        <v>16894.82</v>
      </c>
      <c r="I629" s="151">
        <v>16894.82</v>
      </c>
    </row>
    <row r="630" spans="1:9" ht="15" customHeight="1" x14ac:dyDescent="0.25">
      <c r="A630" s="148">
        <v>10741</v>
      </c>
      <c r="B630" s="148" t="s">
        <v>1818</v>
      </c>
      <c r="C630" s="148" t="s">
        <v>1819</v>
      </c>
      <c r="D630" s="148" t="s">
        <v>1025</v>
      </c>
      <c r="E630" s="148" t="s">
        <v>1209</v>
      </c>
      <c r="F630" s="149">
        <v>200</v>
      </c>
      <c r="G630" s="148" t="s">
        <v>591</v>
      </c>
      <c r="H630" s="150">
        <v>18681.54</v>
      </c>
      <c r="I630" s="151">
        <v>18681.54</v>
      </c>
    </row>
    <row r="631" spans="1:9" ht="15" customHeight="1" x14ac:dyDescent="0.25">
      <c r="A631" s="148">
        <v>10744</v>
      </c>
      <c r="B631" s="148" t="s">
        <v>1820</v>
      </c>
      <c r="C631" s="148" t="s">
        <v>1821</v>
      </c>
      <c r="D631" s="148" t="s">
        <v>1025</v>
      </c>
      <c r="E631" s="148" t="s">
        <v>1212</v>
      </c>
      <c r="F631" s="149">
        <v>200</v>
      </c>
      <c r="G631" s="148" t="s">
        <v>591</v>
      </c>
      <c r="H631" s="150">
        <v>21387.17</v>
      </c>
      <c r="I631" s="151">
        <v>21387.17</v>
      </c>
    </row>
    <row r="632" spans="1:9" ht="15" customHeight="1" x14ac:dyDescent="0.25">
      <c r="A632" s="148">
        <v>10745</v>
      </c>
      <c r="B632" s="148" t="s">
        <v>1822</v>
      </c>
      <c r="C632" s="148" t="s">
        <v>1823</v>
      </c>
      <c r="D632" s="148" t="s">
        <v>1025</v>
      </c>
      <c r="E632" s="148" t="s">
        <v>1212</v>
      </c>
      <c r="F632" s="149">
        <v>200</v>
      </c>
      <c r="G632" s="148" t="s">
        <v>591</v>
      </c>
      <c r="H632" s="150">
        <v>22751.54</v>
      </c>
      <c r="I632" s="151">
        <v>22751.54</v>
      </c>
    </row>
    <row r="633" spans="1:9" ht="15" customHeight="1" x14ac:dyDescent="0.25">
      <c r="A633" s="148">
        <v>10749</v>
      </c>
      <c r="B633" s="148" t="s">
        <v>1824</v>
      </c>
      <c r="C633" s="148" t="s">
        <v>1825</v>
      </c>
      <c r="D633" s="148" t="s">
        <v>1025</v>
      </c>
      <c r="E633" s="148" t="s">
        <v>1212</v>
      </c>
      <c r="F633" s="149">
        <v>200</v>
      </c>
      <c r="G633" s="148" t="s">
        <v>591</v>
      </c>
      <c r="H633" s="150">
        <v>23546.38</v>
      </c>
      <c r="I633" s="151">
        <v>23546.38</v>
      </c>
    </row>
    <row r="634" spans="1:9" ht="15" customHeight="1" x14ac:dyDescent="0.25">
      <c r="A634" s="148">
        <v>10751</v>
      </c>
      <c r="B634" s="148" t="s">
        <v>1826</v>
      </c>
      <c r="C634" s="148" t="s">
        <v>1827</v>
      </c>
      <c r="D634" s="148" t="s">
        <v>1025</v>
      </c>
      <c r="E634" s="148" t="s">
        <v>1212</v>
      </c>
      <c r="F634" s="149">
        <v>200</v>
      </c>
      <c r="G634" s="148" t="s">
        <v>591</v>
      </c>
      <c r="H634" s="150">
        <v>19367.46</v>
      </c>
      <c r="I634" s="151">
        <v>19367.46</v>
      </c>
    </row>
    <row r="635" spans="1:9" ht="15" customHeight="1" x14ac:dyDescent="0.25">
      <c r="A635" s="148">
        <v>10752</v>
      </c>
      <c r="B635" s="148" t="s">
        <v>1828</v>
      </c>
      <c r="C635" s="148" t="s">
        <v>1829</v>
      </c>
      <c r="D635" s="148" t="s">
        <v>1025</v>
      </c>
      <c r="E635" s="148" t="s">
        <v>1212</v>
      </c>
      <c r="F635" s="149">
        <v>200</v>
      </c>
      <c r="G635" s="148" t="s">
        <v>591</v>
      </c>
      <c r="H635" s="150">
        <v>25071.37</v>
      </c>
      <c r="I635" s="151">
        <v>25071.37</v>
      </c>
    </row>
    <row r="636" spans="1:9" ht="15" customHeight="1" x14ac:dyDescent="0.25">
      <c r="A636" s="148">
        <v>10753</v>
      </c>
      <c r="B636" s="148" t="s">
        <v>1830</v>
      </c>
      <c r="C636" s="148" t="s">
        <v>1831</v>
      </c>
      <c r="D636" s="148" t="s">
        <v>1025</v>
      </c>
      <c r="E636" s="148" t="s">
        <v>1212</v>
      </c>
      <c r="F636" s="149">
        <v>200</v>
      </c>
      <c r="G636" s="148" t="s">
        <v>591</v>
      </c>
      <c r="H636" s="150">
        <v>21696.82</v>
      </c>
      <c r="I636" s="151">
        <v>21696.82</v>
      </c>
    </row>
    <row r="637" spans="1:9" ht="15" customHeight="1" x14ac:dyDescent="0.25">
      <c r="A637" s="148">
        <v>10754</v>
      </c>
      <c r="B637" s="148" t="s">
        <v>1832</v>
      </c>
      <c r="C637" s="148" t="s">
        <v>1833</v>
      </c>
      <c r="D637" s="148" t="s">
        <v>1025</v>
      </c>
      <c r="E637" s="148" t="s">
        <v>1212</v>
      </c>
      <c r="F637" s="149">
        <v>200</v>
      </c>
      <c r="G637" s="148" t="s">
        <v>591</v>
      </c>
      <c r="H637" s="150">
        <v>22028.84</v>
      </c>
      <c r="I637" s="151">
        <v>22028.84</v>
      </c>
    </row>
    <row r="638" spans="1:9" ht="15" customHeight="1" x14ac:dyDescent="0.25">
      <c r="A638" s="148">
        <v>10755</v>
      </c>
      <c r="B638" s="148" t="s">
        <v>1834</v>
      </c>
      <c r="C638" s="148" t="s">
        <v>1835</v>
      </c>
      <c r="D638" s="148" t="s">
        <v>1025</v>
      </c>
      <c r="E638" s="148" t="s">
        <v>1212</v>
      </c>
      <c r="F638" s="149">
        <v>200</v>
      </c>
      <c r="G638" s="148" t="s">
        <v>591</v>
      </c>
      <c r="H638" s="150">
        <v>21873.54</v>
      </c>
      <c r="I638" s="151">
        <v>21873.54</v>
      </c>
    </row>
    <row r="639" spans="1:9" ht="15" customHeight="1" x14ac:dyDescent="0.25">
      <c r="A639" s="148">
        <v>10757</v>
      </c>
      <c r="B639" s="148" t="s">
        <v>1836</v>
      </c>
      <c r="C639" s="148" t="s">
        <v>1837</v>
      </c>
      <c r="D639" s="148" t="s">
        <v>1025</v>
      </c>
      <c r="E639" s="148" t="s">
        <v>1212</v>
      </c>
      <c r="F639" s="149">
        <v>200</v>
      </c>
      <c r="G639" s="148" t="s">
        <v>591</v>
      </c>
      <c r="H639" s="150">
        <v>22211.74</v>
      </c>
      <c r="I639" s="151">
        <v>22211.74</v>
      </c>
    </row>
    <row r="640" spans="1:9" ht="15" customHeight="1" x14ac:dyDescent="0.25">
      <c r="A640" s="148">
        <v>10758</v>
      </c>
      <c r="B640" s="148" t="s">
        <v>1838</v>
      </c>
      <c r="C640" s="148" t="s">
        <v>1839</v>
      </c>
      <c r="D640" s="148" t="s">
        <v>1025</v>
      </c>
      <c r="E640" s="148" t="s">
        <v>1212</v>
      </c>
      <c r="F640" s="149">
        <v>200</v>
      </c>
      <c r="G640" s="148" t="s">
        <v>591</v>
      </c>
      <c r="H640" s="150">
        <v>22476.49</v>
      </c>
      <c r="I640" s="151">
        <v>22476.49</v>
      </c>
    </row>
    <row r="641" spans="1:9" ht="15" customHeight="1" x14ac:dyDescent="0.25">
      <c r="A641" s="148">
        <v>10762</v>
      </c>
      <c r="B641" s="148" t="s">
        <v>1840</v>
      </c>
      <c r="C641" s="148" t="s">
        <v>1841</v>
      </c>
      <c r="D641" s="148" t="s">
        <v>1025</v>
      </c>
      <c r="E641" s="148" t="s">
        <v>1548</v>
      </c>
      <c r="F641" s="149">
        <v>200</v>
      </c>
      <c r="G641" s="148" t="s">
        <v>591</v>
      </c>
      <c r="H641" s="150">
        <v>30279.919999999998</v>
      </c>
      <c r="I641" s="151">
        <v>30279.919999999998</v>
      </c>
    </row>
    <row r="642" spans="1:9" ht="15" customHeight="1" x14ac:dyDescent="0.25">
      <c r="A642" s="148">
        <v>10763</v>
      </c>
      <c r="B642" s="148" t="s">
        <v>1842</v>
      </c>
      <c r="C642" s="148" t="s">
        <v>1843</v>
      </c>
      <c r="D642" s="148" t="s">
        <v>1025</v>
      </c>
      <c r="E642" s="148" t="s">
        <v>1548</v>
      </c>
      <c r="F642" s="149">
        <v>200</v>
      </c>
      <c r="G642" s="148" t="s">
        <v>591</v>
      </c>
      <c r="H642" s="150">
        <v>31665.59</v>
      </c>
      <c r="I642" s="151">
        <v>31665.59</v>
      </c>
    </row>
    <row r="643" spans="1:9" ht="15" customHeight="1" x14ac:dyDescent="0.25">
      <c r="A643" s="148">
        <v>10764</v>
      </c>
      <c r="B643" s="148" t="s">
        <v>1844</v>
      </c>
      <c r="C643" s="148" t="s">
        <v>1845</v>
      </c>
      <c r="D643" s="148" t="s">
        <v>1025</v>
      </c>
      <c r="E643" s="148" t="s">
        <v>1548</v>
      </c>
      <c r="F643" s="149">
        <v>200</v>
      </c>
      <c r="G643" s="148" t="s">
        <v>591</v>
      </c>
      <c r="H643" s="150">
        <v>34781.9</v>
      </c>
      <c r="I643" s="151">
        <v>34781.9</v>
      </c>
    </row>
    <row r="644" spans="1:9" ht="15" customHeight="1" x14ac:dyDescent="0.25">
      <c r="A644" s="148">
        <v>10766</v>
      </c>
      <c r="B644" s="148" t="s">
        <v>1846</v>
      </c>
      <c r="C644" s="148" t="s">
        <v>1847</v>
      </c>
      <c r="D644" s="148" t="s">
        <v>1025</v>
      </c>
      <c r="E644" s="148" t="s">
        <v>1548</v>
      </c>
      <c r="F644" s="149">
        <v>200</v>
      </c>
      <c r="G644" s="148" t="s">
        <v>591</v>
      </c>
      <c r="H644" s="150">
        <v>39581.279999999999</v>
      </c>
      <c r="I644" s="151">
        <v>39581.279999999999</v>
      </c>
    </row>
    <row r="645" spans="1:9" ht="15" customHeight="1" x14ac:dyDescent="0.25">
      <c r="A645" s="148">
        <v>10768</v>
      </c>
      <c r="B645" s="148" t="s">
        <v>1848</v>
      </c>
      <c r="C645" s="148" t="s">
        <v>1849</v>
      </c>
      <c r="D645" s="148" t="s">
        <v>1025</v>
      </c>
      <c r="E645" s="148" t="s">
        <v>1227</v>
      </c>
      <c r="F645" s="149">
        <v>200</v>
      </c>
      <c r="G645" s="148" t="s">
        <v>591</v>
      </c>
      <c r="H645" s="150">
        <v>22696.720000000001</v>
      </c>
      <c r="I645" s="151">
        <v>22696.720000000001</v>
      </c>
    </row>
    <row r="646" spans="1:9" ht="15" customHeight="1" x14ac:dyDescent="0.25">
      <c r="A646" s="148">
        <v>10772</v>
      </c>
      <c r="B646" s="148" t="s">
        <v>1850</v>
      </c>
      <c r="C646" s="148" t="s">
        <v>1851</v>
      </c>
      <c r="D646" s="148" t="s">
        <v>1025</v>
      </c>
      <c r="E646" s="148" t="s">
        <v>1817</v>
      </c>
      <c r="F646" s="149">
        <v>200</v>
      </c>
      <c r="G646" s="148" t="s">
        <v>935</v>
      </c>
      <c r="H646" s="150">
        <v>17776.18</v>
      </c>
      <c r="I646" s="151">
        <v>17776.18</v>
      </c>
    </row>
    <row r="647" spans="1:9" ht="15" customHeight="1" x14ac:dyDescent="0.25">
      <c r="A647" s="148">
        <v>10900</v>
      </c>
      <c r="B647" s="148" t="s">
        <v>1852</v>
      </c>
      <c r="C647" s="148" t="s">
        <v>1853</v>
      </c>
      <c r="D647" s="148" t="s">
        <v>705</v>
      </c>
      <c r="E647" s="148" t="s">
        <v>1854</v>
      </c>
      <c r="F647" s="149">
        <v>16</v>
      </c>
      <c r="G647" s="148" t="s">
        <v>591</v>
      </c>
      <c r="H647" s="150">
        <v>2081.69</v>
      </c>
      <c r="I647" s="151">
        <v>2081.69</v>
      </c>
    </row>
    <row r="648" spans="1:9" ht="15" customHeight="1" x14ac:dyDescent="0.25">
      <c r="A648" s="148">
        <v>10901</v>
      </c>
      <c r="B648" s="148" t="s">
        <v>1855</v>
      </c>
      <c r="C648" s="148" t="s">
        <v>1856</v>
      </c>
      <c r="D648" s="148" t="s">
        <v>705</v>
      </c>
      <c r="E648" s="148" t="s">
        <v>1854</v>
      </c>
      <c r="F648" s="149">
        <v>16</v>
      </c>
      <c r="G648" s="148" t="s">
        <v>591</v>
      </c>
      <c r="H648" s="150">
        <v>2149.4499999999998</v>
      </c>
      <c r="I648" s="151">
        <v>2149.4499999999998</v>
      </c>
    </row>
    <row r="649" spans="1:9" ht="15" customHeight="1" x14ac:dyDescent="0.25">
      <c r="A649" s="148">
        <v>10902</v>
      </c>
      <c r="B649" s="148" t="s">
        <v>1857</v>
      </c>
      <c r="C649" s="148" t="s">
        <v>1858</v>
      </c>
      <c r="D649" s="148" t="s">
        <v>705</v>
      </c>
      <c r="E649" s="148" t="s">
        <v>1854</v>
      </c>
      <c r="F649" s="149">
        <v>16</v>
      </c>
      <c r="G649" s="148" t="s">
        <v>591</v>
      </c>
      <c r="H649" s="150">
        <v>1974.23</v>
      </c>
      <c r="I649" s="151">
        <v>1974.23</v>
      </c>
    </row>
    <row r="650" spans="1:9" ht="15" customHeight="1" x14ac:dyDescent="0.25">
      <c r="A650" s="148">
        <v>10903</v>
      </c>
      <c r="B650" s="148" t="s">
        <v>1859</v>
      </c>
      <c r="C650" s="148" t="s">
        <v>1860</v>
      </c>
      <c r="D650" s="148" t="s">
        <v>705</v>
      </c>
      <c r="E650" s="148" t="s">
        <v>1861</v>
      </c>
      <c r="F650" s="149">
        <v>16</v>
      </c>
      <c r="G650" s="148" t="s">
        <v>591</v>
      </c>
      <c r="H650" s="150">
        <v>2221.8200000000002</v>
      </c>
      <c r="I650" s="151">
        <v>2221.8200000000002</v>
      </c>
    </row>
    <row r="651" spans="1:9" ht="15" customHeight="1" x14ac:dyDescent="0.25">
      <c r="A651" s="148">
        <v>10904</v>
      </c>
      <c r="B651" s="148" t="s">
        <v>1862</v>
      </c>
      <c r="C651" s="148" t="s">
        <v>1863</v>
      </c>
      <c r="D651" s="148" t="s">
        <v>705</v>
      </c>
      <c r="E651" s="148" t="s">
        <v>1861</v>
      </c>
      <c r="F651" s="149">
        <v>16</v>
      </c>
      <c r="G651" s="148" t="s">
        <v>591</v>
      </c>
      <c r="H651" s="150">
        <v>2281.31</v>
      </c>
      <c r="I651" s="151">
        <v>2281.31</v>
      </c>
    </row>
    <row r="652" spans="1:9" ht="15" customHeight="1" x14ac:dyDescent="0.25">
      <c r="A652" s="148">
        <v>10905</v>
      </c>
      <c r="B652" s="148" t="s">
        <v>1864</v>
      </c>
      <c r="C652" s="148" t="s">
        <v>1865</v>
      </c>
      <c r="D652" s="148" t="s">
        <v>705</v>
      </c>
      <c r="E652" s="148" t="s">
        <v>1866</v>
      </c>
      <c r="F652" s="149">
        <v>16</v>
      </c>
      <c r="G652" s="148" t="s">
        <v>591</v>
      </c>
      <c r="H652" s="150">
        <v>2333.29</v>
      </c>
      <c r="I652" s="151">
        <v>2333.29</v>
      </c>
    </row>
    <row r="653" spans="1:9" ht="15" customHeight="1" x14ac:dyDescent="0.25">
      <c r="A653" s="148">
        <v>10906</v>
      </c>
      <c r="B653" s="148" t="s">
        <v>1867</v>
      </c>
      <c r="C653" s="148" t="s">
        <v>1868</v>
      </c>
      <c r="D653" s="148" t="s">
        <v>705</v>
      </c>
      <c r="E653" s="148" t="s">
        <v>1866</v>
      </c>
      <c r="F653" s="149">
        <v>16</v>
      </c>
      <c r="G653" s="148" t="s">
        <v>591</v>
      </c>
      <c r="H653" s="150">
        <v>2328.6799999999998</v>
      </c>
      <c r="I653" s="151">
        <v>2328.6799999999998</v>
      </c>
    </row>
    <row r="654" spans="1:9" ht="15" customHeight="1" x14ac:dyDescent="0.25">
      <c r="A654" s="148">
        <v>10907</v>
      </c>
      <c r="B654" s="148" t="s">
        <v>1869</v>
      </c>
      <c r="C654" s="148" t="s">
        <v>1870</v>
      </c>
      <c r="D654" s="148" t="s">
        <v>705</v>
      </c>
      <c r="E654" s="148" t="s">
        <v>1871</v>
      </c>
      <c r="F654" s="149">
        <v>16</v>
      </c>
      <c r="G654" s="148" t="s">
        <v>591</v>
      </c>
      <c r="H654" s="150">
        <v>1760.66</v>
      </c>
      <c r="I654" s="151">
        <v>1760.66</v>
      </c>
    </row>
    <row r="655" spans="1:9" ht="15" customHeight="1" x14ac:dyDescent="0.25">
      <c r="A655" s="148">
        <v>10908</v>
      </c>
      <c r="B655" s="148" t="s">
        <v>1872</v>
      </c>
      <c r="C655" s="148" t="s">
        <v>1873</v>
      </c>
      <c r="D655" s="148" t="s">
        <v>705</v>
      </c>
      <c r="E655" s="148" t="s">
        <v>1871</v>
      </c>
      <c r="F655" s="149">
        <v>16</v>
      </c>
      <c r="G655" s="148" t="s">
        <v>591</v>
      </c>
      <c r="H655" s="150">
        <v>1765.65</v>
      </c>
      <c r="I655" s="151">
        <v>1765.65</v>
      </c>
    </row>
    <row r="656" spans="1:9" ht="15" customHeight="1" x14ac:dyDescent="0.25">
      <c r="A656" s="148">
        <v>10909</v>
      </c>
      <c r="B656" s="148" t="s">
        <v>1874</v>
      </c>
      <c r="C656" s="148" t="s">
        <v>1875</v>
      </c>
      <c r="D656" s="148" t="s">
        <v>705</v>
      </c>
      <c r="E656" s="148" t="s">
        <v>1871</v>
      </c>
      <c r="F656" s="149">
        <v>16</v>
      </c>
      <c r="G656" s="148" t="s">
        <v>591</v>
      </c>
      <c r="H656" s="150">
        <v>1776.31</v>
      </c>
      <c r="I656" s="151">
        <v>1776.31</v>
      </c>
    </row>
    <row r="657" spans="1:9" ht="15" customHeight="1" x14ac:dyDescent="0.25">
      <c r="A657" s="148">
        <v>10910</v>
      </c>
      <c r="B657" s="148" t="s">
        <v>1876</v>
      </c>
      <c r="C657" s="148" t="s">
        <v>1877</v>
      </c>
      <c r="D657" s="148" t="s">
        <v>705</v>
      </c>
      <c r="E657" s="148" t="s">
        <v>1871</v>
      </c>
      <c r="F657" s="149">
        <v>16</v>
      </c>
      <c r="G657" s="148" t="s">
        <v>591</v>
      </c>
      <c r="H657" s="150">
        <v>1817.68</v>
      </c>
      <c r="I657" s="151">
        <v>1817.68</v>
      </c>
    </row>
    <row r="658" spans="1:9" ht="15" customHeight="1" x14ac:dyDescent="0.25">
      <c r="A658" s="148">
        <v>10911</v>
      </c>
      <c r="B658" s="148" t="s">
        <v>1878</v>
      </c>
      <c r="C658" s="148" t="s">
        <v>1879</v>
      </c>
      <c r="D658" s="148" t="s">
        <v>705</v>
      </c>
      <c r="E658" s="148" t="s">
        <v>1871</v>
      </c>
      <c r="F658" s="149">
        <v>16</v>
      </c>
      <c r="G658" s="148" t="s">
        <v>591</v>
      </c>
      <c r="H658" s="150">
        <v>1823.49</v>
      </c>
      <c r="I658" s="151">
        <v>1823.49</v>
      </c>
    </row>
    <row r="659" spans="1:9" ht="15" customHeight="1" x14ac:dyDescent="0.25">
      <c r="A659" s="148">
        <v>10912</v>
      </c>
      <c r="B659" s="148" t="s">
        <v>1880</v>
      </c>
      <c r="C659" s="148" t="s">
        <v>1881</v>
      </c>
      <c r="D659" s="148" t="s">
        <v>705</v>
      </c>
      <c r="E659" s="148" t="s">
        <v>1871</v>
      </c>
      <c r="F659" s="149">
        <v>16</v>
      </c>
      <c r="G659" s="148" t="s">
        <v>591</v>
      </c>
      <c r="H659" s="150">
        <v>1863.56</v>
      </c>
      <c r="I659" s="151">
        <v>1863.56</v>
      </c>
    </row>
    <row r="660" spans="1:9" ht="15" customHeight="1" x14ac:dyDescent="0.25">
      <c r="A660" s="148">
        <v>10913</v>
      </c>
      <c r="B660" s="148" t="s">
        <v>1882</v>
      </c>
      <c r="C660" s="148" t="s">
        <v>1883</v>
      </c>
      <c r="D660" s="148" t="s">
        <v>705</v>
      </c>
      <c r="E660" s="148" t="s">
        <v>1884</v>
      </c>
      <c r="F660" s="149">
        <v>16</v>
      </c>
      <c r="G660" s="148" t="s">
        <v>591</v>
      </c>
      <c r="H660" s="150">
        <v>1926.05</v>
      </c>
      <c r="I660" s="151">
        <v>1926.05</v>
      </c>
    </row>
    <row r="661" spans="1:9" ht="15" customHeight="1" x14ac:dyDescent="0.25">
      <c r="A661" s="148">
        <v>10914</v>
      </c>
      <c r="B661" s="148" t="s">
        <v>1885</v>
      </c>
      <c r="C661" s="148" t="s">
        <v>1886</v>
      </c>
      <c r="D661" s="148" t="s">
        <v>705</v>
      </c>
      <c r="E661" s="148" t="s">
        <v>1884</v>
      </c>
      <c r="F661" s="149">
        <v>16</v>
      </c>
      <c r="G661" s="148" t="s">
        <v>591</v>
      </c>
      <c r="H661" s="150">
        <v>1925.33</v>
      </c>
      <c r="I661" s="151">
        <v>1925.33</v>
      </c>
    </row>
    <row r="662" spans="1:9" ht="15" customHeight="1" x14ac:dyDescent="0.25">
      <c r="A662" s="148">
        <v>10915</v>
      </c>
      <c r="B662" s="148" t="s">
        <v>1887</v>
      </c>
      <c r="C662" s="148" t="s">
        <v>1888</v>
      </c>
      <c r="D662" s="148" t="s">
        <v>705</v>
      </c>
      <c r="E662" s="148" t="s">
        <v>1884</v>
      </c>
      <c r="F662" s="149">
        <v>16</v>
      </c>
      <c r="G662" s="148" t="s">
        <v>591</v>
      </c>
      <c r="H662" s="150">
        <v>1933.15</v>
      </c>
      <c r="I662" s="151">
        <v>1933.15</v>
      </c>
    </row>
    <row r="663" spans="1:9" ht="15" customHeight="1" x14ac:dyDescent="0.25">
      <c r="A663" s="148">
        <v>10916</v>
      </c>
      <c r="B663" s="148" t="s">
        <v>1889</v>
      </c>
      <c r="C663" s="148" t="s">
        <v>1890</v>
      </c>
      <c r="D663" s="148" t="s">
        <v>705</v>
      </c>
      <c r="E663" s="148" t="s">
        <v>1884</v>
      </c>
      <c r="F663" s="149">
        <v>16</v>
      </c>
      <c r="G663" s="148" t="s">
        <v>591</v>
      </c>
      <c r="H663" s="150">
        <v>1977</v>
      </c>
      <c r="I663" s="151">
        <v>1977</v>
      </c>
    </row>
    <row r="664" spans="1:9" ht="15" customHeight="1" x14ac:dyDescent="0.25">
      <c r="A664" s="148">
        <v>10917</v>
      </c>
      <c r="B664" s="148" t="s">
        <v>1891</v>
      </c>
      <c r="C664" s="148" t="s">
        <v>1892</v>
      </c>
      <c r="D664" s="148" t="s">
        <v>705</v>
      </c>
      <c r="E664" s="148" t="s">
        <v>1884</v>
      </c>
      <c r="F664" s="149">
        <v>16</v>
      </c>
      <c r="G664" s="148" t="s">
        <v>591</v>
      </c>
      <c r="H664" s="150">
        <v>1982.61</v>
      </c>
      <c r="I664" s="151">
        <v>1982.61</v>
      </c>
    </row>
    <row r="665" spans="1:9" ht="15" customHeight="1" x14ac:dyDescent="0.25">
      <c r="A665" s="148">
        <v>10918</v>
      </c>
      <c r="B665" s="148" t="s">
        <v>1893</v>
      </c>
      <c r="C665" s="148" t="s">
        <v>1894</v>
      </c>
      <c r="D665" s="148" t="s">
        <v>705</v>
      </c>
      <c r="E665" s="148" t="s">
        <v>1884</v>
      </c>
      <c r="F665" s="149">
        <v>16</v>
      </c>
      <c r="G665" s="148" t="s">
        <v>591</v>
      </c>
      <c r="H665" s="150">
        <v>2021.46</v>
      </c>
      <c r="I665" s="151">
        <v>2021.46</v>
      </c>
    </row>
    <row r="666" spans="1:9" ht="15" customHeight="1" x14ac:dyDescent="0.25">
      <c r="A666" s="148">
        <v>10919</v>
      </c>
      <c r="B666" s="148" t="s">
        <v>1895</v>
      </c>
      <c r="C666" s="148" t="s">
        <v>1896</v>
      </c>
      <c r="D666" s="148" t="s">
        <v>705</v>
      </c>
      <c r="E666" s="148" t="s">
        <v>1897</v>
      </c>
      <c r="F666" s="149">
        <v>16</v>
      </c>
      <c r="G666" s="148" t="s">
        <v>591</v>
      </c>
      <c r="H666" s="150">
        <v>2046.96</v>
      </c>
      <c r="I666" s="151">
        <v>2046.96</v>
      </c>
    </row>
    <row r="667" spans="1:9" ht="15" customHeight="1" x14ac:dyDescent="0.25">
      <c r="A667" s="148">
        <v>10920</v>
      </c>
      <c r="B667" s="148" t="s">
        <v>1898</v>
      </c>
      <c r="C667" s="148" t="s">
        <v>1899</v>
      </c>
      <c r="D667" s="148" t="s">
        <v>705</v>
      </c>
      <c r="E667" s="148" t="s">
        <v>1897</v>
      </c>
      <c r="F667" s="149">
        <v>16</v>
      </c>
      <c r="G667" s="148" t="s">
        <v>591</v>
      </c>
      <c r="H667" s="150">
        <v>2049.44</v>
      </c>
      <c r="I667" s="151">
        <v>2049.44</v>
      </c>
    </row>
    <row r="668" spans="1:9" ht="15" customHeight="1" x14ac:dyDescent="0.25">
      <c r="A668" s="148">
        <v>10921</v>
      </c>
      <c r="B668" s="148" t="s">
        <v>1900</v>
      </c>
      <c r="C668" s="148" t="s">
        <v>1901</v>
      </c>
      <c r="D668" s="148" t="s">
        <v>705</v>
      </c>
      <c r="E668" s="148" t="s">
        <v>1897</v>
      </c>
      <c r="F668" s="149">
        <v>16</v>
      </c>
      <c r="G668" s="148" t="s">
        <v>591</v>
      </c>
      <c r="H668" s="150">
        <v>2090.09</v>
      </c>
      <c r="I668" s="151">
        <v>2090.09</v>
      </c>
    </row>
    <row r="669" spans="1:9" ht="15" customHeight="1" x14ac:dyDescent="0.25">
      <c r="A669" s="148">
        <v>10922</v>
      </c>
      <c r="B669" s="148" t="s">
        <v>1902</v>
      </c>
      <c r="C669" s="148" t="s">
        <v>1903</v>
      </c>
      <c r="D669" s="148" t="s">
        <v>705</v>
      </c>
      <c r="E669" s="148" t="s">
        <v>1904</v>
      </c>
      <c r="F669" s="149">
        <v>16</v>
      </c>
      <c r="G669" s="148" t="s">
        <v>591</v>
      </c>
      <c r="H669" s="150">
        <v>3140.45</v>
      </c>
      <c r="I669" s="151">
        <v>3140.45</v>
      </c>
    </row>
    <row r="670" spans="1:9" ht="15" customHeight="1" x14ac:dyDescent="0.25">
      <c r="A670" s="148">
        <v>10923</v>
      </c>
      <c r="B670" s="148" t="s">
        <v>1905</v>
      </c>
      <c r="C670" s="148" t="s">
        <v>1906</v>
      </c>
      <c r="D670" s="148" t="s">
        <v>705</v>
      </c>
      <c r="E670" s="148" t="s">
        <v>1904</v>
      </c>
      <c r="F670" s="149">
        <v>16</v>
      </c>
      <c r="G670" s="148" t="s">
        <v>591</v>
      </c>
      <c r="H670" s="150">
        <v>3145.87</v>
      </c>
      <c r="I670" s="151">
        <v>3145.87</v>
      </c>
    </row>
    <row r="671" spans="1:9" ht="15" customHeight="1" x14ac:dyDescent="0.25">
      <c r="A671" s="148">
        <v>10924</v>
      </c>
      <c r="B671" s="148" t="s">
        <v>1907</v>
      </c>
      <c r="C671" s="148" t="s">
        <v>1908</v>
      </c>
      <c r="D671" s="148" t="s">
        <v>705</v>
      </c>
      <c r="E671" s="148" t="s">
        <v>1904</v>
      </c>
      <c r="F671" s="149">
        <v>16</v>
      </c>
      <c r="G671" s="148" t="s">
        <v>591</v>
      </c>
      <c r="H671" s="150">
        <v>3183.43</v>
      </c>
      <c r="I671" s="151">
        <v>3183.43</v>
      </c>
    </row>
    <row r="672" spans="1:9" ht="15" customHeight="1" x14ac:dyDescent="0.25">
      <c r="A672" s="148">
        <v>10925</v>
      </c>
      <c r="B672" s="148" t="s">
        <v>1909</v>
      </c>
      <c r="C672" s="148" t="s">
        <v>1910</v>
      </c>
      <c r="D672" s="148" t="s">
        <v>705</v>
      </c>
      <c r="E672" s="148" t="s">
        <v>1911</v>
      </c>
      <c r="F672" s="149">
        <v>16</v>
      </c>
      <c r="G672" s="148" t="s">
        <v>591</v>
      </c>
      <c r="H672" s="150">
        <v>2090.1799999999998</v>
      </c>
      <c r="I672" s="151">
        <v>2090.1799999999998</v>
      </c>
    </row>
    <row r="673" spans="1:9" ht="15" customHeight="1" x14ac:dyDescent="0.25">
      <c r="A673" s="148">
        <v>10926</v>
      </c>
      <c r="B673" s="148" t="s">
        <v>1912</v>
      </c>
      <c r="C673" s="148" t="s">
        <v>1913</v>
      </c>
      <c r="D673" s="148" t="s">
        <v>705</v>
      </c>
      <c r="E673" s="148" t="s">
        <v>1911</v>
      </c>
      <c r="F673" s="149">
        <v>16</v>
      </c>
      <c r="G673" s="148" t="s">
        <v>591</v>
      </c>
      <c r="H673" s="150">
        <v>2092.66</v>
      </c>
      <c r="I673" s="151">
        <v>2092.66</v>
      </c>
    </row>
    <row r="674" spans="1:9" ht="15" customHeight="1" x14ac:dyDescent="0.25">
      <c r="A674" s="148">
        <v>10927</v>
      </c>
      <c r="B674" s="148" t="s">
        <v>1914</v>
      </c>
      <c r="C674" s="148" t="s">
        <v>1915</v>
      </c>
      <c r="D674" s="148" t="s">
        <v>705</v>
      </c>
      <c r="E674" s="148" t="s">
        <v>1911</v>
      </c>
      <c r="F674" s="149">
        <v>16</v>
      </c>
      <c r="G674" s="148" t="s">
        <v>591</v>
      </c>
      <c r="H674" s="150">
        <v>2292.23</v>
      </c>
      <c r="I674" s="151">
        <v>2292.23</v>
      </c>
    </row>
    <row r="675" spans="1:9" ht="15" customHeight="1" x14ac:dyDescent="0.25">
      <c r="A675" s="148">
        <v>10928</v>
      </c>
      <c r="B675" s="148" t="s">
        <v>1916</v>
      </c>
      <c r="C675" s="148" t="s">
        <v>1917</v>
      </c>
      <c r="D675" s="148" t="s">
        <v>705</v>
      </c>
      <c r="E675" s="148" t="s">
        <v>1918</v>
      </c>
      <c r="F675" s="149">
        <v>16</v>
      </c>
      <c r="G675" s="148" t="s">
        <v>591</v>
      </c>
      <c r="H675" s="150">
        <v>2263.79</v>
      </c>
      <c r="I675" s="151">
        <v>2263.79</v>
      </c>
    </row>
    <row r="676" spans="1:9" ht="15" customHeight="1" x14ac:dyDescent="0.25">
      <c r="A676" s="148">
        <v>10929</v>
      </c>
      <c r="B676" s="148" t="s">
        <v>1919</v>
      </c>
      <c r="C676" s="148" t="s">
        <v>1920</v>
      </c>
      <c r="D676" s="148" t="s">
        <v>705</v>
      </c>
      <c r="E676" s="148" t="s">
        <v>1918</v>
      </c>
      <c r="F676" s="149">
        <v>16</v>
      </c>
      <c r="G676" s="148" t="s">
        <v>591</v>
      </c>
      <c r="H676" s="150">
        <v>2413.6</v>
      </c>
      <c r="I676" s="151">
        <v>2413.6</v>
      </c>
    </row>
    <row r="677" spans="1:9" ht="15" customHeight="1" x14ac:dyDescent="0.25">
      <c r="A677" s="148">
        <v>10930</v>
      </c>
      <c r="B677" s="148" t="s">
        <v>1921</v>
      </c>
      <c r="C677" s="148" t="s">
        <v>1922</v>
      </c>
      <c r="D677" s="148" t="s">
        <v>705</v>
      </c>
      <c r="E677" s="148" t="s">
        <v>1918</v>
      </c>
      <c r="F677" s="149">
        <v>16</v>
      </c>
      <c r="G677" s="148" t="s">
        <v>591</v>
      </c>
      <c r="H677" s="150">
        <v>2543.83</v>
      </c>
      <c r="I677" s="151">
        <v>2543.83</v>
      </c>
    </row>
    <row r="678" spans="1:9" ht="15" customHeight="1" x14ac:dyDescent="0.25">
      <c r="A678" s="148">
        <v>10931</v>
      </c>
      <c r="B678" s="148" t="s">
        <v>1923</v>
      </c>
      <c r="C678" s="148" t="s">
        <v>1924</v>
      </c>
      <c r="D678" s="148" t="s">
        <v>705</v>
      </c>
      <c r="E678" s="148" t="s">
        <v>1925</v>
      </c>
      <c r="F678" s="149">
        <v>16</v>
      </c>
      <c r="G678" s="148" t="s">
        <v>591</v>
      </c>
      <c r="H678" s="150">
        <v>2470.65</v>
      </c>
      <c r="I678" s="151">
        <v>2470.65</v>
      </c>
    </row>
    <row r="679" spans="1:9" ht="15" customHeight="1" x14ac:dyDescent="0.25">
      <c r="A679" s="148">
        <v>10932</v>
      </c>
      <c r="B679" s="148" t="s">
        <v>1926</v>
      </c>
      <c r="C679" s="148" t="s">
        <v>1927</v>
      </c>
      <c r="D679" s="148" t="s">
        <v>705</v>
      </c>
      <c r="E679" s="148" t="s">
        <v>1928</v>
      </c>
      <c r="F679" s="149">
        <v>16</v>
      </c>
      <c r="G679" s="148" t="s">
        <v>591</v>
      </c>
      <c r="H679" s="150">
        <v>3543.09</v>
      </c>
      <c r="I679" s="151">
        <v>3543.09</v>
      </c>
    </row>
    <row r="680" spans="1:9" ht="15" customHeight="1" x14ac:dyDescent="0.25">
      <c r="A680" s="148">
        <v>10933</v>
      </c>
      <c r="B680" s="148" t="s">
        <v>1929</v>
      </c>
      <c r="C680" s="148" t="s">
        <v>1930</v>
      </c>
      <c r="D680" s="148" t="s">
        <v>705</v>
      </c>
      <c r="E680" s="148" t="s">
        <v>1931</v>
      </c>
      <c r="F680" s="149">
        <v>16</v>
      </c>
      <c r="G680" s="148" t="s">
        <v>591</v>
      </c>
      <c r="H680" s="150">
        <v>3952.11</v>
      </c>
      <c r="I680" s="151">
        <v>3952.11</v>
      </c>
    </row>
    <row r="681" spans="1:9" ht="15" customHeight="1" x14ac:dyDescent="0.25">
      <c r="A681" s="148">
        <v>10934</v>
      </c>
      <c r="B681" s="148" t="s">
        <v>1932</v>
      </c>
      <c r="C681" s="148" t="s">
        <v>1933</v>
      </c>
      <c r="D681" s="148" t="s">
        <v>705</v>
      </c>
      <c r="E681" s="148" t="s">
        <v>1934</v>
      </c>
      <c r="F681" s="149">
        <v>16</v>
      </c>
      <c r="G681" s="148" t="s">
        <v>591</v>
      </c>
      <c r="H681" s="150">
        <v>5307.92</v>
      </c>
      <c r="I681" s="151">
        <v>5307.92</v>
      </c>
    </row>
    <row r="682" spans="1:9" ht="15" customHeight="1" x14ac:dyDescent="0.25">
      <c r="A682" s="148">
        <v>10935</v>
      </c>
      <c r="B682" s="148" t="s">
        <v>1935</v>
      </c>
      <c r="C682" s="148" t="s">
        <v>1936</v>
      </c>
      <c r="D682" s="148" t="s">
        <v>705</v>
      </c>
      <c r="E682" s="148" t="s">
        <v>1937</v>
      </c>
      <c r="F682" s="149">
        <v>16</v>
      </c>
      <c r="G682" s="148" t="s">
        <v>591</v>
      </c>
      <c r="H682" s="150">
        <v>1772.13</v>
      </c>
      <c r="I682" s="151">
        <v>1772.13</v>
      </c>
    </row>
    <row r="683" spans="1:9" ht="15" customHeight="1" x14ac:dyDescent="0.25">
      <c r="A683" s="148">
        <v>10936</v>
      </c>
      <c r="B683" s="148" t="s">
        <v>1938</v>
      </c>
      <c r="C683" s="148" t="s">
        <v>1939</v>
      </c>
      <c r="D683" s="148" t="s">
        <v>705</v>
      </c>
      <c r="E683" s="148" t="s">
        <v>1937</v>
      </c>
      <c r="F683" s="149">
        <v>16</v>
      </c>
      <c r="G683" s="148" t="s">
        <v>591</v>
      </c>
      <c r="H683" s="150">
        <v>1773.49</v>
      </c>
      <c r="I683" s="151">
        <v>1773.49</v>
      </c>
    </row>
    <row r="684" spans="1:9" ht="15" customHeight="1" x14ac:dyDescent="0.25">
      <c r="A684" s="148">
        <v>10937</v>
      </c>
      <c r="B684" s="148" t="s">
        <v>1940</v>
      </c>
      <c r="C684" s="148" t="s">
        <v>1941</v>
      </c>
      <c r="D684" s="148" t="s">
        <v>705</v>
      </c>
      <c r="E684" s="148" t="s">
        <v>1942</v>
      </c>
      <c r="F684" s="149">
        <v>16</v>
      </c>
      <c r="G684" s="148" t="s">
        <v>591</v>
      </c>
      <c r="H684" s="150">
        <v>5693.91</v>
      </c>
      <c r="I684" s="151">
        <v>5693.91</v>
      </c>
    </row>
    <row r="685" spans="1:9" ht="15" customHeight="1" x14ac:dyDescent="0.25">
      <c r="A685" s="148">
        <v>10938</v>
      </c>
      <c r="B685" s="148" t="s">
        <v>1943</v>
      </c>
      <c r="C685" s="148" t="s">
        <v>1944</v>
      </c>
      <c r="D685" s="148" t="s">
        <v>705</v>
      </c>
      <c r="E685" s="148" t="s">
        <v>1945</v>
      </c>
      <c r="F685" s="149">
        <v>16</v>
      </c>
      <c r="G685" s="148" t="s">
        <v>591</v>
      </c>
      <c r="H685" s="150">
        <v>1636.52</v>
      </c>
      <c r="I685" s="151">
        <v>1636.52</v>
      </c>
    </row>
    <row r="686" spans="1:9" ht="15" customHeight="1" x14ac:dyDescent="0.25">
      <c r="A686" s="148">
        <v>10939</v>
      </c>
      <c r="B686" s="148" t="s">
        <v>1946</v>
      </c>
      <c r="C686" s="148" t="s">
        <v>1947</v>
      </c>
      <c r="D686" s="148" t="s">
        <v>705</v>
      </c>
      <c r="E686" s="148" t="s">
        <v>1945</v>
      </c>
      <c r="F686" s="149">
        <v>16</v>
      </c>
      <c r="G686" s="148" t="s">
        <v>591</v>
      </c>
      <c r="H686" s="150">
        <v>1651.81</v>
      </c>
      <c r="I686" s="151">
        <v>1651.81</v>
      </c>
    </row>
    <row r="687" spans="1:9" ht="15" customHeight="1" x14ac:dyDescent="0.25">
      <c r="A687" s="148">
        <v>10940</v>
      </c>
      <c r="B687" s="148" t="s">
        <v>1948</v>
      </c>
      <c r="C687" s="148" t="s">
        <v>1949</v>
      </c>
      <c r="D687" s="148" t="s">
        <v>705</v>
      </c>
      <c r="E687" s="148" t="s">
        <v>1950</v>
      </c>
      <c r="F687" s="149">
        <v>16</v>
      </c>
      <c r="G687" s="148" t="s">
        <v>591</v>
      </c>
      <c r="H687" s="150">
        <v>1928.17</v>
      </c>
      <c r="I687" s="151">
        <v>1928.17</v>
      </c>
    </row>
    <row r="688" spans="1:9" ht="15" customHeight="1" x14ac:dyDescent="0.25">
      <c r="A688" s="148">
        <v>10941</v>
      </c>
      <c r="B688" s="148" t="s">
        <v>1951</v>
      </c>
      <c r="C688" s="148" t="s">
        <v>1952</v>
      </c>
      <c r="D688" s="148" t="s">
        <v>705</v>
      </c>
      <c r="E688" s="148" t="s">
        <v>1953</v>
      </c>
      <c r="F688" s="149">
        <v>16</v>
      </c>
      <c r="G688" s="148" t="s">
        <v>591</v>
      </c>
      <c r="H688" s="150">
        <v>2838.17</v>
      </c>
      <c r="I688" s="151">
        <v>2838.17</v>
      </c>
    </row>
    <row r="689" spans="1:9" ht="15" customHeight="1" x14ac:dyDescent="0.25">
      <c r="A689" s="148">
        <v>10943</v>
      </c>
      <c r="B689" s="148" t="s">
        <v>1954</v>
      </c>
      <c r="C689" s="148" t="s">
        <v>1955</v>
      </c>
      <c r="D689" s="148" t="s">
        <v>705</v>
      </c>
      <c r="E689" s="148" t="s">
        <v>1956</v>
      </c>
      <c r="F689" s="149">
        <v>16</v>
      </c>
      <c r="G689" s="148" t="s">
        <v>591</v>
      </c>
      <c r="H689" s="150">
        <v>1831.86</v>
      </c>
      <c r="I689" s="151">
        <v>1831.86</v>
      </c>
    </row>
    <row r="690" spans="1:9" ht="15" customHeight="1" x14ac:dyDescent="0.25">
      <c r="A690" s="148">
        <v>10944</v>
      </c>
      <c r="B690" s="148" t="s">
        <v>1957</v>
      </c>
      <c r="C690" s="148" t="s">
        <v>1958</v>
      </c>
      <c r="D690" s="148" t="s">
        <v>705</v>
      </c>
      <c r="E690" s="148" t="s">
        <v>1959</v>
      </c>
      <c r="F690" s="149">
        <v>16</v>
      </c>
      <c r="G690" s="148" t="s">
        <v>591</v>
      </c>
      <c r="H690" s="150">
        <v>3684.56</v>
      </c>
      <c r="I690" s="151">
        <v>3684.56</v>
      </c>
    </row>
    <row r="691" spans="1:9" ht="15" customHeight="1" x14ac:dyDescent="0.25">
      <c r="A691" s="148">
        <v>11101</v>
      </c>
      <c r="B691" s="148" t="s">
        <v>1960</v>
      </c>
      <c r="C691" s="148" t="s">
        <v>1961</v>
      </c>
      <c r="D691" s="148" t="s">
        <v>705</v>
      </c>
      <c r="E691" s="148" t="s">
        <v>1854</v>
      </c>
      <c r="F691" s="149">
        <v>170</v>
      </c>
      <c r="G691" s="148" t="s">
        <v>591</v>
      </c>
      <c r="H691" s="150">
        <v>22566.27</v>
      </c>
      <c r="I691" s="151">
        <v>22566.27</v>
      </c>
    </row>
    <row r="692" spans="1:9" ht="15" customHeight="1" x14ac:dyDescent="0.25">
      <c r="A692" s="148">
        <v>11102</v>
      </c>
      <c r="B692" s="148" t="s">
        <v>1962</v>
      </c>
      <c r="C692" s="148" t="s">
        <v>1963</v>
      </c>
      <c r="D692" s="148" t="s">
        <v>705</v>
      </c>
      <c r="E692" s="148" t="s">
        <v>1854</v>
      </c>
      <c r="F692" s="149">
        <v>170</v>
      </c>
      <c r="G692" s="148" t="s">
        <v>591</v>
      </c>
      <c r="H692" s="150">
        <v>20754.05</v>
      </c>
      <c r="I692" s="151">
        <v>20754.05</v>
      </c>
    </row>
    <row r="693" spans="1:9" ht="15" customHeight="1" x14ac:dyDescent="0.25">
      <c r="A693" s="148">
        <v>11103</v>
      </c>
      <c r="B693" s="148" t="s">
        <v>1964</v>
      </c>
      <c r="C693" s="148" t="s">
        <v>1965</v>
      </c>
      <c r="D693" s="148" t="s">
        <v>705</v>
      </c>
      <c r="E693" s="148" t="s">
        <v>1861</v>
      </c>
      <c r="F693" s="149">
        <v>170</v>
      </c>
      <c r="G693" s="148" t="s">
        <v>591</v>
      </c>
      <c r="H693" s="150">
        <v>23384.71</v>
      </c>
      <c r="I693" s="151">
        <v>23384.71</v>
      </c>
    </row>
    <row r="694" spans="1:9" ht="15" customHeight="1" x14ac:dyDescent="0.25">
      <c r="A694" s="148">
        <v>11104</v>
      </c>
      <c r="B694" s="148" t="s">
        <v>1966</v>
      </c>
      <c r="C694" s="148" t="s">
        <v>1967</v>
      </c>
      <c r="D694" s="148" t="s">
        <v>705</v>
      </c>
      <c r="E694" s="148" t="s">
        <v>1861</v>
      </c>
      <c r="F694" s="149">
        <v>170</v>
      </c>
      <c r="G694" s="148" t="s">
        <v>591</v>
      </c>
      <c r="H694" s="150">
        <v>24016.74</v>
      </c>
      <c r="I694" s="151">
        <v>24016.74</v>
      </c>
    </row>
    <row r="695" spans="1:9" ht="15" customHeight="1" x14ac:dyDescent="0.25">
      <c r="A695" s="148">
        <v>11105</v>
      </c>
      <c r="B695" s="148" t="s">
        <v>1968</v>
      </c>
      <c r="C695" s="148" t="s">
        <v>1969</v>
      </c>
      <c r="D695" s="148" t="s">
        <v>705</v>
      </c>
      <c r="E695" s="148" t="s">
        <v>1866</v>
      </c>
      <c r="F695" s="149">
        <v>170</v>
      </c>
      <c r="G695" s="148" t="s">
        <v>591</v>
      </c>
      <c r="H695" s="150">
        <v>24569.06</v>
      </c>
      <c r="I695" s="151">
        <v>24569.06</v>
      </c>
    </row>
    <row r="696" spans="1:9" ht="15" customHeight="1" x14ac:dyDescent="0.25">
      <c r="A696" s="148">
        <v>11106</v>
      </c>
      <c r="B696" s="148" t="s">
        <v>1970</v>
      </c>
      <c r="C696" s="148" t="s">
        <v>1971</v>
      </c>
      <c r="D696" s="148" t="s">
        <v>705</v>
      </c>
      <c r="E696" s="148" t="s">
        <v>1866</v>
      </c>
      <c r="F696" s="149">
        <v>170</v>
      </c>
      <c r="G696" s="148" t="s">
        <v>591</v>
      </c>
      <c r="H696" s="150">
        <v>24519.96</v>
      </c>
      <c r="I696" s="151">
        <v>24519.96</v>
      </c>
    </row>
    <row r="697" spans="1:9" ht="15" customHeight="1" x14ac:dyDescent="0.25">
      <c r="A697" s="148">
        <v>11107</v>
      </c>
      <c r="B697" s="148" t="s">
        <v>1972</v>
      </c>
      <c r="C697" s="148" t="s">
        <v>1973</v>
      </c>
      <c r="D697" s="148" t="s">
        <v>705</v>
      </c>
      <c r="E697" s="148" t="s">
        <v>1871</v>
      </c>
      <c r="F697" s="149">
        <v>170</v>
      </c>
      <c r="G697" s="148" t="s">
        <v>591</v>
      </c>
      <c r="H697" s="150">
        <v>18484.759999999998</v>
      </c>
      <c r="I697" s="151">
        <v>18484.759999999998</v>
      </c>
    </row>
    <row r="698" spans="1:9" ht="15" customHeight="1" x14ac:dyDescent="0.25">
      <c r="A698" s="148">
        <v>11108</v>
      </c>
      <c r="B698" s="148" t="s">
        <v>1974</v>
      </c>
      <c r="C698" s="148" t="s">
        <v>1975</v>
      </c>
      <c r="D698" s="148" t="s">
        <v>705</v>
      </c>
      <c r="E698" s="148" t="s">
        <v>1871</v>
      </c>
      <c r="F698" s="149">
        <v>170</v>
      </c>
      <c r="G698" s="148" t="s">
        <v>591</v>
      </c>
      <c r="H698" s="150">
        <v>18537.77</v>
      </c>
      <c r="I698" s="151">
        <v>18537.77</v>
      </c>
    </row>
    <row r="699" spans="1:9" ht="15" customHeight="1" x14ac:dyDescent="0.25">
      <c r="A699" s="148">
        <v>11110</v>
      </c>
      <c r="B699" s="148" t="s">
        <v>1976</v>
      </c>
      <c r="C699" s="148" t="s">
        <v>1977</v>
      </c>
      <c r="D699" s="148" t="s">
        <v>705</v>
      </c>
      <c r="E699" s="148" t="s">
        <v>1871</v>
      </c>
      <c r="F699" s="149">
        <v>170</v>
      </c>
      <c r="G699" s="148" t="s">
        <v>591</v>
      </c>
      <c r="H699" s="150">
        <v>19090.72</v>
      </c>
      <c r="I699" s="151">
        <v>19090.72</v>
      </c>
    </row>
    <row r="700" spans="1:9" ht="15" customHeight="1" x14ac:dyDescent="0.25">
      <c r="A700" s="148">
        <v>11111</v>
      </c>
      <c r="B700" s="148" t="s">
        <v>1978</v>
      </c>
      <c r="C700" s="148" t="s">
        <v>1979</v>
      </c>
      <c r="D700" s="148" t="s">
        <v>705</v>
      </c>
      <c r="E700" s="148" t="s">
        <v>1871</v>
      </c>
      <c r="F700" s="149">
        <v>170</v>
      </c>
      <c r="G700" s="148" t="s">
        <v>591</v>
      </c>
      <c r="H700" s="150">
        <v>19146.55</v>
      </c>
      <c r="I700" s="151">
        <v>19146.55</v>
      </c>
    </row>
    <row r="701" spans="1:9" ht="15" customHeight="1" x14ac:dyDescent="0.25">
      <c r="A701" s="148">
        <v>11112</v>
      </c>
      <c r="B701" s="148" t="s">
        <v>1980</v>
      </c>
      <c r="C701" s="148" t="s">
        <v>1981</v>
      </c>
      <c r="D701" s="148" t="s">
        <v>705</v>
      </c>
      <c r="E701" s="148" t="s">
        <v>1871</v>
      </c>
      <c r="F701" s="149">
        <v>170</v>
      </c>
      <c r="G701" s="148" t="s">
        <v>591</v>
      </c>
      <c r="H701" s="150">
        <v>19578.05</v>
      </c>
      <c r="I701" s="151">
        <v>19578.05</v>
      </c>
    </row>
    <row r="702" spans="1:9" ht="15" customHeight="1" x14ac:dyDescent="0.25">
      <c r="A702" s="148">
        <v>11113</v>
      </c>
      <c r="B702" s="148" t="s">
        <v>1982</v>
      </c>
      <c r="C702" s="148" t="s">
        <v>1983</v>
      </c>
      <c r="D702" s="148" t="s">
        <v>705</v>
      </c>
      <c r="E702" s="148" t="s">
        <v>1884</v>
      </c>
      <c r="F702" s="149">
        <v>170</v>
      </c>
      <c r="G702" s="148" t="s">
        <v>591</v>
      </c>
      <c r="H702" s="150">
        <v>20242.07</v>
      </c>
      <c r="I702" s="151">
        <v>20242.07</v>
      </c>
    </row>
    <row r="703" spans="1:9" ht="15" customHeight="1" x14ac:dyDescent="0.25">
      <c r="A703" s="148">
        <v>11114</v>
      </c>
      <c r="B703" s="148" t="s">
        <v>1984</v>
      </c>
      <c r="C703" s="148" t="s">
        <v>1985</v>
      </c>
      <c r="D703" s="148" t="s">
        <v>705</v>
      </c>
      <c r="E703" s="148" t="s">
        <v>1884</v>
      </c>
      <c r="F703" s="149">
        <v>170</v>
      </c>
      <c r="G703" s="148" t="s">
        <v>591</v>
      </c>
      <c r="H703" s="150">
        <v>20234.490000000002</v>
      </c>
      <c r="I703" s="151">
        <v>20234.490000000002</v>
      </c>
    </row>
    <row r="704" spans="1:9" ht="15" customHeight="1" x14ac:dyDescent="0.25">
      <c r="A704" s="148">
        <v>11115</v>
      </c>
      <c r="B704" s="148" t="s">
        <v>1986</v>
      </c>
      <c r="C704" s="148" t="s">
        <v>1987</v>
      </c>
      <c r="D704" s="148" t="s">
        <v>705</v>
      </c>
      <c r="E704" s="148" t="s">
        <v>1884</v>
      </c>
      <c r="F704" s="149">
        <v>170</v>
      </c>
      <c r="G704" s="148" t="s">
        <v>591</v>
      </c>
      <c r="H704" s="150">
        <v>20378.41</v>
      </c>
      <c r="I704" s="151">
        <v>20378.41</v>
      </c>
    </row>
    <row r="705" spans="1:9" ht="15" customHeight="1" x14ac:dyDescent="0.25">
      <c r="A705" s="148">
        <v>11116</v>
      </c>
      <c r="B705" s="148" t="s">
        <v>1988</v>
      </c>
      <c r="C705" s="148" t="s">
        <v>1989</v>
      </c>
      <c r="D705" s="148" t="s">
        <v>705</v>
      </c>
      <c r="E705" s="148" t="s">
        <v>1884</v>
      </c>
      <c r="F705" s="149">
        <v>170</v>
      </c>
      <c r="G705" s="148" t="s">
        <v>591</v>
      </c>
      <c r="H705" s="150">
        <v>20783.34</v>
      </c>
      <c r="I705" s="151">
        <v>20783.34</v>
      </c>
    </row>
    <row r="706" spans="1:9" ht="15" customHeight="1" x14ac:dyDescent="0.25">
      <c r="A706" s="148">
        <v>11117</v>
      </c>
      <c r="B706" s="148" t="s">
        <v>1990</v>
      </c>
      <c r="C706" s="148" t="s">
        <v>1991</v>
      </c>
      <c r="D706" s="148" t="s">
        <v>705</v>
      </c>
      <c r="E706" s="148" t="s">
        <v>1884</v>
      </c>
      <c r="F706" s="149">
        <v>170</v>
      </c>
      <c r="G706" s="148" t="s">
        <v>591</v>
      </c>
      <c r="H706" s="150">
        <v>20840.59</v>
      </c>
      <c r="I706" s="151">
        <v>20840.59</v>
      </c>
    </row>
    <row r="707" spans="1:9" ht="15" customHeight="1" x14ac:dyDescent="0.25">
      <c r="A707" s="148">
        <v>11118</v>
      </c>
      <c r="B707" s="148" t="s">
        <v>1992</v>
      </c>
      <c r="C707" s="148" t="s">
        <v>1993</v>
      </c>
      <c r="D707" s="148" t="s">
        <v>705</v>
      </c>
      <c r="E707" s="148" t="s">
        <v>1884</v>
      </c>
      <c r="F707" s="149">
        <v>170</v>
      </c>
      <c r="G707" s="148" t="s">
        <v>591</v>
      </c>
      <c r="H707" s="150">
        <v>21250.12</v>
      </c>
      <c r="I707" s="151">
        <v>21250.12</v>
      </c>
    </row>
    <row r="708" spans="1:9" ht="15" customHeight="1" x14ac:dyDescent="0.25">
      <c r="A708" s="148">
        <v>11120</v>
      </c>
      <c r="B708" s="148" t="s">
        <v>1994</v>
      </c>
      <c r="C708" s="148" t="s">
        <v>1995</v>
      </c>
      <c r="D708" s="148" t="s">
        <v>705</v>
      </c>
      <c r="E708" s="148" t="s">
        <v>1897</v>
      </c>
      <c r="F708" s="149">
        <v>170</v>
      </c>
      <c r="G708" s="148" t="s">
        <v>591</v>
      </c>
      <c r="H708" s="150">
        <v>21553.17</v>
      </c>
      <c r="I708" s="151">
        <v>21553.17</v>
      </c>
    </row>
    <row r="709" spans="1:9" ht="15" customHeight="1" x14ac:dyDescent="0.25">
      <c r="A709" s="148">
        <v>11123</v>
      </c>
      <c r="B709" s="148" t="s">
        <v>1996</v>
      </c>
      <c r="C709" s="148" t="s">
        <v>1997</v>
      </c>
      <c r="D709" s="148" t="s">
        <v>705</v>
      </c>
      <c r="E709" s="148" t="s">
        <v>1904</v>
      </c>
      <c r="F709" s="149">
        <v>170</v>
      </c>
      <c r="G709" s="148" t="s">
        <v>591</v>
      </c>
      <c r="H709" s="150">
        <v>33202.75</v>
      </c>
      <c r="I709" s="151">
        <v>33202.75</v>
      </c>
    </row>
    <row r="710" spans="1:9" ht="15" customHeight="1" x14ac:dyDescent="0.25">
      <c r="A710" s="148">
        <v>11126</v>
      </c>
      <c r="B710" s="148" t="s">
        <v>1998</v>
      </c>
      <c r="C710" s="148" t="s">
        <v>1999</v>
      </c>
      <c r="D710" s="148" t="s">
        <v>705</v>
      </c>
      <c r="E710" s="148" t="s">
        <v>1911</v>
      </c>
      <c r="F710" s="149">
        <v>170</v>
      </c>
      <c r="G710" s="148" t="s">
        <v>591</v>
      </c>
      <c r="H710" s="150">
        <v>22012.2</v>
      </c>
      <c r="I710" s="151">
        <v>22012.2</v>
      </c>
    </row>
    <row r="711" spans="1:9" ht="15" customHeight="1" x14ac:dyDescent="0.25">
      <c r="A711" s="148">
        <v>11128</v>
      </c>
      <c r="B711" s="148" t="s">
        <v>2000</v>
      </c>
      <c r="C711" s="148" t="s">
        <v>2001</v>
      </c>
      <c r="D711" s="148" t="s">
        <v>705</v>
      </c>
      <c r="E711" s="148" t="s">
        <v>1918</v>
      </c>
      <c r="F711" s="149">
        <v>170</v>
      </c>
      <c r="G711" s="148" t="s">
        <v>591</v>
      </c>
      <c r="H711" s="150">
        <v>23830.6</v>
      </c>
      <c r="I711" s="151">
        <v>23830.6</v>
      </c>
    </row>
    <row r="712" spans="1:9" ht="15" customHeight="1" x14ac:dyDescent="0.25">
      <c r="A712" s="148">
        <v>11129</v>
      </c>
      <c r="B712" s="148" t="s">
        <v>2002</v>
      </c>
      <c r="C712" s="148" t="s">
        <v>2003</v>
      </c>
      <c r="D712" s="148" t="s">
        <v>705</v>
      </c>
      <c r="E712" s="148" t="s">
        <v>1918</v>
      </c>
      <c r="F712" s="149">
        <v>170</v>
      </c>
      <c r="G712" s="148" t="s">
        <v>591</v>
      </c>
      <c r="H712" s="150">
        <v>25422.21</v>
      </c>
      <c r="I712" s="151">
        <v>25422.21</v>
      </c>
    </row>
    <row r="713" spans="1:9" ht="15" customHeight="1" x14ac:dyDescent="0.25">
      <c r="A713" s="148">
        <v>11130</v>
      </c>
      <c r="B713" s="148" t="s">
        <v>2004</v>
      </c>
      <c r="C713" s="148" t="s">
        <v>2005</v>
      </c>
      <c r="D713" s="148" t="s">
        <v>705</v>
      </c>
      <c r="E713" s="148" t="s">
        <v>1918</v>
      </c>
      <c r="F713" s="149">
        <v>170</v>
      </c>
      <c r="G713" s="148" t="s">
        <v>591</v>
      </c>
      <c r="H713" s="150">
        <v>26806.080000000002</v>
      </c>
      <c r="I713" s="151">
        <v>26806.080000000002</v>
      </c>
    </row>
    <row r="714" spans="1:9" ht="15" customHeight="1" x14ac:dyDescent="0.25">
      <c r="A714" s="148">
        <v>11131</v>
      </c>
      <c r="B714" s="148" t="s">
        <v>2006</v>
      </c>
      <c r="C714" s="148" t="s">
        <v>2007</v>
      </c>
      <c r="D714" s="148" t="s">
        <v>705</v>
      </c>
      <c r="E714" s="148" t="s">
        <v>1918</v>
      </c>
      <c r="F714" s="149">
        <v>170</v>
      </c>
      <c r="G714" s="148" t="s">
        <v>591</v>
      </c>
      <c r="H714" s="150">
        <v>26028.400000000001</v>
      </c>
      <c r="I714" s="151">
        <v>26028.400000000001</v>
      </c>
    </row>
    <row r="715" spans="1:9" ht="15" customHeight="1" x14ac:dyDescent="0.25">
      <c r="A715" s="148">
        <v>11132</v>
      </c>
      <c r="B715" s="148" t="s">
        <v>2008</v>
      </c>
      <c r="C715" s="148" t="s">
        <v>2009</v>
      </c>
      <c r="D715" s="148" t="s">
        <v>705</v>
      </c>
      <c r="E715" s="148" t="s">
        <v>1928</v>
      </c>
      <c r="F715" s="149">
        <v>170</v>
      </c>
      <c r="G715" s="148" t="s">
        <v>591</v>
      </c>
      <c r="H715" s="150">
        <v>37423.160000000003</v>
      </c>
      <c r="I715" s="151">
        <v>37423.160000000003</v>
      </c>
    </row>
    <row r="716" spans="1:9" ht="15" customHeight="1" x14ac:dyDescent="0.25">
      <c r="A716" s="148">
        <v>11133</v>
      </c>
      <c r="B716" s="148" t="s">
        <v>2010</v>
      </c>
      <c r="C716" s="148" t="s">
        <v>2011</v>
      </c>
      <c r="D716" s="148" t="s">
        <v>705</v>
      </c>
      <c r="E716" s="148" t="s">
        <v>1931</v>
      </c>
      <c r="F716" s="149">
        <v>170</v>
      </c>
      <c r="G716" s="148" t="s">
        <v>591</v>
      </c>
      <c r="H716" s="150">
        <v>41769.019999999997</v>
      </c>
      <c r="I716" s="151">
        <v>41769.019999999997</v>
      </c>
    </row>
    <row r="717" spans="1:9" ht="15" customHeight="1" x14ac:dyDescent="0.25">
      <c r="A717" s="148">
        <v>11134</v>
      </c>
      <c r="B717" s="148" t="s">
        <v>2012</v>
      </c>
      <c r="C717" s="148" t="s">
        <v>2013</v>
      </c>
      <c r="D717" s="148" t="s">
        <v>705</v>
      </c>
      <c r="E717" s="148" t="s">
        <v>1934</v>
      </c>
      <c r="F717" s="149">
        <v>170</v>
      </c>
      <c r="G717" s="148" t="s">
        <v>591</v>
      </c>
      <c r="H717" s="150">
        <v>56174.42</v>
      </c>
      <c r="I717" s="151">
        <v>56174.42</v>
      </c>
    </row>
    <row r="718" spans="1:9" ht="15" customHeight="1" x14ac:dyDescent="0.25">
      <c r="A718" s="148">
        <v>11136</v>
      </c>
      <c r="B718" s="148" t="s">
        <v>2014</v>
      </c>
      <c r="C718" s="148" t="s">
        <v>2015</v>
      </c>
      <c r="D718" s="148" t="s">
        <v>705</v>
      </c>
      <c r="E718" s="148" t="s">
        <v>1937</v>
      </c>
      <c r="F718" s="149">
        <v>170</v>
      </c>
      <c r="G718" s="148" t="s">
        <v>591</v>
      </c>
      <c r="H718" s="150">
        <v>18621.11</v>
      </c>
      <c r="I718" s="151">
        <v>18621.11</v>
      </c>
    </row>
    <row r="719" spans="1:9" ht="15" customHeight="1" x14ac:dyDescent="0.25">
      <c r="A719" s="148">
        <v>11139</v>
      </c>
      <c r="B719" s="148" t="s">
        <v>2016</v>
      </c>
      <c r="C719" s="148" t="s">
        <v>2017</v>
      </c>
      <c r="D719" s="148" t="s">
        <v>705</v>
      </c>
      <c r="E719" s="148" t="s">
        <v>1945</v>
      </c>
      <c r="F719" s="149">
        <v>170</v>
      </c>
      <c r="G719" s="148" t="s">
        <v>591</v>
      </c>
      <c r="H719" s="150">
        <v>17328.23</v>
      </c>
      <c r="I719" s="151">
        <v>17328.23</v>
      </c>
    </row>
    <row r="720" spans="1:9" ht="15" customHeight="1" x14ac:dyDescent="0.25">
      <c r="A720" s="148">
        <v>11140</v>
      </c>
      <c r="B720" s="148" t="s">
        <v>2018</v>
      </c>
      <c r="C720" s="148" t="s">
        <v>2019</v>
      </c>
      <c r="D720" s="148" t="s">
        <v>705</v>
      </c>
      <c r="E720" s="148" t="s">
        <v>1950</v>
      </c>
      <c r="F720" s="149">
        <v>170</v>
      </c>
      <c r="G720" s="148" t="s">
        <v>591</v>
      </c>
      <c r="H720" s="150">
        <v>20264.59</v>
      </c>
      <c r="I720" s="151">
        <v>20264.59</v>
      </c>
    </row>
    <row r="721" spans="1:9" ht="15" customHeight="1" x14ac:dyDescent="0.25">
      <c r="A721" s="148">
        <v>11141</v>
      </c>
      <c r="B721" s="148" t="s">
        <v>2020</v>
      </c>
      <c r="C721" s="148" t="s">
        <v>2021</v>
      </c>
      <c r="D721" s="148" t="s">
        <v>705</v>
      </c>
      <c r="E721" s="148" t="s">
        <v>1953</v>
      </c>
      <c r="F721" s="149">
        <v>170</v>
      </c>
      <c r="G721" s="148" t="s">
        <v>935</v>
      </c>
      <c r="H721" s="150">
        <v>29933.27</v>
      </c>
      <c r="I721" s="151">
        <v>29933.27</v>
      </c>
    </row>
    <row r="722" spans="1:9" ht="15" customHeight="1" x14ac:dyDescent="0.25">
      <c r="A722" s="148">
        <v>11143</v>
      </c>
      <c r="B722" s="148" t="s">
        <v>2022</v>
      </c>
      <c r="C722" s="148" t="s">
        <v>2023</v>
      </c>
      <c r="D722" s="148" t="s">
        <v>705</v>
      </c>
      <c r="E722" s="148" t="s">
        <v>1956</v>
      </c>
      <c r="F722" s="149">
        <v>170</v>
      </c>
      <c r="G722" s="148" t="s">
        <v>935</v>
      </c>
      <c r="H722" s="150">
        <v>18993.189999999999</v>
      </c>
      <c r="I722" s="151">
        <v>18993.189999999999</v>
      </c>
    </row>
    <row r="723" spans="1:9" ht="15" customHeight="1" x14ac:dyDescent="0.25">
      <c r="A723" s="148">
        <v>11146</v>
      </c>
      <c r="B723" s="148" t="s">
        <v>2024</v>
      </c>
      <c r="C723" s="148" t="s">
        <v>2025</v>
      </c>
      <c r="D723" s="148" t="s">
        <v>705</v>
      </c>
      <c r="E723" s="148" t="s">
        <v>2026</v>
      </c>
      <c r="F723" s="149">
        <v>170</v>
      </c>
      <c r="G723" s="148" t="s">
        <v>591</v>
      </c>
      <c r="H723" s="150">
        <v>41229.58</v>
      </c>
      <c r="I723" s="151">
        <v>41229.58</v>
      </c>
    </row>
    <row r="724" spans="1:9" ht="15" customHeight="1" x14ac:dyDescent="0.25">
      <c r="A724" s="148">
        <v>11345</v>
      </c>
      <c r="B724" s="148" t="s">
        <v>2027</v>
      </c>
      <c r="C724" s="148" t="s">
        <v>2028</v>
      </c>
      <c r="D724" s="148" t="s">
        <v>600</v>
      </c>
      <c r="E724" s="148" t="s">
        <v>2029</v>
      </c>
      <c r="F724" s="149">
        <v>200</v>
      </c>
      <c r="G724" s="148" t="s">
        <v>591</v>
      </c>
      <c r="H724" s="150">
        <v>9660.76</v>
      </c>
      <c r="I724" s="151">
        <v>9660.76</v>
      </c>
    </row>
    <row r="725" spans="1:9" ht="15" customHeight="1" x14ac:dyDescent="0.25">
      <c r="A725" s="148">
        <v>11346</v>
      </c>
      <c r="B725" s="148" t="s">
        <v>2030</v>
      </c>
      <c r="C725" s="148" t="s">
        <v>2031</v>
      </c>
      <c r="D725" s="148" t="s">
        <v>2032</v>
      </c>
      <c r="E725" s="148" t="s">
        <v>2033</v>
      </c>
      <c r="F725" s="149">
        <v>200</v>
      </c>
      <c r="G725" s="148" t="s">
        <v>591</v>
      </c>
      <c r="H725" s="150">
        <v>12793.34</v>
      </c>
      <c r="I725" s="151">
        <v>12793.34</v>
      </c>
    </row>
    <row r="726" spans="1:9" ht="15" customHeight="1" x14ac:dyDescent="0.25">
      <c r="A726" s="148">
        <v>16000</v>
      </c>
      <c r="B726" s="148" t="s">
        <v>262</v>
      </c>
      <c r="C726" s="148" t="s">
        <v>2034</v>
      </c>
      <c r="D726" s="148" t="s">
        <v>594</v>
      </c>
      <c r="E726" s="148" t="s">
        <v>595</v>
      </c>
      <c r="F726" s="149">
        <v>0.95</v>
      </c>
      <c r="G726" s="148" t="s">
        <v>591</v>
      </c>
      <c r="H726" s="150">
        <v>105.11</v>
      </c>
      <c r="I726" s="151">
        <f>H726*15</f>
        <v>1576.65</v>
      </c>
    </row>
    <row r="727" spans="1:9" ht="15" customHeight="1" x14ac:dyDescent="0.25">
      <c r="A727" s="148">
        <v>16001</v>
      </c>
      <c r="B727" s="148" t="s">
        <v>2035</v>
      </c>
      <c r="C727" s="148" t="s">
        <v>2036</v>
      </c>
      <c r="D727" s="148" t="s">
        <v>594</v>
      </c>
      <c r="E727" s="148" t="s">
        <v>595</v>
      </c>
      <c r="F727" s="149">
        <v>0.95</v>
      </c>
      <c r="G727" s="148" t="s">
        <v>596</v>
      </c>
      <c r="H727" s="150">
        <v>101.69</v>
      </c>
      <c r="I727" s="151">
        <f>H727*16</f>
        <v>1627.04</v>
      </c>
    </row>
    <row r="728" spans="1:9" ht="15" customHeight="1" x14ac:dyDescent="0.25">
      <c r="A728" s="148">
        <v>16002</v>
      </c>
      <c r="B728" s="148" t="s">
        <v>263</v>
      </c>
      <c r="C728" s="148" t="s">
        <v>2037</v>
      </c>
      <c r="D728" s="148" t="s">
        <v>594</v>
      </c>
      <c r="E728" s="148" t="s">
        <v>595</v>
      </c>
      <c r="F728" s="149">
        <v>5</v>
      </c>
      <c r="G728" s="148" t="s">
        <v>591</v>
      </c>
      <c r="H728" s="150">
        <v>529.63</v>
      </c>
      <c r="I728" s="151">
        <f>H728*4</f>
        <v>2118.52</v>
      </c>
    </row>
    <row r="729" spans="1:9" ht="15" customHeight="1" x14ac:dyDescent="0.25">
      <c r="A729" s="148">
        <v>16003</v>
      </c>
      <c r="B729" s="148" t="s">
        <v>2038</v>
      </c>
      <c r="C729" s="148" t="s">
        <v>2039</v>
      </c>
      <c r="D729" s="148" t="s">
        <v>594</v>
      </c>
      <c r="E729" s="148" t="s">
        <v>595</v>
      </c>
      <c r="F729" s="149">
        <v>19</v>
      </c>
      <c r="G729" s="148" t="s">
        <v>596</v>
      </c>
      <c r="H729" s="150">
        <v>2010.21</v>
      </c>
      <c r="I729" s="151">
        <v>2010.21</v>
      </c>
    </row>
    <row r="730" spans="1:9" ht="15" customHeight="1" x14ac:dyDescent="0.25">
      <c r="A730" s="148">
        <v>16004</v>
      </c>
      <c r="B730" s="148" t="s">
        <v>2040</v>
      </c>
      <c r="C730" s="148" t="s">
        <v>2041</v>
      </c>
      <c r="D730" s="148" t="s">
        <v>594</v>
      </c>
      <c r="E730" s="148" t="s">
        <v>595</v>
      </c>
      <c r="F730" s="149">
        <v>200</v>
      </c>
      <c r="G730" s="148" t="s">
        <v>596</v>
      </c>
      <c r="H730" s="150">
        <v>21236.62</v>
      </c>
      <c r="I730" s="151">
        <v>21236.62</v>
      </c>
    </row>
    <row r="731" spans="1:9" ht="15" customHeight="1" x14ac:dyDescent="0.25">
      <c r="A731" s="148">
        <v>16005</v>
      </c>
      <c r="B731" s="148" t="s">
        <v>2042</v>
      </c>
      <c r="C731" s="148" t="s">
        <v>2043</v>
      </c>
      <c r="D731" s="148" t="s">
        <v>594</v>
      </c>
      <c r="E731" s="148" t="s">
        <v>595</v>
      </c>
      <c r="F731" s="149">
        <v>1</v>
      </c>
      <c r="G731" s="148" t="s">
        <v>596</v>
      </c>
      <c r="H731" s="150">
        <v>101.42</v>
      </c>
      <c r="I731" s="151">
        <f>H731*1000</f>
        <v>101420</v>
      </c>
    </row>
    <row r="732" spans="1:9" ht="15" customHeight="1" x14ac:dyDescent="0.25">
      <c r="A732" s="148">
        <v>16007</v>
      </c>
      <c r="B732" s="148" t="s">
        <v>257</v>
      </c>
      <c r="C732" s="148" t="s">
        <v>2044</v>
      </c>
      <c r="D732" s="148" t="s">
        <v>594</v>
      </c>
      <c r="E732" s="148" t="s">
        <v>595</v>
      </c>
      <c r="F732" s="149">
        <v>0.95</v>
      </c>
      <c r="G732" s="148" t="s">
        <v>591</v>
      </c>
      <c r="H732" s="150">
        <v>96.11</v>
      </c>
      <c r="I732" s="151">
        <f>H732*16</f>
        <v>1537.76</v>
      </c>
    </row>
    <row r="733" spans="1:9" ht="15" customHeight="1" x14ac:dyDescent="0.25">
      <c r="A733" s="148">
        <v>16008</v>
      </c>
      <c r="B733" s="148" t="s">
        <v>260</v>
      </c>
      <c r="C733" s="148" t="s">
        <v>2045</v>
      </c>
      <c r="D733" s="148" t="s">
        <v>594</v>
      </c>
      <c r="E733" s="148" t="s">
        <v>595</v>
      </c>
      <c r="F733" s="149">
        <v>19</v>
      </c>
      <c r="G733" s="148" t="s">
        <v>591</v>
      </c>
      <c r="H733" s="150">
        <v>2036.91</v>
      </c>
      <c r="I733" s="151">
        <v>2036.91</v>
      </c>
    </row>
    <row r="734" spans="1:9" ht="15" customHeight="1" x14ac:dyDescent="0.25">
      <c r="A734" s="148">
        <v>16009</v>
      </c>
      <c r="B734" s="148" t="s">
        <v>261</v>
      </c>
      <c r="C734" s="148" t="s">
        <v>2046</v>
      </c>
      <c r="D734" s="148" t="s">
        <v>594</v>
      </c>
      <c r="E734" s="148" t="s">
        <v>595</v>
      </c>
      <c r="F734" s="149">
        <v>200</v>
      </c>
      <c r="G734" s="148" t="s">
        <v>591</v>
      </c>
      <c r="H734" s="150">
        <v>21512.19</v>
      </c>
      <c r="I734" s="151">
        <v>21512.19</v>
      </c>
    </row>
    <row r="735" spans="1:9" ht="15" customHeight="1" x14ac:dyDescent="0.25">
      <c r="A735" s="148">
        <v>16010</v>
      </c>
      <c r="B735" s="148" t="s">
        <v>2047</v>
      </c>
      <c r="C735" s="148" t="s">
        <v>2048</v>
      </c>
      <c r="D735" s="148" t="s">
        <v>594</v>
      </c>
      <c r="E735" s="148" t="s">
        <v>595</v>
      </c>
      <c r="F735" s="149">
        <v>1</v>
      </c>
      <c r="G735" s="148" t="s">
        <v>591</v>
      </c>
      <c r="H735" s="150">
        <v>99.33</v>
      </c>
      <c r="I735" s="151">
        <f>H735*1000</f>
        <v>99330</v>
      </c>
    </row>
    <row r="736" spans="1:9" ht="15" customHeight="1" x14ac:dyDescent="0.25">
      <c r="A736" s="148">
        <v>16011</v>
      </c>
      <c r="B736" s="148" t="s">
        <v>243</v>
      </c>
      <c r="C736" s="148" t="s">
        <v>2049</v>
      </c>
      <c r="D736" s="148" t="s">
        <v>594</v>
      </c>
      <c r="E736" s="148" t="s">
        <v>604</v>
      </c>
      <c r="F736" s="149">
        <v>0.95</v>
      </c>
      <c r="G736" s="148" t="s">
        <v>591</v>
      </c>
      <c r="H736" s="150">
        <v>105.87</v>
      </c>
      <c r="I736" s="151">
        <f>H736*15</f>
        <v>1588.0500000000002</v>
      </c>
    </row>
    <row r="737" spans="1:9" ht="15" customHeight="1" x14ac:dyDescent="0.25">
      <c r="A737" s="148">
        <v>16012</v>
      </c>
      <c r="B737" s="148" t="s">
        <v>242</v>
      </c>
      <c r="C737" s="148" t="s">
        <v>2050</v>
      </c>
      <c r="D737" s="148" t="s">
        <v>594</v>
      </c>
      <c r="E737" s="148" t="s">
        <v>604</v>
      </c>
      <c r="F737" s="149">
        <v>0.95</v>
      </c>
      <c r="G737" s="148" t="s">
        <v>591</v>
      </c>
      <c r="H737" s="150">
        <v>97.95</v>
      </c>
      <c r="I737" s="151">
        <f>H737*16</f>
        <v>1567.2</v>
      </c>
    </row>
    <row r="738" spans="1:9" ht="15" customHeight="1" x14ac:dyDescent="0.25">
      <c r="A738" s="148">
        <v>16013</v>
      </c>
      <c r="B738" s="148" t="s">
        <v>2051</v>
      </c>
      <c r="C738" s="148" t="s">
        <v>2052</v>
      </c>
      <c r="D738" s="148" t="s">
        <v>594</v>
      </c>
      <c r="E738" s="148" t="s">
        <v>604</v>
      </c>
      <c r="F738" s="149">
        <v>5</v>
      </c>
      <c r="G738" s="148" t="s">
        <v>596</v>
      </c>
      <c r="H738" s="150">
        <v>559.98</v>
      </c>
      <c r="I738" s="151">
        <f>H738*4</f>
        <v>2239.92</v>
      </c>
    </row>
    <row r="739" spans="1:9" ht="15" customHeight="1" x14ac:dyDescent="0.25">
      <c r="A739" s="148">
        <v>16014</v>
      </c>
      <c r="B739" s="148" t="s">
        <v>245</v>
      </c>
      <c r="C739" s="148" t="s">
        <v>2053</v>
      </c>
      <c r="D739" s="148" t="s">
        <v>594</v>
      </c>
      <c r="E739" s="148" t="s">
        <v>604</v>
      </c>
      <c r="F739" s="149">
        <v>19</v>
      </c>
      <c r="G739" s="148" t="s">
        <v>591</v>
      </c>
      <c r="H739" s="150">
        <v>2088.8000000000002</v>
      </c>
      <c r="I739" s="151">
        <v>2088.8000000000002</v>
      </c>
    </row>
    <row r="740" spans="1:9" ht="15" customHeight="1" x14ac:dyDescent="0.25">
      <c r="A740" s="148">
        <v>16015</v>
      </c>
      <c r="B740" s="148" t="s">
        <v>246</v>
      </c>
      <c r="C740" s="148" t="s">
        <v>2054</v>
      </c>
      <c r="D740" s="148" t="s">
        <v>594</v>
      </c>
      <c r="E740" s="148" t="s">
        <v>604</v>
      </c>
      <c r="F740" s="149">
        <v>200</v>
      </c>
      <c r="G740" s="148" t="s">
        <v>591</v>
      </c>
      <c r="H740" s="150">
        <v>21962.01</v>
      </c>
      <c r="I740" s="151">
        <v>21962.01</v>
      </c>
    </row>
    <row r="741" spans="1:9" ht="15" customHeight="1" x14ac:dyDescent="0.25">
      <c r="A741" s="148">
        <v>16016</v>
      </c>
      <c r="B741" s="148" t="s">
        <v>2055</v>
      </c>
      <c r="C741" s="148" t="s">
        <v>2056</v>
      </c>
      <c r="D741" s="148" t="s">
        <v>594</v>
      </c>
      <c r="E741" s="148" t="s">
        <v>604</v>
      </c>
      <c r="F741" s="149">
        <v>1</v>
      </c>
      <c r="G741" s="148" t="s">
        <v>591</v>
      </c>
      <c r="H741" s="150">
        <v>101.58</v>
      </c>
      <c r="I741" s="151">
        <f>H741*1000</f>
        <v>101580</v>
      </c>
    </row>
    <row r="742" spans="1:9" ht="15" customHeight="1" x14ac:dyDescent="0.25">
      <c r="A742" s="148">
        <v>16017</v>
      </c>
      <c r="B742" s="148" t="s">
        <v>247</v>
      </c>
      <c r="C742" s="148" t="s">
        <v>2057</v>
      </c>
      <c r="D742" s="148" t="s">
        <v>594</v>
      </c>
      <c r="E742" s="148" t="s">
        <v>604</v>
      </c>
      <c r="F742" s="149">
        <v>0.95</v>
      </c>
      <c r="G742" s="148" t="s">
        <v>591</v>
      </c>
      <c r="H742" s="150">
        <v>98.31</v>
      </c>
      <c r="I742" s="151">
        <f>H742*16</f>
        <v>1572.96</v>
      </c>
    </row>
    <row r="743" spans="1:9" ht="15" customHeight="1" x14ac:dyDescent="0.25">
      <c r="A743" s="148">
        <v>16018</v>
      </c>
      <c r="B743" s="148" t="s">
        <v>2058</v>
      </c>
      <c r="C743" s="148" t="s">
        <v>2059</v>
      </c>
      <c r="D743" s="148" t="s">
        <v>594</v>
      </c>
      <c r="E743" s="148" t="s">
        <v>604</v>
      </c>
      <c r="F743" s="149">
        <v>5</v>
      </c>
      <c r="G743" s="148" t="s">
        <v>596</v>
      </c>
      <c r="H743" s="150">
        <v>562.1</v>
      </c>
      <c r="I743" s="151">
        <f>H743*4</f>
        <v>2248.4</v>
      </c>
    </row>
    <row r="744" spans="1:9" ht="15" customHeight="1" x14ac:dyDescent="0.25">
      <c r="A744" s="148">
        <v>16019</v>
      </c>
      <c r="B744" s="148" t="s">
        <v>250</v>
      </c>
      <c r="C744" s="148" t="s">
        <v>2060</v>
      </c>
      <c r="D744" s="148" t="s">
        <v>594</v>
      </c>
      <c r="E744" s="148" t="s">
        <v>604</v>
      </c>
      <c r="F744" s="149">
        <v>19</v>
      </c>
      <c r="G744" s="148" t="s">
        <v>591</v>
      </c>
      <c r="H744" s="150">
        <v>2104.1999999999998</v>
      </c>
      <c r="I744" s="151">
        <v>2104.1999999999998</v>
      </c>
    </row>
    <row r="745" spans="1:9" ht="15" customHeight="1" x14ac:dyDescent="0.25">
      <c r="A745" s="148">
        <v>16020</v>
      </c>
      <c r="B745" s="148" t="s">
        <v>251</v>
      </c>
      <c r="C745" s="148" t="s">
        <v>2061</v>
      </c>
      <c r="D745" s="148" t="s">
        <v>594</v>
      </c>
      <c r="E745" s="148" t="s">
        <v>604</v>
      </c>
      <c r="F745" s="149">
        <v>200</v>
      </c>
      <c r="G745" s="148" t="s">
        <v>591</v>
      </c>
      <c r="H745" s="150">
        <v>22124.03</v>
      </c>
      <c r="I745" s="151">
        <v>22124.03</v>
      </c>
    </row>
    <row r="746" spans="1:9" ht="15" customHeight="1" x14ac:dyDescent="0.25">
      <c r="A746" s="148">
        <v>16021</v>
      </c>
      <c r="B746" s="148" t="s">
        <v>2062</v>
      </c>
      <c r="C746" s="148" t="s">
        <v>2063</v>
      </c>
      <c r="D746" s="148" t="s">
        <v>594</v>
      </c>
      <c r="E746" s="148" t="s">
        <v>604</v>
      </c>
      <c r="F746" s="149">
        <v>1</v>
      </c>
      <c r="G746" s="148" t="s">
        <v>591</v>
      </c>
      <c r="H746" s="150">
        <v>102.4</v>
      </c>
      <c r="I746" s="151">
        <f>H746*1000</f>
        <v>102400</v>
      </c>
    </row>
    <row r="747" spans="1:9" ht="15" customHeight="1" x14ac:dyDescent="0.25">
      <c r="A747" s="148">
        <v>16022</v>
      </c>
      <c r="B747" s="148" t="s">
        <v>252</v>
      </c>
      <c r="C747" s="148" t="s">
        <v>2064</v>
      </c>
      <c r="D747" s="148" t="s">
        <v>594</v>
      </c>
      <c r="E747" s="148" t="s">
        <v>604</v>
      </c>
      <c r="F747" s="149">
        <v>0.95</v>
      </c>
      <c r="G747" s="148" t="s">
        <v>591</v>
      </c>
      <c r="H747" s="150">
        <v>98.34</v>
      </c>
      <c r="I747" s="151">
        <f>H747*16</f>
        <v>1573.44</v>
      </c>
    </row>
    <row r="748" spans="1:9" ht="15" customHeight="1" x14ac:dyDescent="0.25">
      <c r="A748" s="148">
        <v>16023</v>
      </c>
      <c r="B748" s="148" t="s">
        <v>2065</v>
      </c>
      <c r="C748" s="148" t="s">
        <v>2066</v>
      </c>
      <c r="D748" s="148" t="s">
        <v>594</v>
      </c>
      <c r="E748" s="148" t="s">
        <v>604</v>
      </c>
      <c r="F748" s="149">
        <v>5</v>
      </c>
      <c r="G748" s="148" t="s">
        <v>596</v>
      </c>
      <c r="H748" s="150">
        <v>561.65</v>
      </c>
      <c r="I748" s="151">
        <f>H748*4</f>
        <v>2246.6</v>
      </c>
    </row>
    <row r="749" spans="1:9" ht="15" customHeight="1" x14ac:dyDescent="0.25">
      <c r="A749" s="148">
        <v>16024</v>
      </c>
      <c r="B749" s="148" t="s">
        <v>255</v>
      </c>
      <c r="C749" s="148" t="s">
        <v>2067</v>
      </c>
      <c r="D749" s="148" t="s">
        <v>594</v>
      </c>
      <c r="E749" s="148" t="s">
        <v>604</v>
      </c>
      <c r="F749" s="149">
        <v>19</v>
      </c>
      <c r="G749" s="148" t="s">
        <v>591</v>
      </c>
      <c r="H749" s="150">
        <v>2104.9699999999998</v>
      </c>
      <c r="I749" s="151">
        <v>2104.9699999999998</v>
      </c>
    </row>
    <row r="750" spans="1:9" ht="15" customHeight="1" x14ac:dyDescent="0.25">
      <c r="A750" s="148">
        <v>16025</v>
      </c>
      <c r="B750" s="148" t="s">
        <v>256</v>
      </c>
      <c r="C750" s="148" t="s">
        <v>2068</v>
      </c>
      <c r="D750" s="148" t="s">
        <v>594</v>
      </c>
      <c r="E750" s="148" t="s">
        <v>604</v>
      </c>
      <c r="F750" s="149">
        <v>200</v>
      </c>
      <c r="G750" s="148" t="s">
        <v>591</v>
      </c>
      <c r="H750" s="150">
        <v>22132.32</v>
      </c>
      <c r="I750" s="151">
        <v>22132.32</v>
      </c>
    </row>
    <row r="751" spans="1:9" ht="15" customHeight="1" x14ac:dyDescent="0.25">
      <c r="A751" s="148">
        <v>16027</v>
      </c>
      <c r="B751" s="148" t="s">
        <v>2069</v>
      </c>
      <c r="C751" s="148" t="s">
        <v>2070</v>
      </c>
      <c r="D751" s="148" t="s">
        <v>589</v>
      </c>
      <c r="E751" s="148" t="s">
        <v>2071</v>
      </c>
      <c r="F751" s="149">
        <v>1</v>
      </c>
      <c r="G751" s="148" t="s">
        <v>591</v>
      </c>
      <c r="H751" s="150">
        <v>83.48</v>
      </c>
      <c r="I751" s="151">
        <f>H751*1000</f>
        <v>83480</v>
      </c>
    </row>
    <row r="752" spans="1:9" ht="15" customHeight="1" x14ac:dyDescent="0.25">
      <c r="A752" s="148">
        <v>16028</v>
      </c>
      <c r="B752" s="148" t="s">
        <v>2072</v>
      </c>
      <c r="C752" s="148" t="s">
        <v>2073</v>
      </c>
      <c r="D752" s="148" t="s">
        <v>589</v>
      </c>
      <c r="E752" s="148" t="s">
        <v>2071</v>
      </c>
      <c r="F752" s="149">
        <v>3.7850000000000001</v>
      </c>
      <c r="G752" s="148" t="s">
        <v>596</v>
      </c>
      <c r="H752" s="150">
        <v>353.9</v>
      </c>
      <c r="I752" s="151">
        <f>H752*4</f>
        <v>1415.6</v>
      </c>
    </row>
    <row r="753" spans="1:9" ht="15" customHeight="1" x14ac:dyDescent="0.25">
      <c r="A753" s="148">
        <v>16029</v>
      </c>
      <c r="B753" s="148" t="s">
        <v>431</v>
      </c>
      <c r="C753" s="148" t="s">
        <v>2074</v>
      </c>
      <c r="D753" s="148" t="s">
        <v>589</v>
      </c>
      <c r="E753" s="148" t="s">
        <v>2071</v>
      </c>
      <c r="F753" s="149">
        <v>200</v>
      </c>
      <c r="G753" s="148" t="s">
        <v>591</v>
      </c>
      <c r="H753" s="150">
        <v>17765.03</v>
      </c>
      <c r="I753" s="151">
        <v>17765.03</v>
      </c>
    </row>
    <row r="754" spans="1:9" ht="15" customHeight="1" x14ac:dyDescent="0.25">
      <c r="A754" s="148">
        <v>16030</v>
      </c>
      <c r="B754" s="148" t="s">
        <v>2075</v>
      </c>
      <c r="C754" s="148" t="s">
        <v>2076</v>
      </c>
      <c r="D754" s="148" t="s">
        <v>589</v>
      </c>
      <c r="E754" s="148" t="s">
        <v>627</v>
      </c>
      <c r="F754" s="149">
        <v>1</v>
      </c>
      <c r="G754" s="148" t="s">
        <v>591</v>
      </c>
      <c r="H754" s="150">
        <v>63.66</v>
      </c>
      <c r="I754" s="151">
        <f>H754*1000</f>
        <v>63660</v>
      </c>
    </row>
    <row r="755" spans="1:9" ht="15" customHeight="1" x14ac:dyDescent="0.25">
      <c r="A755" s="148">
        <v>16031</v>
      </c>
      <c r="B755" s="148" t="s">
        <v>425</v>
      </c>
      <c r="C755" s="148" t="s">
        <v>2077</v>
      </c>
      <c r="D755" s="148" t="s">
        <v>589</v>
      </c>
      <c r="E755" s="148" t="s">
        <v>627</v>
      </c>
      <c r="F755" s="149">
        <v>0.95</v>
      </c>
      <c r="G755" s="148" t="s">
        <v>591</v>
      </c>
      <c r="H755" s="150">
        <v>66.459999999999994</v>
      </c>
      <c r="I755" s="151">
        <f>H755*16</f>
        <v>1063.3599999999999</v>
      </c>
    </row>
    <row r="756" spans="1:9" ht="15" customHeight="1" x14ac:dyDescent="0.25">
      <c r="A756" s="148">
        <v>16032</v>
      </c>
      <c r="B756" s="148" t="s">
        <v>2078</v>
      </c>
      <c r="C756" s="148" t="s">
        <v>2079</v>
      </c>
      <c r="D756" s="148" t="s">
        <v>589</v>
      </c>
      <c r="E756" s="148" t="s">
        <v>627</v>
      </c>
      <c r="F756" s="149">
        <v>3.7850000000000001</v>
      </c>
      <c r="G756" s="148" t="s">
        <v>591</v>
      </c>
      <c r="H756" s="150">
        <v>286.97000000000003</v>
      </c>
      <c r="I756" s="151">
        <f>H756*4</f>
        <v>1147.8800000000001</v>
      </c>
    </row>
    <row r="757" spans="1:9" ht="15" customHeight="1" x14ac:dyDescent="0.25">
      <c r="A757" s="148">
        <v>16033</v>
      </c>
      <c r="B757" s="148" t="s">
        <v>423</v>
      </c>
      <c r="C757" s="148" t="s">
        <v>2080</v>
      </c>
      <c r="D757" s="148" t="s">
        <v>589</v>
      </c>
      <c r="E757" s="148" t="s">
        <v>627</v>
      </c>
      <c r="F757" s="149">
        <v>19</v>
      </c>
      <c r="G757" s="148" t="s">
        <v>591</v>
      </c>
      <c r="H757" s="150">
        <v>1361.22</v>
      </c>
      <c r="I757" s="151">
        <v>1361.22</v>
      </c>
    </row>
    <row r="758" spans="1:9" ht="15" customHeight="1" x14ac:dyDescent="0.25">
      <c r="A758" s="148">
        <v>16034</v>
      </c>
      <c r="B758" s="148" t="s">
        <v>424</v>
      </c>
      <c r="C758" s="148" t="s">
        <v>2081</v>
      </c>
      <c r="D758" s="148" t="s">
        <v>589</v>
      </c>
      <c r="E758" s="148" t="s">
        <v>627</v>
      </c>
      <c r="F758" s="149">
        <v>200</v>
      </c>
      <c r="G758" s="148" t="s">
        <v>591</v>
      </c>
      <c r="H758" s="150">
        <v>13801.68</v>
      </c>
      <c r="I758" s="151">
        <v>13801.68</v>
      </c>
    </row>
    <row r="759" spans="1:9" ht="15" customHeight="1" x14ac:dyDescent="0.25">
      <c r="A759" s="148">
        <v>16036</v>
      </c>
      <c r="B759" s="148" t="s">
        <v>2082</v>
      </c>
      <c r="C759" s="148" t="s">
        <v>2083</v>
      </c>
      <c r="D759" s="148" t="s">
        <v>594</v>
      </c>
      <c r="E759" s="148" t="s">
        <v>2084</v>
      </c>
      <c r="F759" s="149">
        <v>0.95</v>
      </c>
      <c r="G759" s="148" t="s">
        <v>591</v>
      </c>
      <c r="H759" s="150">
        <v>136.80000000000001</v>
      </c>
      <c r="I759" s="151">
        <f>H759*15</f>
        <v>2052</v>
      </c>
    </row>
    <row r="760" spans="1:9" ht="15" customHeight="1" x14ac:dyDescent="0.25">
      <c r="A760" s="148">
        <v>16037</v>
      </c>
      <c r="B760" s="148" t="s">
        <v>2085</v>
      </c>
      <c r="C760" s="148" t="s">
        <v>2086</v>
      </c>
      <c r="D760" s="148" t="s">
        <v>594</v>
      </c>
      <c r="E760" s="148" t="s">
        <v>2084</v>
      </c>
      <c r="F760" s="149">
        <v>19</v>
      </c>
      <c r="G760" s="148" t="s">
        <v>596</v>
      </c>
      <c r="H760" s="150">
        <v>2668.96</v>
      </c>
      <c r="I760" s="151">
        <v>2668.96</v>
      </c>
    </row>
    <row r="761" spans="1:9" ht="15" customHeight="1" x14ac:dyDescent="0.25">
      <c r="A761" s="148">
        <v>16038</v>
      </c>
      <c r="B761" s="148" t="s">
        <v>2087</v>
      </c>
      <c r="C761" s="148" t="s">
        <v>2088</v>
      </c>
      <c r="D761" s="148" t="s">
        <v>594</v>
      </c>
      <c r="E761" s="148" t="s">
        <v>2084</v>
      </c>
      <c r="F761" s="149">
        <v>200</v>
      </c>
      <c r="G761" s="148" t="s">
        <v>596</v>
      </c>
      <c r="H761" s="150">
        <v>27621.47</v>
      </c>
      <c r="I761" s="151">
        <v>27621.47</v>
      </c>
    </row>
    <row r="762" spans="1:9" ht="15" customHeight="1" x14ac:dyDescent="0.25">
      <c r="A762" s="148">
        <v>16040</v>
      </c>
      <c r="B762" s="148" t="s">
        <v>2089</v>
      </c>
      <c r="C762" s="148" t="s">
        <v>2090</v>
      </c>
      <c r="D762" s="148" t="s">
        <v>594</v>
      </c>
      <c r="E762" s="148" t="s">
        <v>2091</v>
      </c>
      <c r="F762" s="149">
        <v>0.95</v>
      </c>
      <c r="G762" s="148" t="s">
        <v>591</v>
      </c>
      <c r="H762" s="150">
        <v>167.78</v>
      </c>
      <c r="I762" s="151">
        <f>H762*15</f>
        <v>2516.6999999999998</v>
      </c>
    </row>
    <row r="763" spans="1:9" ht="15" customHeight="1" x14ac:dyDescent="0.25">
      <c r="A763" s="148">
        <v>16041</v>
      </c>
      <c r="B763" s="148" t="s">
        <v>2092</v>
      </c>
      <c r="C763" s="148" t="s">
        <v>2093</v>
      </c>
      <c r="D763" s="148" t="s">
        <v>594</v>
      </c>
      <c r="E763" s="148" t="s">
        <v>2084</v>
      </c>
      <c r="F763" s="149">
        <v>19</v>
      </c>
      <c r="G763" s="148" t="s">
        <v>596</v>
      </c>
      <c r="H763" s="150">
        <v>3065.86</v>
      </c>
      <c r="I763" s="151">
        <v>3065.86</v>
      </c>
    </row>
    <row r="764" spans="1:9" ht="15" customHeight="1" x14ac:dyDescent="0.25">
      <c r="A764" s="148">
        <v>16042</v>
      </c>
      <c r="B764" s="148" t="s">
        <v>2094</v>
      </c>
      <c r="C764" s="148" t="s">
        <v>2095</v>
      </c>
      <c r="D764" s="148" t="s">
        <v>594</v>
      </c>
      <c r="E764" s="148" t="s">
        <v>2084</v>
      </c>
      <c r="F764" s="149">
        <v>200</v>
      </c>
      <c r="G764" s="148" t="s">
        <v>596</v>
      </c>
      <c r="H764" s="150">
        <v>32126.68</v>
      </c>
      <c r="I764" s="151">
        <v>32126.68</v>
      </c>
    </row>
    <row r="765" spans="1:9" ht="15" customHeight="1" x14ac:dyDescent="0.25">
      <c r="A765" s="148">
        <v>16044</v>
      </c>
      <c r="B765" s="148" t="s">
        <v>2096</v>
      </c>
      <c r="C765" s="148" t="s">
        <v>2097</v>
      </c>
      <c r="D765" s="148" t="s">
        <v>594</v>
      </c>
      <c r="E765" s="148" t="s">
        <v>2084</v>
      </c>
      <c r="F765" s="149">
        <v>0.95</v>
      </c>
      <c r="G765" s="148" t="s">
        <v>596</v>
      </c>
      <c r="H765" s="150">
        <v>158.71</v>
      </c>
      <c r="I765" s="151">
        <f>H765*15</f>
        <v>2380.65</v>
      </c>
    </row>
    <row r="766" spans="1:9" ht="15" customHeight="1" x14ac:dyDescent="0.25">
      <c r="A766" s="148">
        <v>16045</v>
      </c>
      <c r="B766" s="148" t="s">
        <v>2098</v>
      </c>
      <c r="C766" s="148" t="s">
        <v>2099</v>
      </c>
      <c r="D766" s="148" t="s">
        <v>594</v>
      </c>
      <c r="E766" s="148" t="s">
        <v>2084</v>
      </c>
      <c r="F766" s="149">
        <v>19</v>
      </c>
      <c r="G766" s="148" t="s">
        <v>596</v>
      </c>
      <c r="H766" s="150">
        <v>2936.23</v>
      </c>
      <c r="I766" s="151">
        <v>2936.23</v>
      </c>
    </row>
    <row r="767" spans="1:9" ht="15" customHeight="1" x14ac:dyDescent="0.25">
      <c r="A767" s="148">
        <v>16046</v>
      </c>
      <c r="B767" s="148" t="s">
        <v>2100</v>
      </c>
      <c r="C767" s="148" t="s">
        <v>2101</v>
      </c>
      <c r="D767" s="148" t="s">
        <v>594</v>
      </c>
      <c r="E767" s="148" t="s">
        <v>2084</v>
      </c>
      <c r="F767" s="149">
        <v>200</v>
      </c>
      <c r="G767" s="148" t="s">
        <v>596</v>
      </c>
      <c r="H767" s="150">
        <v>30295.17</v>
      </c>
      <c r="I767" s="151">
        <v>30295.17</v>
      </c>
    </row>
    <row r="768" spans="1:9" ht="15" customHeight="1" x14ac:dyDescent="0.25">
      <c r="A768" s="148">
        <v>16048</v>
      </c>
      <c r="B768" s="148" t="s">
        <v>2102</v>
      </c>
      <c r="C768" s="148" t="s">
        <v>2103</v>
      </c>
      <c r="D768" s="148" t="s">
        <v>594</v>
      </c>
      <c r="E768" s="148" t="s">
        <v>643</v>
      </c>
      <c r="F768" s="149">
        <v>0.95</v>
      </c>
      <c r="G768" s="148" t="s">
        <v>591</v>
      </c>
      <c r="H768" s="150">
        <v>122.61</v>
      </c>
      <c r="I768" s="151">
        <f>H768*15</f>
        <v>1839.15</v>
      </c>
    </row>
    <row r="769" spans="1:9" ht="15" customHeight="1" x14ac:dyDescent="0.25">
      <c r="A769" s="148">
        <v>16049</v>
      </c>
      <c r="B769" s="148" t="s">
        <v>2104</v>
      </c>
      <c r="C769" s="148" t="s">
        <v>2105</v>
      </c>
      <c r="D769" s="148" t="s">
        <v>594</v>
      </c>
      <c r="E769" s="148" t="s">
        <v>643</v>
      </c>
      <c r="F769" s="149">
        <v>5</v>
      </c>
      <c r="G769" s="148" t="s">
        <v>596</v>
      </c>
      <c r="H769" s="150">
        <v>646.82000000000005</v>
      </c>
      <c r="I769" s="151">
        <f>H769*4</f>
        <v>2587.2800000000002</v>
      </c>
    </row>
    <row r="770" spans="1:9" ht="15" customHeight="1" x14ac:dyDescent="0.25">
      <c r="A770" s="148">
        <v>16050</v>
      </c>
      <c r="B770" s="148" t="s">
        <v>2106</v>
      </c>
      <c r="C770" s="148" t="s">
        <v>2107</v>
      </c>
      <c r="D770" s="148" t="s">
        <v>594</v>
      </c>
      <c r="E770" s="148" t="s">
        <v>643</v>
      </c>
      <c r="F770" s="149">
        <v>19</v>
      </c>
      <c r="G770" s="148" t="s">
        <v>596</v>
      </c>
      <c r="H770" s="150">
        <v>2391.6</v>
      </c>
      <c r="I770" s="151">
        <v>2391.6</v>
      </c>
    </row>
    <row r="771" spans="1:9" ht="15" customHeight="1" x14ac:dyDescent="0.25">
      <c r="A771" s="148">
        <v>16051</v>
      </c>
      <c r="B771" s="148" t="s">
        <v>2108</v>
      </c>
      <c r="C771" s="148" t="s">
        <v>2109</v>
      </c>
      <c r="D771" s="148" t="s">
        <v>594</v>
      </c>
      <c r="E771" s="148" t="s">
        <v>643</v>
      </c>
      <c r="F771" s="149">
        <v>200</v>
      </c>
      <c r="G771" s="148" t="s">
        <v>591</v>
      </c>
      <c r="H771" s="150">
        <v>25250.05</v>
      </c>
      <c r="I771" s="151">
        <v>25250.05</v>
      </c>
    </row>
    <row r="772" spans="1:9" ht="15" customHeight="1" x14ac:dyDescent="0.25">
      <c r="A772" s="148">
        <v>16053</v>
      </c>
      <c r="B772" s="148" t="s">
        <v>2110</v>
      </c>
      <c r="C772" s="148" t="s">
        <v>2111</v>
      </c>
      <c r="D772" s="148" t="s">
        <v>594</v>
      </c>
      <c r="E772" s="148" t="s">
        <v>643</v>
      </c>
      <c r="F772" s="149">
        <v>0.95</v>
      </c>
      <c r="G772" s="148" t="s">
        <v>596</v>
      </c>
      <c r="H772" s="150">
        <v>114.44</v>
      </c>
      <c r="I772" s="151">
        <f>H772*15</f>
        <v>1716.6</v>
      </c>
    </row>
    <row r="773" spans="1:9" ht="15" customHeight="1" x14ac:dyDescent="0.25">
      <c r="A773" s="148">
        <v>16054</v>
      </c>
      <c r="B773" s="148" t="s">
        <v>2112</v>
      </c>
      <c r="C773" s="148" t="s">
        <v>2113</v>
      </c>
      <c r="D773" s="148" t="s">
        <v>594</v>
      </c>
      <c r="E773" s="148" t="s">
        <v>643</v>
      </c>
      <c r="F773" s="149">
        <v>5</v>
      </c>
      <c r="G773" s="148" t="s">
        <v>591</v>
      </c>
      <c r="H773" s="150">
        <v>603.79</v>
      </c>
      <c r="I773" s="151">
        <f>H773*4</f>
        <v>2415.16</v>
      </c>
    </row>
    <row r="774" spans="1:9" ht="15" customHeight="1" x14ac:dyDescent="0.25">
      <c r="A774" s="148">
        <v>16058</v>
      </c>
      <c r="B774" s="148" t="s">
        <v>2114</v>
      </c>
      <c r="C774" s="148" t="s">
        <v>2115</v>
      </c>
      <c r="D774" s="148" t="s">
        <v>594</v>
      </c>
      <c r="E774" s="148" t="s">
        <v>643</v>
      </c>
      <c r="F774" s="149">
        <v>0.95</v>
      </c>
      <c r="G774" s="148" t="s">
        <v>596</v>
      </c>
      <c r="H774" s="150">
        <v>107.78</v>
      </c>
      <c r="I774" s="151">
        <f>H774*15</f>
        <v>1616.7</v>
      </c>
    </row>
    <row r="775" spans="1:9" ht="15" customHeight="1" x14ac:dyDescent="0.25">
      <c r="A775" s="148">
        <v>16059</v>
      </c>
      <c r="B775" s="148" t="s">
        <v>2116</v>
      </c>
      <c r="C775" s="148" t="s">
        <v>2117</v>
      </c>
      <c r="D775" s="148" t="s">
        <v>594</v>
      </c>
      <c r="E775" s="148" t="s">
        <v>643</v>
      </c>
      <c r="F775" s="149">
        <v>5</v>
      </c>
      <c r="G775" s="148" t="s">
        <v>596</v>
      </c>
      <c r="H775" s="150">
        <v>568.14</v>
      </c>
      <c r="I775" s="151">
        <f>H775*4</f>
        <v>2272.56</v>
      </c>
    </row>
    <row r="776" spans="1:9" ht="15" customHeight="1" x14ac:dyDescent="0.25">
      <c r="A776" s="148">
        <v>16061</v>
      </c>
      <c r="B776" s="148" t="s">
        <v>2118</v>
      </c>
      <c r="C776" s="148" t="s">
        <v>2119</v>
      </c>
      <c r="D776" s="148" t="s">
        <v>594</v>
      </c>
      <c r="E776" s="148" t="s">
        <v>643</v>
      </c>
      <c r="F776" s="149">
        <v>200</v>
      </c>
      <c r="G776" s="148" t="s">
        <v>596</v>
      </c>
      <c r="H776" s="150">
        <v>21669.37</v>
      </c>
      <c r="I776" s="151">
        <v>21669.37</v>
      </c>
    </row>
    <row r="777" spans="1:9" ht="15" customHeight="1" x14ac:dyDescent="0.25">
      <c r="A777" s="148">
        <v>16063</v>
      </c>
      <c r="B777" s="148" t="s">
        <v>2120</v>
      </c>
      <c r="C777" s="148" t="s">
        <v>2121</v>
      </c>
      <c r="D777" s="148" t="s">
        <v>594</v>
      </c>
      <c r="E777" s="148" t="s">
        <v>643</v>
      </c>
      <c r="F777" s="149">
        <v>0.95</v>
      </c>
      <c r="G777" s="148" t="s">
        <v>596</v>
      </c>
      <c r="H777" s="150">
        <v>104.02</v>
      </c>
      <c r="I777" s="151">
        <f>H777*15</f>
        <v>1560.3</v>
      </c>
    </row>
    <row r="778" spans="1:9" ht="15" customHeight="1" x14ac:dyDescent="0.25">
      <c r="A778" s="148">
        <v>16064</v>
      </c>
      <c r="B778" s="148" t="s">
        <v>2122</v>
      </c>
      <c r="C778" s="148" t="s">
        <v>2123</v>
      </c>
      <c r="D778" s="148" t="s">
        <v>594</v>
      </c>
      <c r="E778" s="148" t="s">
        <v>643</v>
      </c>
      <c r="F778" s="149">
        <v>5</v>
      </c>
      <c r="G778" s="148" t="s">
        <v>596</v>
      </c>
      <c r="H778" s="150">
        <v>548.75</v>
      </c>
      <c r="I778" s="151">
        <f>H778*4</f>
        <v>2195</v>
      </c>
    </row>
    <row r="779" spans="1:9" ht="15" customHeight="1" x14ac:dyDescent="0.25">
      <c r="A779" s="148">
        <v>16065</v>
      </c>
      <c r="B779" s="148" t="s">
        <v>2124</v>
      </c>
      <c r="C779" s="148" t="s">
        <v>2125</v>
      </c>
      <c r="D779" s="148" t="s">
        <v>594</v>
      </c>
      <c r="E779" s="148" t="s">
        <v>759</v>
      </c>
      <c r="F779" s="149">
        <v>19</v>
      </c>
      <c r="G779" s="148" t="s">
        <v>596</v>
      </c>
      <c r="H779" s="150">
        <v>1985.51</v>
      </c>
      <c r="I779" s="151">
        <v>1985.51</v>
      </c>
    </row>
    <row r="780" spans="1:9" ht="15" customHeight="1" x14ac:dyDescent="0.25">
      <c r="A780" s="148">
        <v>16069</v>
      </c>
      <c r="B780" s="148" t="s">
        <v>2126</v>
      </c>
      <c r="C780" s="148" t="s">
        <v>2127</v>
      </c>
      <c r="D780" s="148" t="s">
        <v>594</v>
      </c>
      <c r="E780" s="148" t="s">
        <v>2128</v>
      </c>
      <c r="F780" s="149">
        <v>5</v>
      </c>
      <c r="G780" s="148" t="s">
        <v>591</v>
      </c>
      <c r="H780" s="150">
        <v>653.75</v>
      </c>
      <c r="I780" s="151">
        <f>H780*4</f>
        <v>2615</v>
      </c>
    </row>
    <row r="781" spans="1:9" ht="15" customHeight="1" x14ac:dyDescent="0.25">
      <c r="A781" s="148">
        <v>16070</v>
      </c>
      <c r="B781" s="148" t="s">
        <v>2129</v>
      </c>
      <c r="C781" s="148" t="s">
        <v>2130</v>
      </c>
      <c r="D781" s="148" t="s">
        <v>594</v>
      </c>
      <c r="E781" s="148" t="s">
        <v>2128</v>
      </c>
      <c r="F781" s="149">
        <v>19</v>
      </c>
      <c r="G781" s="148" t="s">
        <v>591</v>
      </c>
      <c r="H781" s="150">
        <v>2415.38</v>
      </c>
      <c r="I781" s="151">
        <v>2415.38</v>
      </c>
    </row>
    <row r="782" spans="1:9" ht="15" customHeight="1" x14ac:dyDescent="0.25">
      <c r="A782" s="148">
        <v>16071</v>
      </c>
      <c r="B782" s="148" t="s">
        <v>2131</v>
      </c>
      <c r="C782" s="148" t="s">
        <v>2132</v>
      </c>
      <c r="D782" s="148" t="s">
        <v>594</v>
      </c>
      <c r="E782" s="148" t="s">
        <v>2128</v>
      </c>
      <c r="F782" s="149">
        <v>200</v>
      </c>
      <c r="G782" s="148" t="s">
        <v>596</v>
      </c>
      <c r="H782" s="150">
        <v>25496.400000000001</v>
      </c>
      <c r="I782" s="151">
        <v>25496.400000000001</v>
      </c>
    </row>
    <row r="783" spans="1:9" ht="15" customHeight="1" x14ac:dyDescent="0.25">
      <c r="A783" s="148">
        <v>16076</v>
      </c>
      <c r="B783" s="148" t="s">
        <v>2133</v>
      </c>
      <c r="C783" s="148" t="s">
        <v>2134</v>
      </c>
      <c r="D783" s="148" t="s">
        <v>630</v>
      </c>
      <c r="E783" s="148" t="s">
        <v>830</v>
      </c>
      <c r="F783" s="149">
        <v>0.95</v>
      </c>
      <c r="G783" s="148" t="s">
        <v>596</v>
      </c>
      <c r="H783" s="150">
        <v>87.37</v>
      </c>
      <c r="I783" s="151">
        <f>H783*16</f>
        <v>1397.92</v>
      </c>
    </row>
    <row r="784" spans="1:9" ht="15" customHeight="1" x14ac:dyDescent="0.25">
      <c r="A784" s="148">
        <v>16077</v>
      </c>
      <c r="B784" s="148" t="s">
        <v>2135</v>
      </c>
      <c r="C784" s="148" t="s">
        <v>2136</v>
      </c>
      <c r="D784" s="148" t="s">
        <v>630</v>
      </c>
      <c r="E784" s="148" t="s">
        <v>631</v>
      </c>
      <c r="F784" s="149">
        <v>0.95</v>
      </c>
      <c r="G784" s="148" t="s">
        <v>591</v>
      </c>
      <c r="H784" s="150">
        <v>83.83</v>
      </c>
      <c r="I784" s="151">
        <f>H784*16</f>
        <v>1341.28</v>
      </c>
    </row>
    <row r="785" spans="1:9" ht="15" customHeight="1" x14ac:dyDescent="0.25">
      <c r="A785" s="148">
        <v>16078</v>
      </c>
      <c r="B785" s="148" t="s">
        <v>2137</v>
      </c>
      <c r="C785" s="148" t="s">
        <v>2138</v>
      </c>
      <c r="D785" s="148" t="s">
        <v>630</v>
      </c>
      <c r="E785" s="148" t="s">
        <v>631</v>
      </c>
      <c r="F785" s="149">
        <v>0.95</v>
      </c>
      <c r="G785" s="148" t="s">
        <v>596</v>
      </c>
      <c r="H785" s="150">
        <v>81.900000000000006</v>
      </c>
      <c r="I785" s="151">
        <f>H785*16</f>
        <v>1310.4000000000001</v>
      </c>
    </row>
    <row r="786" spans="1:9" ht="15" customHeight="1" x14ac:dyDescent="0.25">
      <c r="A786" s="148">
        <v>16081</v>
      </c>
      <c r="B786" s="148" t="s">
        <v>426</v>
      </c>
      <c r="C786" s="148" t="s">
        <v>2139</v>
      </c>
      <c r="D786" s="148" t="s">
        <v>589</v>
      </c>
      <c r="E786" s="148" t="s">
        <v>627</v>
      </c>
      <c r="F786" s="149">
        <v>3.7850000000000001</v>
      </c>
      <c r="G786" s="148" t="s">
        <v>591</v>
      </c>
      <c r="H786" s="150">
        <v>263.70999999999998</v>
      </c>
      <c r="I786" s="151">
        <f>H786*4</f>
        <v>1054.8399999999999</v>
      </c>
    </row>
    <row r="787" spans="1:9" ht="15" customHeight="1" x14ac:dyDescent="0.25">
      <c r="A787" s="148">
        <v>16082</v>
      </c>
      <c r="B787" s="148" t="s">
        <v>427</v>
      </c>
      <c r="C787" s="148" t="s">
        <v>2140</v>
      </c>
      <c r="D787" s="148" t="s">
        <v>589</v>
      </c>
      <c r="E787" s="148" t="s">
        <v>598</v>
      </c>
      <c r="F787" s="149">
        <v>3.7850000000000001</v>
      </c>
      <c r="G787" s="148" t="s">
        <v>591</v>
      </c>
      <c r="H787" s="150">
        <v>215.22</v>
      </c>
      <c r="I787" s="151">
        <f>H787*4</f>
        <v>860.88</v>
      </c>
    </row>
    <row r="788" spans="1:9" ht="15" customHeight="1" x14ac:dyDescent="0.25">
      <c r="A788" s="148">
        <v>16083</v>
      </c>
      <c r="B788" s="148" t="s">
        <v>419</v>
      </c>
      <c r="C788" s="148" t="s">
        <v>2141</v>
      </c>
      <c r="D788" s="148" t="s">
        <v>589</v>
      </c>
      <c r="E788" s="148" t="s">
        <v>590</v>
      </c>
      <c r="F788" s="149">
        <v>3.7850000000000001</v>
      </c>
      <c r="G788" s="148" t="s">
        <v>591</v>
      </c>
      <c r="H788" s="150">
        <v>174.2</v>
      </c>
      <c r="I788" s="151">
        <f>H788*4</f>
        <v>696.8</v>
      </c>
    </row>
    <row r="789" spans="1:9" ht="15" customHeight="1" x14ac:dyDescent="0.25">
      <c r="A789" s="148">
        <v>16088</v>
      </c>
      <c r="B789" s="148" t="s">
        <v>2142</v>
      </c>
      <c r="C789" s="148" t="s">
        <v>2143</v>
      </c>
      <c r="D789" s="148" t="s">
        <v>594</v>
      </c>
      <c r="E789" s="148" t="s">
        <v>2084</v>
      </c>
      <c r="F789" s="149">
        <v>0.95</v>
      </c>
      <c r="G789" s="148" t="s">
        <v>596</v>
      </c>
      <c r="H789" s="150">
        <v>138.13999999999999</v>
      </c>
      <c r="I789" s="151">
        <f>H789*15</f>
        <v>2072.1</v>
      </c>
    </row>
    <row r="790" spans="1:9" ht="15" customHeight="1" x14ac:dyDescent="0.25">
      <c r="A790" s="148">
        <v>16104</v>
      </c>
      <c r="B790" s="148" t="s">
        <v>2144</v>
      </c>
      <c r="C790" s="148" t="s">
        <v>2145</v>
      </c>
      <c r="D790" s="148" t="s">
        <v>630</v>
      </c>
      <c r="E790" s="148" t="s">
        <v>830</v>
      </c>
      <c r="F790" s="149">
        <v>4</v>
      </c>
      <c r="G790" s="148" t="s">
        <v>596</v>
      </c>
      <c r="H790" s="150">
        <v>359.55</v>
      </c>
      <c r="I790" s="151">
        <f>H790*4</f>
        <v>1438.2</v>
      </c>
    </row>
    <row r="791" spans="1:9" ht="15" customHeight="1" x14ac:dyDescent="0.25">
      <c r="A791" s="148">
        <v>16106</v>
      </c>
      <c r="B791" s="148" t="s">
        <v>2146</v>
      </c>
      <c r="C791" s="148" t="s">
        <v>2147</v>
      </c>
      <c r="D791" s="148" t="s">
        <v>630</v>
      </c>
      <c r="E791" s="148" t="s">
        <v>631</v>
      </c>
      <c r="F791" s="149">
        <v>4</v>
      </c>
      <c r="G791" s="148" t="s">
        <v>591</v>
      </c>
      <c r="H791" s="150">
        <v>349.78</v>
      </c>
      <c r="I791" s="151">
        <f>H791*4</f>
        <v>1399.12</v>
      </c>
    </row>
    <row r="792" spans="1:9" ht="15" customHeight="1" x14ac:dyDescent="0.25">
      <c r="A792" s="148">
        <v>16110</v>
      </c>
      <c r="B792" s="148" t="s">
        <v>2148</v>
      </c>
      <c r="C792" s="148" t="s">
        <v>2149</v>
      </c>
      <c r="D792" s="148" t="s">
        <v>594</v>
      </c>
      <c r="E792" s="148" t="s">
        <v>776</v>
      </c>
      <c r="F792" s="149">
        <v>0.95</v>
      </c>
      <c r="G792" s="148" t="s">
        <v>591</v>
      </c>
      <c r="H792" s="150">
        <v>118.61</v>
      </c>
      <c r="I792" s="151">
        <f>H792*15</f>
        <v>1779.15</v>
      </c>
    </row>
    <row r="793" spans="1:9" ht="15" customHeight="1" x14ac:dyDescent="0.25">
      <c r="A793" s="148">
        <v>16111</v>
      </c>
      <c r="B793" s="148" t="s">
        <v>2150</v>
      </c>
      <c r="C793" s="148" t="s">
        <v>2151</v>
      </c>
      <c r="D793" s="148" t="s">
        <v>594</v>
      </c>
      <c r="E793" s="148" t="s">
        <v>776</v>
      </c>
      <c r="F793" s="149">
        <v>0.95</v>
      </c>
      <c r="G793" s="148" t="s">
        <v>591</v>
      </c>
      <c r="H793" s="150">
        <v>140.33000000000001</v>
      </c>
      <c r="I793" s="151">
        <f>H793*15</f>
        <v>2104.9500000000003</v>
      </c>
    </row>
    <row r="794" spans="1:9" ht="15" customHeight="1" x14ac:dyDescent="0.25">
      <c r="A794" s="148">
        <v>16112</v>
      </c>
      <c r="B794" s="148" t="s">
        <v>2152</v>
      </c>
      <c r="C794" s="148" t="s">
        <v>2153</v>
      </c>
      <c r="D794" s="148" t="s">
        <v>594</v>
      </c>
      <c r="E794" s="148" t="s">
        <v>776</v>
      </c>
      <c r="F794" s="149">
        <v>0.95</v>
      </c>
      <c r="G794" s="148" t="s">
        <v>591</v>
      </c>
      <c r="H794" s="150">
        <v>109.34</v>
      </c>
      <c r="I794" s="151">
        <f>H794*15</f>
        <v>1640.1000000000001</v>
      </c>
    </row>
    <row r="795" spans="1:9" ht="15" customHeight="1" x14ac:dyDescent="0.25">
      <c r="A795" s="148">
        <v>16113</v>
      </c>
      <c r="B795" s="148" t="s">
        <v>2154</v>
      </c>
      <c r="C795" s="148" t="s">
        <v>2155</v>
      </c>
      <c r="D795" s="148" t="s">
        <v>594</v>
      </c>
      <c r="E795" s="148" t="s">
        <v>674</v>
      </c>
      <c r="F795" s="149">
        <v>0.95</v>
      </c>
      <c r="G795" s="148" t="s">
        <v>591</v>
      </c>
      <c r="H795" s="150">
        <v>113.38</v>
      </c>
      <c r="I795" s="151">
        <f>H795*15</f>
        <v>1700.6999999999998</v>
      </c>
    </row>
    <row r="796" spans="1:9" ht="15" customHeight="1" x14ac:dyDescent="0.25">
      <c r="A796" s="148">
        <v>16115</v>
      </c>
      <c r="B796" s="148" t="s">
        <v>2156</v>
      </c>
      <c r="C796" s="148" t="s">
        <v>2157</v>
      </c>
      <c r="D796" s="148" t="s">
        <v>594</v>
      </c>
      <c r="E796" s="148" t="s">
        <v>776</v>
      </c>
      <c r="F796" s="149">
        <v>200</v>
      </c>
      <c r="G796" s="148" t="s">
        <v>591</v>
      </c>
      <c r="H796" s="150">
        <v>24141.11</v>
      </c>
      <c r="I796" s="151">
        <v>24141.11</v>
      </c>
    </row>
    <row r="797" spans="1:9" ht="15" customHeight="1" x14ac:dyDescent="0.25">
      <c r="A797" s="148">
        <v>16116</v>
      </c>
      <c r="B797" s="148" t="s">
        <v>2158</v>
      </c>
      <c r="C797" s="148" t="s">
        <v>2159</v>
      </c>
      <c r="D797" s="148" t="s">
        <v>594</v>
      </c>
      <c r="E797" s="148" t="s">
        <v>776</v>
      </c>
      <c r="F797" s="149">
        <v>19</v>
      </c>
      <c r="G797" s="148" t="s">
        <v>591</v>
      </c>
      <c r="H797" s="150">
        <v>2741.03</v>
      </c>
      <c r="I797" s="151">
        <v>2741.03</v>
      </c>
    </row>
    <row r="798" spans="1:9" ht="15" customHeight="1" x14ac:dyDescent="0.25">
      <c r="A798" s="148">
        <v>16117</v>
      </c>
      <c r="B798" s="148" t="s">
        <v>2160</v>
      </c>
      <c r="C798" s="148" t="s">
        <v>2161</v>
      </c>
      <c r="D798" s="148" t="s">
        <v>594</v>
      </c>
      <c r="E798" s="148" t="s">
        <v>776</v>
      </c>
      <c r="F798" s="149">
        <v>200</v>
      </c>
      <c r="G798" s="148" t="s">
        <v>591</v>
      </c>
      <c r="H798" s="150">
        <v>28937.119999999999</v>
      </c>
      <c r="I798" s="151">
        <v>28937.119999999999</v>
      </c>
    </row>
    <row r="799" spans="1:9" ht="15" customHeight="1" x14ac:dyDescent="0.25">
      <c r="A799" s="148">
        <v>16118</v>
      </c>
      <c r="B799" s="148" t="s">
        <v>2162</v>
      </c>
      <c r="C799" s="148" t="s">
        <v>2163</v>
      </c>
      <c r="D799" s="148" t="s">
        <v>594</v>
      </c>
      <c r="E799" s="148" t="s">
        <v>776</v>
      </c>
      <c r="F799" s="149">
        <v>19</v>
      </c>
      <c r="G799" s="148" t="s">
        <v>591</v>
      </c>
      <c r="H799" s="150">
        <v>2741.03</v>
      </c>
      <c r="I799" s="151">
        <v>2741.03</v>
      </c>
    </row>
    <row r="800" spans="1:9" ht="15" customHeight="1" x14ac:dyDescent="0.25">
      <c r="A800" s="148">
        <v>16119</v>
      </c>
      <c r="B800" s="148" t="s">
        <v>509</v>
      </c>
      <c r="C800" s="148" t="s">
        <v>2164</v>
      </c>
      <c r="D800" s="148" t="s">
        <v>594</v>
      </c>
      <c r="E800" s="148" t="s">
        <v>776</v>
      </c>
      <c r="F800" s="149">
        <v>19</v>
      </c>
      <c r="G800" s="148" t="s">
        <v>591</v>
      </c>
      <c r="H800" s="150">
        <v>2127.5700000000002</v>
      </c>
      <c r="I800" s="151">
        <v>2127.5700000000002</v>
      </c>
    </row>
    <row r="801" spans="1:9" ht="15" customHeight="1" x14ac:dyDescent="0.25">
      <c r="A801" s="148">
        <v>16120</v>
      </c>
      <c r="B801" s="148" t="s">
        <v>2165</v>
      </c>
      <c r="C801" s="148" t="s">
        <v>2166</v>
      </c>
      <c r="D801" s="148" t="s">
        <v>594</v>
      </c>
      <c r="E801" s="148" t="s">
        <v>776</v>
      </c>
      <c r="F801" s="149">
        <v>200</v>
      </c>
      <c r="G801" s="148" t="s">
        <v>591</v>
      </c>
      <c r="H801" s="150">
        <v>22412.27</v>
      </c>
      <c r="I801" s="151">
        <v>22412.27</v>
      </c>
    </row>
    <row r="802" spans="1:9" ht="15" customHeight="1" x14ac:dyDescent="0.25">
      <c r="A802" s="148">
        <v>16122</v>
      </c>
      <c r="B802" s="148" t="s">
        <v>2167</v>
      </c>
      <c r="C802" s="148" t="s">
        <v>2168</v>
      </c>
      <c r="D802" s="148" t="s">
        <v>630</v>
      </c>
      <c r="E802" s="148" t="s">
        <v>840</v>
      </c>
      <c r="F802" s="149">
        <v>19</v>
      </c>
      <c r="G802" s="148" t="s">
        <v>596</v>
      </c>
      <c r="H802" s="150">
        <v>2291.37</v>
      </c>
      <c r="I802" s="151">
        <v>2291.37</v>
      </c>
    </row>
    <row r="803" spans="1:9" ht="15" customHeight="1" x14ac:dyDescent="0.25">
      <c r="A803" s="148">
        <v>16123</v>
      </c>
      <c r="B803" s="148" t="s">
        <v>2169</v>
      </c>
      <c r="C803" s="148" t="s">
        <v>2170</v>
      </c>
      <c r="D803" s="148" t="s">
        <v>630</v>
      </c>
      <c r="E803" s="148" t="s">
        <v>840</v>
      </c>
      <c r="F803" s="149">
        <v>200</v>
      </c>
      <c r="G803" s="148" t="s">
        <v>596</v>
      </c>
      <c r="H803" s="150">
        <v>24001.62</v>
      </c>
      <c r="I803" s="151">
        <v>24001.62</v>
      </c>
    </row>
    <row r="804" spans="1:9" ht="15" customHeight="1" x14ac:dyDescent="0.25">
      <c r="A804" s="148">
        <v>16124</v>
      </c>
      <c r="B804" s="148" t="s">
        <v>2171</v>
      </c>
      <c r="C804" s="148" t="s">
        <v>2172</v>
      </c>
      <c r="D804" s="148" t="s">
        <v>630</v>
      </c>
      <c r="E804" s="148" t="s">
        <v>840</v>
      </c>
      <c r="F804" s="149">
        <v>1</v>
      </c>
      <c r="G804" s="148" t="s">
        <v>596</v>
      </c>
      <c r="H804" s="150">
        <v>115.24</v>
      </c>
      <c r="I804" s="151">
        <f>H804*1000</f>
        <v>115240</v>
      </c>
    </row>
    <row r="805" spans="1:9" ht="15" customHeight="1" x14ac:dyDescent="0.25">
      <c r="A805" s="148">
        <v>16130</v>
      </c>
      <c r="B805" s="148" t="s">
        <v>2173</v>
      </c>
      <c r="C805" s="148" t="s">
        <v>2174</v>
      </c>
      <c r="D805" s="148" t="s">
        <v>594</v>
      </c>
      <c r="E805" s="148" t="s">
        <v>2175</v>
      </c>
      <c r="F805" s="149">
        <v>0.95</v>
      </c>
      <c r="G805" s="148" t="s">
        <v>591</v>
      </c>
      <c r="H805" s="150">
        <v>132.93</v>
      </c>
      <c r="I805" s="151">
        <f>H805*16</f>
        <v>2126.88</v>
      </c>
    </row>
    <row r="806" spans="1:9" ht="15" customHeight="1" x14ac:dyDescent="0.25">
      <c r="A806" s="148">
        <v>16132</v>
      </c>
      <c r="B806" s="148" t="s">
        <v>2176</v>
      </c>
      <c r="C806" s="148" t="s">
        <v>2177</v>
      </c>
      <c r="D806" s="148" t="s">
        <v>594</v>
      </c>
      <c r="E806" s="148" t="s">
        <v>2175</v>
      </c>
      <c r="F806" s="149">
        <v>4</v>
      </c>
      <c r="G806" s="148" t="s">
        <v>591</v>
      </c>
      <c r="H806" s="150">
        <v>551.74</v>
      </c>
      <c r="I806" s="151">
        <f>H806*4</f>
        <v>2206.96</v>
      </c>
    </row>
    <row r="807" spans="1:9" ht="15" customHeight="1" x14ac:dyDescent="0.25">
      <c r="A807" s="153">
        <v>16135</v>
      </c>
      <c r="B807" s="153" t="s">
        <v>2178</v>
      </c>
      <c r="C807" s="153" t="s">
        <v>2179</v>
      </c>
      <c r="D807" s="153" t="s">
        <v>594</v>
      </c>
      <c r="E807" s="153" t="s">
        <v>2175</v>
      </c>
      <c r="F807" s="154">
        <v>0.95</v>
      </c>
      <c r="G807" s="153" t="s">
        <v>591</v>
      </c>
      <c r="H807" s="150">
        <v>134.47</v>
      </c>
      <c r="I807" s="151">
        <f>H807*16</f>
        <v>2151.52</v>
      </c>
    </row>
    <row r="808" spans="1:9" ht="15" customHeight="1" x14ac:dyDescent="0.25">
      <c r="A808" s="148">
        <v>16137</v>
      </c>
      <c r="B808" s="148" t="s">
        <v>466</v>
      </c>
      <c r="C808" s="148" t="s">
        <v>2180</v>
      </c>
      <c r="D808" s="148" t="s">
        <v>594</v>
      </c>
      <c r="E808" s="148" t="s">
        <v>2175</v>
      </c>
      <c r="F808" s="149">
        <v>4</v>
      </c>
      <c r="G808" s="148" t="s">
        <v>591</v>
      </c>
      <c r="H808" s="150">
        <v>567.66999999999996</v>
      </c>
      <c r="I808" s="151">
        <f>H808*4</f>
        <v>2270.6799999999998</v>
      </c>
    </row>
    <row r="809" spans="1:9" ht="15" customHeight="1" x14ac:dyDescent="0.25">
      <c r="A809" s="148">
        <v>16140</v>
      </c>
      <c r="B809" s="148" t="s">
        <v>2181</v>
      </c>
      <c r="C809" s="148" t="s">
        <v>2182</v>
      </c>
      <c r="D809" s="148" t="s">
        <v>594</v>
      </c>
      <c r="E809" s="148" t="s">
        <v>2175</v>
      </c>
      <c r="F809" s="149">
        <v>0.95</v>
      </c>
      <c r="G809" s="148" t="s">
        <v>591</v>
      </c>
      <c r="H809" s="150">
        <v>180.56</v>
      </c>
      <c r="I809" s="151">
        <f>H809*16</f>
        <v>2888.96</v>
      </c>
    </row>
    <row r="810" spans="1:9" ht="15" customHeight="1" x14ac:dyDescent="0.25">
      <c r="A810" s="148">
        <v>16142</v>
      </c>
      <c r="B810" s="148" t="s">
        <v>2183</v>
      </c>
      <c r="C810" s="148" t="s">
        <v>2184</v>
      </c>
      <c r="D810" s="148" t="s">
        <v>594</v>
      </c>
      <c r="E810" s="148" t="s">
        <v>2175</v>
      </c>
      <c r="F810" s="149">
        <v>4</v>
      </c>
      <c r="G810" s="148" t="s">
        <v>591</v>
      </c>
      <c r="H810" s="150">
        <v>714.76</v>
      </c>
      <c r="I810" s="151">
        <f>H810*4</f>
        <v>2859.04</v>
      </c>
    </row>
    <row r="811" spans="1:9" ht="15" customHeight="1" x14ac:dyDescent="0.25">
      <c r="A811" s="148">
        <v>16145</v>
      </c>
      <c r="B811" s="148" t="s">
        <v>2185</v>
      </c>
      <c r="C811" s="148" t="s">
        <v>2186</v>
      </c>
      <c r="D811" s="148" t="s">
        <v>594</v>
      </c>
      <c r="E811" s="148" t="s">
        <v>2084</v>
      </c>
      <c r="F811" s="149">
        <v>0.95</v>
      </c>
      <c r="G811" s="148" t="s">
        <v>596</v>
      </c>
      <c r="H811" s="150">
        <v>137.83000000000001</v>
      </c>
      <c r="I811" s="151">
        <f>H811*6</f>
        <v>826.98</v>
      </c>
    </row>
    <row r="812" spans="1:9" ht="15" customHeight="1" x14ac:dyDescent="0.25">
      <c r="A812" s="148">
        <v>16146</v>
      </c>
      <c r="B812" s="148" t="s">
        <v>2187</v>
      </c>
      <c r="C812" s="148" t="s">
        <v>2188</v>
      </c>
      <c r="D812" s="148" t="s">
        <v>594</v>
      </c>
      <c r="E812" s="148" t="s">
        <v>2084</v>
      </c>
      <c r="F812" s="149">
        <v>0.95</v>
      </c>
      <c r="G812" s="148" t="s">
        <v>596</v>
      </c>
      <c r="H812" s="150">
        <v>159.35</v>
      </c>
      <c r="I812" s="151">
        <f>H812*6</f>
        <v>956.09999999999991</v>
      </c>
    </row>
    <row r="813" spans="1:9" ht="15" customHeight="1" x14ac:dyDescent="0.25">
      <c r="A813" s="148">
        <v>16147</v>
      </c>
      <c r="B813" s="148" t="s">
        <v>2189</v>
      </c>
      <c r="C813" s="148" t="s">
        <v>2190</v>
      </c>
      <c r="D813" s="148" t="s">
        <v>594</v>
      </c>
      <c r="E813" s="148" t="s">
        <v>2084</v>
      </c>
      <c r="F813" s="149">
        <v>0.95</v>
      </c>
      <c r="G813" s="148" t="s">
        <v>596</v>
      </c>
      <c r="H813" s="150">
        <v>150.51</v>
      </c>
      <c r="I813" s="151">
        <f>H813*6</f>
        <v>903.06</v>
      </c>
    </row>
    <row r="814" spans="1:9" ht="15" customHeight="1" x14ac:dyDescent="0.25">
      <c r="A814" s="148">
        <v>16160</v>
      </c>
      <c r="B814" s="148" t="s">
        <v>565</v>
      </c>
      <c r="C814" s="148" t="s">
        <v>2191</v>
      </c>
      <c r="D814" s="148" t="s">
        <v>600</v>
      </c>
      <c r="E814" s="148" t="s">
        <v>2029</v>
      </c>
      <c r="F814" s="149">
        <v>1</v>
      </c>
      <c r="G814" s="148" t="s">
        <v>591</v>
      </c>
      <c r="H814" s="150">
        <v>37.67</v>
      </c>
      <c r="I814" s="151">
        <f>H814*1000</f>
        <v>37670</v>
      </c>
    </row>
    <row r="815" spans="1:9" ht="15" customHeight="1" x14ac:dyDescent="0.25">
      <c r="A815" s="148">
        <v>16161</v>
      </c>
      <c r="B815" s="148" t="s">
        <v>438</v>
      </c>
      <c r="C815" s="148" t="s">
        <v>2192</v>
      </c>
      <c r="D815" s="148" t="s">
        <v>600</v>
      </c>
      <c r="E815" s="148" t="s">
        <v>2029</v>
      </c>
      <c r="F815" s="149">
        <v>19</v>
      </c>
      <c r="G815" s="148" t="s">
        <v>591</v>
      </c>
      <c r="H815" s="150">
        <v>817.17</v>
      </c>
      <c r="I815" s="151">
        <v>817.17</v>
      </c>
    </row>
    <row r="816" spans="1:9" ht="15" customHeight="1" x14ac:dyDescent="0.25">
      <c r="A816" s="148">
        <v>16162</v>
      </c>
      <c r="B816" s="148" t="s">
        <v>540</v>
      </c>
      <c r="C816" s="148" t="s">
        <v>2193</v>
      </c>
      <c r="D816" s="148" t="s">
        <v>600</v>
      </c>
      <c r="E816" s="148" t="s">
        <v>2029</v>
      </c>
      <c r="F816" s="149">
        <v>200</v>
      </c>
      <c r="G816" s="148" t="s">
        <v>591</v>
      </c>
      <c r="H816" s="150">
        <v>8707.76</v>
      </c>
      <c r="I816" s="151">
        <v>8707.76</v>
      </c>
    </row>
    <row r="817" spans="1:9" ht="15" customHeight="1" x14ac:dyDescent="0.25">
      <c r="A817" s="148">
        <v>16170</v>
      </c>
      <c r="B817" s="148" t="s">
        <v>550</v>
      </c>
      <c r="C817" s="148" t="s">
        <v>2194</v>
      </c>
      <c r="D817" s="148" t="s">
        <v>630</v>
      </c>
      <c r="E817" s="148" t="s">
        <v>2195</v>
      </c>
      <c r="F817" s="149">
        <v>1</v>
      </c>
      <c r="G817" s="148" t="s">
        <v>591</v>
      </c>
      <c r="H817" s="150">
        <v>111.04</v>
      </c>
      <c r="I817" s="151">
        <f>H817*1000</f>
        <v>111040</v>
      </c>
    </row>
    <row r="818" spans="1:9" ht="15" customHeight="1" x14ac:dyDescent="0.25">
      <c r="A818" s="148">
        <v>16172</v>
      </c>
      <c r="B818" s="148" t="s">
        <v>520</v>
      </c>
      <c r="C818" s="148" t="s">
        <v>2196</v>
      </c>
      <c r="D818" s="148" t="s">
        <v>630</v>
      </c>
      <c r="E818" s="148" t="s">
        <v>2195</v>
      </c>
      <c r="F818" s="149">
        <v>200</v>
      </c>
      <c r="G818" s="148" t="s">
        <v>591</v>
      </c>
      <c r="H818" s="150">
        <v>23851.86</v>
      </c>
      <c r="I818" s="151">
        <v>23851.86</v>
      </c>
    </row>
    <row r="819" spans="1:9" ht="15" customHeight="1" x14ac:dyDescent="0.25">
      <c r="A819" s="148">
        <v>16200</v>
      </c>
      <c r="B819" s="148" t="s">
        <v>2197</v>
      </c>
      <c r="C819" s="148" t="s">
        <v>2198</v>
      </c>
      <c r="D819" s="148" t="s">
        <v>589</v>
      </c>
      <c r="E819" s="148" t="s">
        <v>590</v>
      </c>
      <c r="F819" s="149">
        <v>0.95</v>
      </c>
      <c r="G819" s="148" t="s">
        <v>596</v>
      </c>
      <c r="H819" s="150">
        <v>43.23</v>
      </c>
      <c r="I819" s="151">
        <f>H819*16</f>
        <v>691.68</v>
      </c>
    </row>
    <row r="820" spans="1:9" ht="15" customHeight="1" x14ac:dyDescent="0.25">
      <c r="A820" s="148">
        <v>16202</v>
      </c>
      <c r="B820" s="148" t="s">
        <v>2199</v>
      </c>
      <c r="C820" s="148" t="s">
        <v>2200</v>
      </c>
      <c r="D820" s="148" t="s">
        <v>594</v>
      </c>
      <c r="E820" s="148" t="s">
        <v>595</v>
      </c>
      <c r="F820" s="149">
        <v>0.95</v>
      </c>
      <c r="G820" s="148" t="s">
        <v>591</v>
      </c>
      <c r="H820" s="150">
        <v>419.85</v>
      </c>
      <c r="I820" s="151">
        <f t="shared" ref="I820:I843" si="3">H820*4</f>
        <v>1679.4</v>
      </c>
    </row>
    <row r="821" spans="1:9" ht="15" customHeight="1" x14ac:dyDescent="0.25">
      <c r="A821" s="148">
        <v>16250</v>
      </c>
      <c r="B821" s="148" t="s">
        <v>310</v>
      </c>
      <c r="C821" s="148" t="s">
        <v>2201</v>
      </c>
      <c r="D821" s="148" t="s">
        <v>630</v>
      </c>
      <c r="E821" s="148" t="s">
        <v>830</v>
      </c>
      <c r="F821" s="149">
        <v>4</v>
      </c>
      <c r="G821" s="148" t="s">
        <v>591</v>
      </c>
      <c r="H821" s="150">
        <v>354.35</v>
      </c>
      <c r="I821" s="151">
        <f t="shared" si="3"/>
        <v>1417.4</v>
      </c>
    </row>
    <row r="822" spans="1:9" ht="15" customHeight="1" x14ac:dyDescent="0.25">
      <c r="A822" s="148">
        <v>16251</v>
      </c>
      <c r="B822" s="148" t="s">
        <v>2202</v>
      </c>
      <c r="C822" s="148" t="s">
        <v>2203</v>
      </c>
      <c r="D822" s="148" t="s">
        <v>630</v>
      </c>
      <c r="E822" s="148" t="s">
        <v>631</v>
      </c>
      <c r="F822" s="149">
        <v>4</v>
      </c>
      <c r="G822" s="148" t="s">
        <v>591</v>
      </c>
      <c r="H822" s="150">
        <v>349.68</v>
      </c>
      <c r="I822" s="151">
        <f t="shared" si="3"/>
        <v>1398.72</v>
      </c>
    </row>
    <row r="823" spans="1:9" ht="15" customHeight="1" x14ac:dyDescent="0.25">
      <c r="A823" s="148">
        <v>16254</v>
      </c>
      <c r="B823" s="148" t="s">
        <v>541</v>
      </c>
      <c r="C823" s="148" t="s">
        <v>2204</v>
      </c>
      <c r="D823" s="148" t="s">
        <v>600</v>
      </c>
      <c r="E823" s="148" t="s">
        <v>613</v>
      </c>
      <c r="F823" s="149">
        <v>3.7850000000000001</v>
      </c>
      <c r="G823" s="148" t="s">
        <v>591</v>
      </c>
      <c r="H823" s="150">
        <v>246.98</v>
      </c>
      <c r="I823" s="151">
        <f t="shared" si="3"/>
        <v>987.92</v>
      </c>
    </row>
    <row r="824" spans="1:9" ht="15" customHeight="1" x14ac:dyDescent="0.25">
      <c r="A824" s="148">
        <v>16255</v>
      </c>
      <c r="B824" s="148" t="s">
        <v>2205</v>
      </c>
      <c r="C824" s="148" t="s">
        <v>2206</v>
      </c>
      <c r="D824" s="148" t="s">
        <v>600</v>
      </c>
      <c r="E824" s="148" t="s">
        <v>613</v>
      </c>
      <c r="F824" s="149">
        <v>3.7850000000000001</v>
      </c>
      <c r="G824" s="148" t="s">
        <v>591</v>
      </c>
      <c r="H824" s="150">
        <v>192.37</v>
      </c>
      <c r="I824" s="151">
        <f t="shared" si="3"/>
        <v>769.48</v>
      </c>
    </row>
    <row r="825" spans="1:9" ht="15" customHeight="1" x14ac:dyDescent="0.25">
      <c r="A825" s="148">
        <v>16267</v>
      </c>
      <c r="B825" s="148" t="s">
        <v>552</v>
      </c>
      <c r="C825" s="148" t="s">
        <v>2207</v>
      </c>
      <c r="D825" s="148" t="s">
        <v>630</v>
      </c>
      <c r="E825" s="148" t="s">
        <v>631</v>
      </c>
      <c r="F825" s="149">
        <v>4</v>
      </c>
      <c r="G825" s="148" t="s">
        <v>591</v>
      </c>
      <c r="H825" s="150">
        <v>349.58</v>
      </c>
      <c r="I825" s="151">
        <f t="shared" si="3"/>
        <v>1398.32</v>
      </c>
    </row>
    <row r="826" spans="1:9" ht="15" customHeight="1" x14ac:dyDescent="0.25">
      <c r="A826" s="148">
        <v>16268</v>
      </c>
      <c r="B826" s="148" t="s">
        <v>304</v>
      </c>
      <c r="C826" s="148" t="s">
        <v>2208</v>
      </c>
      <c r="D826" s="148" t="s">
        <v>630</v>
      </c>
      <c r="E826" s="148" t="s">
        <v>631</v>
      </c>
      <c r="F826" s="149">
        <v>4</v>
      </c>
      <c r="G826" s="148" t="s">
        <v>591</v>
      </c>
      <c r="H826" s="150">
        <v>349.48</v>
      </c>
      <c r="I826" s="151">
        <f t="shared" si="3"/>
        <v>1397.92</v>
      </c>
    </row>
    <row r="827" spans="1:9" ht="15" customHeight="1" x14ac:dyDescent="0.25">
      <c r="A827" s="148">
        <v>16300</v>
      </c>
      <c r="B827" s="148" t="s">
        <v>314</v>
      </c>
      <c r="C827" s="148" t="s">
        <v>2209</v>
      </c>
      <c r="D827" s="148" t="s">
        <v>630</v>
      </c>
      <c r="E827" s="148" t="s">
        <v>835</v>
      </c>
      <c r="F827" s="149">
        <v>5</v>
      </c>
      <c r="G827" s="148" t="s">
        <v>591</v>
      </c>
      <c r="H827" s="150">
        <v>552.29999999999995</v>
      </c>
      <c r="I827" s="151">
        <f t="shared" si="3"/>
        <v>2209.1999999999998</v>
      </c>
    </row>
    <row r="828" spans="1:9" ht="15" customHeight="1" x14ac:dyDescent="0.25">
      <c r="A828" s="148">
        <v>16301</v>
      </c>
      <c r="B828" s="148" t="s">
        <v>319</v>
      </c>
      <c r="C828" s="148" t="s">
        <v>2210</v>
      </c>
      <c r="D828" s="148" t="s">
        <v>630</v>
      </c>
      <c r="E828" s="148" t="s">
        <v>886</v>
      </c>
      <c r="F828" s="149">
        <v>5</v>
      </c>
      <c r="G828" s="148" t="s">
        <v>591</v>
      </c>
      <c r="H828" s="150">
        <v>547</v>
      </c>
      <c r="I828" s="151">
        <f t="shared" si="3"/>
        <v>2188</v>
      </c>
    </row>
    <row r="829" spans="1:9" ht="15" customHeight="1" x14ac:dyDescent="0.25">
      <c r="A829" s="148">
        <v>16303</v>
      </c>
      <c r="B829" s="148" t="s">
        <v>534</v>
      </c>
      <c r="C829" s="148" t="s">
        <v>2211</v>
      </c>
      <c r="D829" s="148" t="s">
        <v>589</v>
      </c>
      <c r="E829" s="148" t="s">
        <v>2071</v>
      </c>
      <c r="F829" s="149">
        <v>3.7850000000000001</v>
      </c>
      <c r="G829" s="148" t="s">
        <v>591</v>
      </c>
      <c r="H829" s="150">
        <v>353.79</v>
      </c>
      <c r="I829" s="151">
        <f t="shared" si="3"/>
        <v>1415.16</v>
      </c>
    </row>
    <row r="830" spans="1:9" ht="15" customHeight="1" x14ac:dyDescent="0.25">
      <c r="A830" s="148">
        <v>16307</v>
      </c>
      <c r="B830" s="148" t="s">
        <v>2212</v>
      </c>
      <c r="C830" s="148" t="s">
        <v>2213</v>
      </c>
      <c r="D830" s="148" t="s">
        <v>594</v>
      </c>
      <c r="E830" s="148" t="s">
        <v>2214</v>
      </c>
      <c r="F830" s="149">
        <v>5</v>
      </c>
      <c r="G830" s="148" t="s">
        <v>591</v>
      </c>
      <c r="H830" s="150">
        <v>729.2</v>
      </c>
      <c r="I830" s="151">
        <f t="shared" si="3"/>
        <v>2916.8</v>
      </c>
    </row>
    <row r="831" spans="1:9" ht="15" customHeight="1" x14ac:dyDescent="0.25">
      <c r="A831" s="148">
        <v>16308</v>
      </c>
      <c r="B831" s="148" t="s">
        <v>2215</v>
      </c>
      <c r="C831" s="148" t="s">
        <v>2216</v>
      </c>
      <c r="D831" s="148" t="s">
        <v>594</v>
      </c>
      <c r="E831" s="148" t="s">
        <v>2214</v>
      </c>
      <c r="F831" s="149">
        <v>5</v>
      </c>
      <c r="G831" s="148" t="s">
        <v>591</v>
      </c>
      <c r="H831" s="150">
        <v>664.65</v>
      </c>
      <c r="I831" s="151">
        <f t="shared" si="3"/>
        <v>2658.6</v>
      </c>
    </row>
    <row r="832" spans="1:9" ht="15" customHeight="1" x14ac:dyDescent="0.25">
      <c r="A832" s="148">
        <v>16309</v>
      </c>
      <c r="B832" s="148" t="s">
        <v>2217</v>
      </c>
      <c r="C832" s="148" t="s">
        <v>2218</v>
      </c>
      <c r="D832" s="148" t="s">
        <v>594</v>
      </c>
      <c r="E832" s="148" t="s">
        <v>2214</v>
      </c>
      <c r="F832" s="149">
        <v>5</v>
      </c>
      <c r="G832" s="148" t="s">
        <v>596</v>
      </c>
      <c r="H832" s="150">
        <v>641.89</v>
      </c>
      <c r="I832" s="151">
        <f t="shared" si="3"/>
        <v>2567.56</v>
      </c>
    </row>
    <row r="833" spans="1:9" ht="15" customHeight="1" x14ac:dyDescent="0.25">
      <c r="A833" s="148">
        <v>16310</v>
      </c>
      <c r="B833" s="148" t="s">
        <v>307</v>
      </c>
      <c r="C833" s="148" t="s">
        <v>2219</v>
      </c>
      <c r="D833" s="148" t="s">
        <v>630</v>
      </c>
      <c r="E833" s="148" t="s">
        <v>830</v>
      </c>
      <c r="F833" s="149">
        <v>5</v>
      </c>
      <c r="G833" s="148" t="s">
        <v>591</v>
      </c>
      <c r="H833" s="150">
        <v>464.57</v>
      </c>
      <c r="I833" s="151">
        <f t="shared" si="3"/>
        <v>1858.28</v>
      </c>
    </row>
    <row r="834" spans="1:9" ht="15" customHeight="1" x14ac:dyDescent="0.25">
      <c r="A834" s="148">
        <v>16311</v>
      </c>
      <c r="B834" s="148" t="s">
        <v>311</v>
      </c>
      <c r="C834" s="148" t="s">
        <v>2220</v>
      </c>
      <c r="D834" s="148" t="s">
        <v>630</v>
      </c>
      <c r="E834" s="148" t="s">
        <v>830</v>
      </c>
      <c r="F834" s="149">
        <v>5</v>
      </c>
      <c r="G834" s="148" t="s">
        <v>591</v>
      </c>
      <c r="H834" s="150">
        <v>473.95</v>
      </c>
      <c r="I834" s="151">
        <f t="shared" si="3"/>
        <v>1895.8</v>
      </c>
    </row>
    <row r="835" spans="1:9" ht="15" customHeight="1" x14ac:dyDescent="0.25">
      <c r="A835" s="148">
        <v>16312</v>
      </c>
      <c r="B835" s="148" t="s">
        <v>2221</v>
      </c>
      <c r="C835" s="148" t="s">
        <v>2222</v>
      </c>
      <c r="D835" s="148" t="s">
        <v>594</v>
      </c>
      <c r="E835" s="148" t="s">
        <v>2214</v>
      </c>
      <c r="F835" s="149">
        <v>5</v>
      </c>
      <c r="G835" s="148" t="s">
        <v>596</v>
      </c>
      <c r="H835" s="150">
        <v>688.39</v>
      </c>
      <c r="I835" s="151">
        <f t="shared" si="3"/>
        <v>2753.56</v>
      </c>
    </row>
    <row r="836" spans="1:9" ht="15" customHeight="1" x14ac:dyDescent="0.25">
      <c r="A836" s="148">
        <v>16313</v>
      </c>
      <c r="B836" s="148" t="s">
        <v>265</v>
      </c>
      <c r="C836" s="148" t="s">
        <v>2223</v>
      </c>
      <c r="D836" s="148" t="s">
        <v>594</v>
      </c>
      <c r="E836" s="148" t="s">
        <v>595</v>
      </c>
      <c r="F836" s="149">
        <v>5</v>
      </c>
      <c r="G836" s="148" t="s">
        <v>591</v>
      </c>
      <c r="H836" s="150">
        <v>533.01</v>
      </c>
      <c r="I836" s="151">
        <f t="shared" si="3"/>
        <v>2132.04</v>
      </c>
    </row>
    <row r="837" spans="1:9" ht="15" customHeight="1" x14ac:dyDescent="0.25">
      <c r="A837" s="148">
        <v>16314</v>
      </c>
      <c r="B837" s="148" t="s">
        <v>276</v>
      </c>
      <c r="C837" s="148" t="s">
        <v>2224</v>
      </c>
      <c r="D837" s="148" t="s">
        <v>594</v>
      </c>
      <c r="E837" s="148" t="s">
        <v>2214</v>
      </c>
      <c r="F837" s="149">
        <v>5</v>
      </c>
      <c r="G837" s="148" t="s">
        <v>591</v>
      </c>
      <c r="H837" s="150">
        <v>727.03</v>
      </c>
      <c r="I837" s="151">
        <f t="shared" si="3"/>
        <v>2908.12</v>
      </c>
    </row>
    <row r="838" spans="1:9" ht="15" customHeight="1" x14ac:dyDescent="0.25">
      <c r="A838" s="148">
        <v>16315</v>
      </c>
      <c r="B838" s="148" t="s">
        <v>267</v>
      </c>
      <c r="C838" s="148" t="s">
        <v>2225</v>
      </c>
      <c r="D838" s="148" t="s">
        <v>594</v>
      </c>
      <c r="E838" s="148" t="s">
        <v>2214</v>
      </c>
      <c r="F838" s="149">
        <v>5</v>
      </c>
      <c r="G838" s="148" t="s">
        <v>591</v>
      </c>
      <c r="H838" s="150">
        <v>643.37</v>
      </c>
      <c r="I838" s="151">
        <f t="shared" si="3"/>
        <v>2573.48</v>
      </c>
    </row>
    <row r="839" spans="1:9" ht="15" customHeight="1" x14ac:dyDescent="0.25">
      <c r="A839" s="148">
        <v>16316</v>
      </c>
      <c r="B839" s="148" t="s">
        <v>269</v>
      </c>
      <c r="C839" s="148" t="s">
        <v>2226</v>
      </c>
      <c r="D839" s="148" t="s">
        <v>594</v>
      </c>
      <c r="E839" s="148" t="s">
        <v>2214</v>
      </c>
      <c r="F839" s="149">
        <v>5</v>
      </c>
      <c r="G839" s="148" t="s">
        <v>591</v>
      </c>
      <c r="H839" s="150">
        <v>660.01</v>
      </c>
      <c r="I839" s="151">
        <f t="shared" si="3"/>
        <v>2640.04</v>
      </c>
    </row>
    <row r="840" spans="1:9" ht="15" customHeight="1" x14ac:dyDescent="0.25">
      <c r="A840" s="148">
        <v>16317</v>
      </c>
      <c r="B840" s="148" t="s">
        <v>273</v>
      </c>
      <c r="C840" s="148" t="s">
        <v>2227</v>
      </c>
      <c r="D840" s="148" t="s">
        <v>594</v>
      </c>
      <c r="E840" s="148" t="s">
        <v>2214</v>
      </c>
      <c r="F840" s="149">
        <v>5</v>
      </c>
      <c r="G840" s="148" t="s">
        <v>591</v>
      </c>
      <c r="H840" s="150">
        <v>684.71</v>
      </c>
      <c r="I840" s="151">
        <f t="shared" si="3"/>
        <v>2738.84</v>
      </c>
    </row>
    <row r="841" spans="1:9" ht="15" customHeight="1" x14ac:dyDescent="0.25">
      <c r="A841" s="148">
        <v>16318</v>
      </c>
      <c r="B841" s="148" t="s">
        <v>299</v>
      </c>
      <c r="C841" s="148" t="s">
        <v>2228</v>
      </c>
      <c r="D841" s="148" t="s">
        <v>630</v>
      </c>
      <c r="E841" s="148" t="s">
        <v>631</v>
      </c>
      <c r="F841" s="149">
        <v>5</v>
      </c>
      <c r="G841" s="148" t="s">
        <v>591</v>
      </c>
      <c r="H841" s="150">
        <v>467.94</v>
      </c>
      <c r="I841" s="151">
        <f t="shared" si="3"/>
        <v>1871.76</v>
      </c>
    </row>
    <row r="842" spans="1:9" ht="15" customHeight="1" x14ac:dyDescent="0.25">
      <c r="A842" s="148">
        <v>16319</v>
      </c>
      <c r="B842" s="148" t="s">
        <v>300</v>
      </c>
      <c r="C842" s="148" t="s">
        <v>2229</v>
      </c>
      <c r="D842" s="148" t="s">
        <v>630</v>
      </c>
      <c r="E842" s="148" t="s">
        <v>631</v>
      </c>
      <c r="F842" s="149">
        <v>5</v>
      </c>
      <c r="G842" s="148" t="s">
        <v>591</v>
      </c>
      <c r="H842" s="150">
        <v>468.1</v>
      </c>
      <c r="I842" s="151">
        <f t="shared" si="3"/>
        <v>1872.4</v>
      </c>
    </row>
    <row r="843" spans="1:9" ht="15" customHeight="1" x14ac:dyDescent="0.25">
      <c r="A843" s="148">
        <v>16320</v>
      </c>
      <c r="B843" s="148" t="s">
        <v>2230</v>
      </c>
      <c r="C843" s="148" t="s">
        <v>2231</v>
      </c>
      <c r="D843" s="148" t="s">
        <v>594</v>
      </c>
      <c r="E843" s="148" t="s">
        <v>2232</v>
      </c>
      <c r="F843" s="149">
        <v>5</v>
      </c>
      <c r="G843" s="148" t="s">
        <v>591</v>
      </c>
      <c r="H843" s="150">
        <v>925.84</v>
      </c>
      <c r="I843" s="151">
        <f t="shared" si="3"/>
        <v>3703.36</v>
      </c>
    </row>
    <row r="844" spans="1:9" ht="15" customHeight="1" x14ac:dyDescent="0.25">
      <c r="A844" s="148">
        <v>16401</v>
      </c>
      <c r="B844" s="148" t="s">
        <v>417</v>
      </c>
      <c r="C844" s="148" t="s">
        <v>2233</v>
      </c>
      <c r="D844" s="148" t="s">
        <v>600</v>
      </c>
      <c r="E844" s="148" t="s">
        <v>996</v>
      </c>
      <c r="F844" s="149">
        <v>0.5</v>
      </c>
      <c r="G844" s="148" t="s">
        <v>591</v>
      </c>
      <c r="H844" s="150">
        <v>77.88</v>
      </c>
      <c r="I844" s="151">
        <f t="shared" ref="I844:I849" si="4">H844*6</f>
        <v>467.28</v>
      </c>
    </row>
    <row r="845" spans="1:9" ht="15" customHeight="1" x14ac:dyDescent="0.25">
      <c r="A845" s="148">
        <v>16402</v>
      </c>
      <c r="B845" s="148" t="s">
        <v>532</v>
      </c>
      <c r="C845" s="148" t="s">
        <v>2234</v>
      </c>
      <c r="D845" s="148" t="s">
        <v>600</v>
      </c>
      <c r="E845" s="148" t="s">
        <v>2235</v>
      </c>
      <c r="F845" s="149">
        <v>0.5</v>
      </c>
      <c r="G845" s="148" t="s">
        <v>591</v>
      </c>
      <c r="H845" s="150">
        <v>145.71</v>
      </c>
      <c r="I845" s="151">
        <f t="shared" si="4"/>
        <v>874.26</v>
      </c>
    </row>
    <row r="846" spans="1:9" ht="15" customHeight="1" x14ac:dyDescent="0.25">
      <c r="A846" s="148">
        <v>16403</v>
      </c>
      <c r="B846" s="148" t="s">
        <v>533</v>
      </c>
      <c r="C846" s="148" t="s">
        <v>2236</v>
      </c>
      <c r="D846" s="148" t="s">
        <v>600</v>
      </c>
      <c r="E846" s="148" t="s">
        <v>2237</v>
      </c>
      <c r="F846" s="149">
        <v>0.5</v>
      </c>
      <c r="G846" s="148" t="s">
        <v>591</v>
      </c>
      <c r="H846" s="150">
        <v>82.37</v>
      </c>
      <c r="I846" s="151">
        <f t="shared" si="4"/>
        <v>494.22</v>
      </c>
    </row>
    <row r="847" spans="1:9" ht="15" customHeight="1" x14ac:dyDescent="0.25">
      <c r="A847" s="148">
        <v>16404</v>
      </c>
      <c r="B847" s="148" t="s">
        <v>531</v>
      </c>
      <c r="C847" s="148" t="s">
        <v>2238</v>
      </c>
      <c r="D847" s="148" t="s">
        <v>600</v>
      </c>
      <c r="E847" s="148" t="s">
        <v>2239</v>
      </c>
      <c r="F847" s="149">
        <v>0.5</v>
      </c>
      <c r="G847" s="148" t="s">
        <v>591</v>
      </c>
      <c r="H847" s="150">
        <v>67.319999999999993</v>
      </c>
      <c r="I847" s="151">
        <f t="shared" si="4"/>
        <v>403.91999999999996</v>
      </c>
    </row>
    <row r="848" spans="1:9" ht="15" customHeight="1" x14ac:dyDescent="0.25">
      <c r="A848" s="148">
        <v>16405</v>
      </c>
      <c r="B848" s="148" t="s">
        <v>2240</v>
      </c>
      <c r="C848" s="148" t="s">
        <v>2241</v>
      </c>
      <c r="D848" s="148" t="s">
        <v>600</v>
      </c>
      <c r="E848" s="148" t="s">
        <v>613</v>
      </c>
      <c r="F848" s="149">
        <v>0.6</v>
      </c>
      <c r="G848" s="148" t="s">
        <v>591</v>
      </c>
      <c r="H848" s="150">
        <v>55.33</v>
      </c>
      <c r="I848" s="151">
        <f t="shared" si="4"/>
        <v>331.98</v>
      </c>
    </row>
    <row r="849" spans="1:9" ht="15" customHeight="1" x14ac:dyDescent="0.25">
      <c r="A849" s="148">
        <v>16406</v>
      </c>
      <c r="B849" s="148" t="s">
        <v>2242</v>
      </c>
      <c r="C849" s="148" t="s">
        <v>2243</v>
      </c>
      <c r="D849" s="148" t="s">
        <v>600</v>
      </c>
      <c r="E849" s="148" t="s">
        <v>613</v>
      </c>
      <c r="F849" s="149">
        <v>0.6</v>
      </c>
      <c r="G849" s="148" t="s">
        <v>591</v>
      </c>
      <c r="H849" s="150">
        <v>52.86</v>
      </c>
      <c r="I849" s="151">
        <f t="shared" si="4"/>
        <v>317.15999999999997</v>
      </c>
    </row>
    <row r="850" spans="1:9" ht="15" customHeight="1" x14ac:dyDescent="0.25">
      <c r="A850" s="148">
        <v>16407</v>
      </c>
      <c r="B850" s="148" t="s">
        <v>444</v>
      </c>
      <c r="C850" s="148" t="s">
        <v>2244</v>
      </c>
      <c r="D850" s="148" t="s">
        <v>600</v>
      </c>
      <c r="E850" s="148" t="s">
        <v>613</v>
      </c>
      <c r="F850" s="149">
        <v>20</v>
      </c>
      <c r="G850" s="148" t="s">
        <v>591</v>
      </c>
      <c r="H850" s="150">
        <v>1338.47</v>
      </c>
      <c r="I850" s="151">
        <v>1338.47</v>
      </c>
    </row>
    <row r="851" spans="1:9" ht="15" customHeight="1" x14ac:dyDescent="0.25">
      <c r="A851" s="148">
        <v>16408</v>
      </c>
      <c r="B851" s="148" t="s">
        <v>443</v>
      </c>
      <c r="C851" s="148" t="s">
        <v>2245</v>
      </c>
      <c r="D851" s="148" t="s">
        <v>600</v>
      </c>
      <c r="E851" s="148" t="s">
        <v>613</v>
      </c>
      <c r="F851" s="149">
        <v>20</v>
      </c>
      <c r="G851" s="148" t="s">
        <v>591</v>
      </c>
      <c r="H851" s="150">
        <v>1307.95</v>
      </c>
      <c r="I851" s="151">
        <v>1307.95</v>
      </c>
    </row>
    <row r="852" spans="1:9" ht="15" customHeight="1" x14ac:dyDescent="0.25">
      <c r="A852" s="148">
        <v>16409</v>
      </c>
      <c r="B852" s="148" t="s">
        <v>445</v>
      </c>
      <c r="C852" s="148" t="s">
        <v>2246</v>
      </c>
      <c r="D852" s="148" t="s">
        <v>600</v>
      </c>
      <c r="E852" s="148" t="s">
        <v>613</v>
      </c>
      <c r="F852" s="149">
        <v>20</v>
      </c>
      <c r="G852" s="148" t="s">
        <v>591</v>
      </c>
      <c r="H852" s="150">
        <v>1422.74</v>
      </c>
      <c r="I852" s="151">
        <v>1422.74</v>
      </c>
    </row>
    <row r="853" spans="1:9" ht="15" customHeight="1" x14ac:dyDescent="0.25">
      <c r="A853" s="148">
        <v>16410</v>
      </c>
      <c r="B853" s="148" t="s">
        <v>568</v>
      </c>
      <c r="C853" s="148" t="s">
        <v>2247</v>
      </c>
      <c r="D853" s="148" t="s">
        <v>600</v>
      </c>
      <c r="E853" s="148" t="s">
        <v>613</v>
      </c>
      <c r="F853" s="149">
        <v>20</v>
      </c>
      <c r="G853" s="148" t="s">
        <v>591</v>
      </c>
      <c r="H853" s="150">
        <v>1049.8</v>
      </c>
      <c r="I853" s="151">
        <v>1049.8</v>
      </c>
    </row>
    <row r="854" spans="1:9" ht="15" customHeight="1" x14ac:dyDescent="0.25">
      <c r="A854" s="148">
        <v>16412</v>
      </c>
      <c r="B854" s="148" t="s">
        <v>291</v>
      </c>
      <c r="C854" s="148" t="s">
        <v>2248</v>
      </c>
      <c r="D854" s="148" t="s">
        <v>594</v>
      </c>
      <c r="E854" s="148" t="s">
        <v>674</v>
      </c>
      <c r="F854" s="149">
        <v>0.25</v>
      </c>
      <c r="G854" s="148" t="s">
        <v>591</v>
      </c>
      <c r="H854" s="150">
        <v>34.07</v>
      </c>
      <c r="I854" s="151">
        <f>H854*6</f>
        <v>204.42000000000002</v>
      </c>
    </row>
    <row r="855" spans="1:9" ht="15" customHeight="1" x14ac:dyDescent="0.25">
      <c r="A855" s="148">
        <v>16413</v>
      </c>
      <c r="B855" s="148" t="s">
        <v>2249</v>
      </c>
      <c r="C855" s="148" t="s">
        <v>2250</v>
      </c>
      <c r="D855" s="148" t="s">
        <v>594</v>
      </c>
      <c r="E855" s="148" t="s">
        <v>2232</v>
      </c>
      <c r="F855" s="149">
        <v>3.8</v>
      </c>
      <c r="G855" s="148" t="s">
        <v>591</v>
      </c>
      <c r="H855" s="150">
        <v>608.64</v>
      </c>
      <c r="I855" s="151">
        <v>608.64</v>
      </c>
    </row>
    <row r="856" spans="1:9" ht="15" customHeight="1" x14ac:dyDescent="0.25">
      <c r="A856" s="148">
        <v>16414</v>
      </c>
      <c r="B856" s="148" t="s">
        <v>2251</v>
      </c>
      <c r="C856" s="148" t="s">
        <v>2252</v>
      </c>
      <c r="D856" s="148" t="s">
        <v>594</v>
      </c>
      <c r="E856" s="148" t="s">
        <v>2214</v>
      </c>
      <c r="F856" s="149">
        <v>3.8</v>
      </c>
      <c r="G856" s="148" t="s">
        <v>591</v>
      </c>
      <c r="H856" s="150">
        <v>435.09</v>
      </c>
      <c r="I856" s="151">
        <v>435.09</v>
      </c>
    </row>
    <row r="857" spans="1:9" ht="15" customHeight="1" x14ac:dyDescent="0.25">
      <c r="A857" s="148">
        <v>16415</v>
      </c>
      <c r="B857" s="148" t="s">
        <v>2253</v>
      </c>
      <c r="C857" s="148" t="s">
        <v>2254</v>
      </c>
      <c r="D857" s="148" t="s">
        <v>594</v>
      </c>
      <c r="E857" s="148" t="s">
        <v>2214</v>
      </c>
      <c r="F857" s="149">
        <v>3.8</v>
      </c>
      <c r="G857" s="148" t="s">
        <v>591</v>
      </c>
      <c r="H857" s="150">
        <v>437.91</v>
      </c>
      <c r="I857" s="151">
        <v>437.91</v>
      </c>
    </row>
    <row r="858" spans="1:9" ht="15" customHeight="1" x14ac:dyDescent="0.25">
      <c r="A858" s="148">
        <v>16416</v>
      </c>
      <c r="B858" s="148" t="s">
        <v>2255</v>
      </c>
      <c r="C858" s="148" t="s">
        <v>2256</v>
      </c>
      <c r="D858" s="148" t="s">
        <v>594</v>
      </c>
      <c r="E858" s="148" t="s">
        <v>2257</v>
      </c>
      <c r="F858" s="149">
        <v>3.8</v>
      </c>
      <c r="G858" s="148" t="s">
        <v>591</v>
      </c>
      <c r="H858" s="150">
        <v>636.70000000000005</v>
      </c>
      <c r="I858" s="151">
        <v>636.70000000000005</v>
      </c>
    </row>
    <row r="859" spans="1:9" ht="15" customHeight="1" x14ac:dyDescent="0.25">
      <c r="A859" s="148">
        <v>16417</v>
      </c>
      <c r="B859" s="148" t="s">
        <v>2258</v>
      </c>
      <c r="C859" s="148" t="s">
        <v>2259</v>
      </c>
      <c r="D859" s="148" t="s">
        <v>594</v>
      </c>
      <c r="E859" s="148" t="s">
        <v>2257</v>
      </c>
      <c r="F859" s="149">
        <v>3.8</v>
      </c>
      <c r="G859" s="148" t="s">
        <v>591</v>
      </c>
      <c r="H859" s="150">
        <v>636.79999999999995</v>
      </c>
      <c r="I859" s="151">
        <v>636.79999999999995</v>
      </c>
    </row>
    <row r="860" spans="1:9" ht="15" customHeight="1" x14ac:dyDescent="0.25">
      <c r="A860" s="148">
        <v>16418</v>
      </c>
      <c r="B860" s="148" t="s">
        <v>2260</v>
      </c>
      <c r="C860" s="148" t="s">
        <v>2261</v>
      </c>
      <c r="D860" s="148" t="s">
        <v>594</v>
      </c>
      <c r="E860" s="148" t="s">
        <v>2232</v>
      </c>
      <c r="F860" s="149">
        <v>3.8</v>
      </c>
      <c r="G860" s="148" t="s">
        <v>591</v>
      </c>
      <c r="H860" s="150">
        <v>615.05999999999995</v>
      </c>
      <c r="I860" s="151">
        <v>615.05999999999995</v>
      </c>
    </row>
    <row r="861" spans="1:9" ht="15" customHeight="1" x14ac:dyDescent="0.25">
      <c r="A861" s="148">
        <v>16419</v>
      </c>
      <c r="B861" s="148" t="s">
        <v>2262</v>
      </c>
      <c r="C861" s="148" t="s">
        <v>2263</v>
      </c>
      <c r="D861" s="148" t="s">
        <v>594</v>
      </c>
      <c r="E861" s="148" t="s">
        <v>2214</v>
      </c>
      <c r="F861" s="149">
        <v>3.8</v>
      </c>
      <c r="G861" s="148" t="s">
        <v>591</v>
      </c>
      <c r="H861" s="150">
        <v>535.6</v>
      </c>
      <c r="I861" s="151">
        <v>535.6</v>
      </c>
    </row>
    <row r="862" spans="1:9" ht="15" customHeight="1" x14ac:dyDescent="0.25">
      <c r="A862" s="148">
        <v>16420</v>
      </c>
      <c r="B862" s="148" t="s">
        <v>2264</v>
      </c>
      <c r="C862" s="148" t="s">
        <v>2265</v>
      </c>
      <c r="D862" s="148" t="s">
        <v>2266</v>
      </c>
      <c r="E862" s="148" t="s">
        <v>2214</v>
      </c>
      <c r="F862" s="149">
        <v>3.8</v>
      </c>
      <c r="G862" s="148" t="s">
        <v>591</v>
      </c>
      <c r="H862" s="150">
        <v>539.64</v>
      </c>
      <c r="I862" s="151">
        <v>539.64</v>
      </c>
    </row>
    <row r="863" spans="1:9" ht="15" customHeight="1" x14ac:dyDescent="0.25">
      <c r="A863" s="148">
        <v>16421</v>
      </c>
      <c r="B863" s="148" t="s">
        <v>2267</v>
      </c>
      <c r="C863" s="148" t="s">
        <v>2268</v>
      </c>
      <c r="D863" s="148" t="s">
        <v>594</v>
      </c>
      <c r="E863" s="148" t="s">
        <v>2257</v>
      </c>
      <c r="F863" s="149">
        <v>3.8</v>
      </c>
      <c r="G863" s="148" t="s">
        <v>591</v>
      </c>
      <c r="H863" s="150">
        <v>789.16</v>
      </c>
      <c r="I863" s="151">
        <v>789.16</v>
      </c>
    </row>
    <row r="864" spans="1:9" ht="15" customHeight="1" x14ac:dyDescent="0.25">
      <c r="A864" s="148">
        <v>16501</v>
      </c>
      <c r="B864" s="148" t="s">
        <v>467</v>
      </c>
      <c r="C864" s="148" t="s">
        <v>2269</v>
      </c>
      <c r="D864" s="148" t="s">
        <v>600</v>
      </c>
      <c r="E864" s="148" t="s">
        <v>613</v>
      </c>
      <c r="F864" s="149">
        <v>0.95</v>
      </c>
      <c r="G864" s="148" t="s">
        <v>591</v>
      </c>
      <c r="H864" s="150">
        <v>48.49</v>
      </c>
      <c r="I864" s="151">
        <f>H864*16</f>
        <v>775.84</v>
      </c>
    </row>
    <row r="865" spans="1:9" ht="15" customHeight="1" x14ac:dyDescent="0.25">
      <c r="A865" s="148">
        <v>16502</v>
      </c>
      <c r="B865" s="148" t="s">
        <v>2270</v>
      </c>
      <c r="C865" s="148" t="s">
        <v>2271</v>
      </c>
      <c r="D865" s="148" t="s">
        <v>600</v>
      </c>
      <c r="E865" s="148" t="s">
        <v>613</v>
      </c>
      <c r="F865" s="149">
        <v>0.95</v>
      </c>
      <c r="G865" s="148" t="s">
        <v>591</v>
      </c>
      <c r="H865" s="150">
        <v>61.4</v>
      </c>
      <c r="I865" s="151">
        <f>H865*16</f>
        <v>982.4</v>
      </c>
    </row>
    <row r="866" spans="1:9" ht="15" customHeight="1" x14ac:dyDescent="0.25">
      <c r="A866" s="148">
        <v>16513</v>
      </c>
      <c r="B866" s="148" t="s">
        <v>306</v>
      </c>
      <c r="C866" s="148" t="s">
        <v>2272</v>
      </c>
      <c r="D866" s="148" t="s">
        <v>630</v>
      </c>
      <c r="E866" s="148" t="s">
        <v>631</v>
      </c>
      <c r="F866" s="149">
        <v>0.95</v>
      </c>
      <c r="G866" s="148" t="s">
        <v>591</v>
      </c>
      <c r="H866" s="150">
        <v>83.83</v>
      </c>
      <c r="I866" s="151">
        <f>H866*16</f>
        <v>1341.28</v>
      </c>
    </row>
    <row r="867" spans="1:9" ht="15" customHeight="1" x14ac:dyDescent="0.25">
      <c r="A867" s="148">
        <v>16600</v>
      </c>
      <c r="B867" s="148" t="s">
        <v>330</v>
      </c>
      <c r="C867" s="148" t="s">
        <v>2273</v>
      </c>
      <c r="D867" s="148" t="s">
        <v>630</v>
      </c>
      <c r="E867" s="148" t="s">
        <v>817</v>
      </c>
      <c r="F867" s="149">
        <v>19</v>
      </c>
      <c r="G867" s="148" t="s">
        <v>591</v>
      </c>
      <c r="H867" s="150">
        <v>3725.15</v>
      </c>
      <c r="I867" s="151">
        <v>3725.15</v>
      </c>
    </row>
    <row r="868" spans="1:9" ht="15" customHeight="1" x14ac:dyDescent="0.25">
      <c r="A868" s="148">
        <v>16601</v>
      </c>
      <c r="B868" s="148" t="s">
        <v>308</v>
      </c>
      <c r="C868" s="148" t="s">
        <v>2274</v>
      </c>
      <c r="D868" s="148" t="s">
        <v>630</v>
      </c>
      <c r="E868" s="148" t="s">
        <v>830</v>
      </c>
      <c r="F868" s="149">
        <v>19</v>
      </c>
      <c r="G868" s="148" t="s">
        <v>591</v>
      </c>
      <c r="H868" s="150">
        <v>1690.65</v>
      </c>
      <c r="I868" s="151">
        <v>1690.65</v>
      </c>
    </row>
    <row r="869" spans="1:9" ht="15" customHeight="1" x14ac:dyDescent="0.25">
      <c r="A869" s="148">
        <v>16602</v>
      </c>
      <c r="B869" s="148" t="s">
        <v>312</v>
      </c>
      <c r="C869" s="148" t="s">
        <v>2275</v>
      </c>
      <c r="D869" s="148" t="s">
        <v>630</v>
      </c>
      <c r="E869" s="148" t="s">
        <v>830</v>
      </c>
      <c r="F869" s="149">
        <v>19</v>
      </c>
      <c r="G869" s="148" t="s">
        <v>591</v>
      </c>
      <c r="H869" s="150">
        <v>1728.33</v>
      </c>
      <c r="I869" s="151">
        <v>1728.33</v>
      </c>
    </row>
    <row r="870" spans="1:9" ht="15" customHeight="1" x14ac:dyDescent="0.25">
      <c r="A870" s="148">
        <v>16603</v>
      </c>
      <c r="B870" s="148" t="s">
        <v>322</v>
      </c>
      <c r="C870" s="148" t="s">
        <v>2276</v>
      </c>
      <c r="D870" s="148" t="s">
        <v>630</v>
      </c>
      <c r="E870" s="148" t="s">
        <v>840</v>
      </c>
      <c r="F870" s="149">
        <v>19</v>
      </c>
      <c r="G870" s="148" t="s">
        <v>591</v>
      </c>
      <c r="H870" s="150">
        <v>2336.77</v>
      </c>
      <c r="I870" s="151">
        <v>2336.77</v>
      </c>
    </row>
    <row r="871" spans="1:9" ht="15" customHeight="1" x14ac:dyDescent="0.25">
      <c r="A871" s="148">
        <v>16604</v>
      </c>
      <c r="B871" s="148" t="s">
        <v>535</v>
      </c>
      <c r="C871" s="148" t="s">
        <v>2277</v>
      </c>
      <c r="D871" s="148" t="s">
        <v>589</v>
      </c>
      <c r="E871" s="148" t="s">
        <v>2071</v>
      </c>
      <c r="F871" s="149">
        <v>19</v>
      </c>
      <c r="G871" s="148" t="s">
        <v>591</v>
      </c>
      <c r="H871" s="150">
        <v>1732.13</v>
      </c>
      <c r="I871" s="151">
        <v>1732.13</v>
      </c>
    </row>
    <row r="872" spans="1:9" ht="15" customHeight="1" x14ac:dyDescent="0.25">
      <c r="A872" s="148">
        <v>16605</v>
      </c>
      <c r="B872" s="148" t="s">
        <v>506</v>
      </c>
      <c r="C872" s="148" t="s">
        <v>2278</v>
      </c>
      <c r="D872" s="148" t="s">
        <v>594</v>
      </c>
      <c r="E872" s="148" t="s">
        <v>2279</v>
      </c>
      <c r="F872" s="149">
        <v>19</v>
      </c>
      <c r="G872" s="148" t="s">
        <v>596</v>
      </c>
      <c r="H872" s="150">
        <v>4071.19</v>
      </c>
      <c r="I872" s="151">
        <v>4071.19</v>
      </c>
    </row>
    <row r="873" spans="1:9" ht="15" customHeight="1" x14ac:dyDescent="0.25">
      <c r="A873" s="148">
        <v>16606</v>
      </c>
      <c r="B873" s="148" t="s">
        <v>2280</v>
      </c>
      <c r="C873" s="148" t="s">
        <v>2281</v>
      </c>
      <c r="D873" s="148" t="s">
        <v>594</v>
      </c>
      <c r="E873" s="148" t="s">
        <v>2279</v>
      </c>
      <c r="F873" s="149">
        <v>19</v>
      </c>
      <c r="G873" s="148" t="s">
        <v>596</v>
      </c>
      <c r="H873" s="150">
        <v>4063.02</v>
      </c>
      <c r="I873" s="151">
        <v>4063.02</v>
      </c>
    </row>
    <row r="874" spans="1:9" ht="15" customHeight="1" x14ac:dyDescent="0.25">
      <c r="A874" s="148">
        <v>16607</v>
      </c>
      <c r="B874" s="148" t="s">
        <v>2282</v>
      </c>
      <c r="C874" s="148" t="s">
        <v>2283</v>
      </c>
      <c r="D874" s="148" t="s">
        <v>594</v>
      </c>
      <c r="E874" s="148" t="s">
        <v>2279</v>
      </c>
      <c r="F874" s="149">
        <v>19</v>
      </c>
      <c r="G874" s="148" t="s">
        <v>596</v>
      </c>
      <c r="H874" s="150">
        <v>4016.32</v>
      </c>
      <c r="I874" s="151">
        <v>4016.32</v>
      </c>
    </row>
    <row r="875" spans="1:9" ht="15" customHeight="1" x14ac:dyDescent="0.25">
      <c r="A875" s="148">
        <v>16608</v>
      </c>
      <c r="B875" s="148" t="s">
        <v>2284</v>
      </c>
      <c r="C875" s="148" t="s">
        <v>2285</v>
      </c>
      <c r="D875" s="148" t="s">
        <v>594</v>
      </c>
      <c r="E875" s="148" t="s">
        <v>2091</v>
      </c>
      <c r="F875" s="149">
        <v>19</v>
      </c>
      <c r="G875" s="148" t="s">
        <v>596</v>
      </c>
      <c r="H875" s="150">
        <v>3359.79</v>
      </c>
      <c r="I875" s="151">
        <v>3359.79</v>
      </c>
    </row>
    <row r="876" spans="1:9" ht="15" customHeight="1" x14ac:dyDescent="0.25">
      <c r="A876" s="148">
        <v>16609</v>
      </c>
      <c r="B876" s="148" t="s">
        <v>2286</v>
      </c>
      <c r="C876" s="148" t="s">
        <v>2287</v>
      </c>
      <c r="D876" s="148" t="s">
        <v>594</v>
      </c>
      <c r="E876" s="148" t="s">
        <v>2214</v>
      </c>
      <c r="F876" s="149">
        <v>19</v>
      </c>
      <c r="G876" s="148" t="s">
        <v>596</v>
      </c>
      <c r="H876" s="150">
        <v>2464.8000000000002</v>
      </c>
      <c r="I876" s="151">
        <v>2464.8000000000002</v>
      </c>
    </row>
    <row r="877" spans="1:9" ht="15" customHeight="1" x14ac:dyDescent="0.25">
      <c r="A877" s="148">
        <v>16610</v>
      </c>
      <c r="B877" s="148" t="s">
        <v>2288</v>
      </c>
      <c r="C877" s="148" t="s">
        <v>2289</v>
      </c>
      <c r="D877" s="148" t="s">
        <v>594</v>
      </c>
      <c r="E877" s="148" t="s">
        <v>2214</v>
      </c>
      <c r="F877" s="149">
        <v>19</v>
      </c>
      <c r="G877" s="148" t="s">
        <v>596</v>
      </c>
      <c r="H877" s="150">
        <v>2702.86</v>
      </c>
      <c r="I877" s="151">
        <v>2702.86</v>
      </c>
    </row>
    <row r="878" spans="1:9" ht="15" customHeight="1" x14ac:dyDescent="0.25">
      <c r="A878" s="148">
        <v>16611</v>
      </c>
      <c r="B878" s="148" t="s">
        <v>555</v>
      </c>
      <c r="C878" s="148" t="s">
        <v>2290</v>
      </c>
      <c r="D878" s="148" t="s">
        <v>594</v>
      </c>
      <c r="E878" s="148" t="s">
        <v>2214</v>
      </c>
      <c r="F878" s="149">
        <v>19</v>
      </c>
      <c r="G878" s="148" t="s">
        <v>596</v>
      </c>
      <c r="H878" s="150">
        <v>2386.35</v>
      </c>
      <c r="I878" s="151">
        <v>2386.35</v>
      </c>
    </row>
    <row r="879" spans="1:9" ht="15" customHeight="1" x14ac:dyDescent="0.25">
      <c r="A879" s="148">
        <v>16612</v>
      </c>
      <c r="B879" s="148" t="s">
        <v>554</v>
      </c>
      <c r="C879" s="148" t="s">
        <v>2291</v>
      </c>
      <c r="D879" s="148" t="s">
        <v>594</v>
      </c>
      <c r="E879" s="148" t="s">
        <v>2091</v>
      </c>
      <c r="F879" s="149">
        <v>19</v>
      </c>
      <c r="G879" s="148" t="s">
        <v>596</v>
      </c>
      <c r="H879" s="150">
        <v>3499.9</v>
      </c>
      <c r="I879" s="151">
        <v>3499.9</v>
      </c>
    </row>
    <row r="880" spans="1:9" ht="15" customHeight="1" x14ac:dyDescent="0.25">
      <c r="A880" s="148">
        <v>16613</v>
      </c>
      <c r="B880" s="148" t="s">
        <v>553</v>
      </c>
      <c r="C880" s="148" t="s">
        <v>2292</v>
      </c>
      <c r="D880" s="148" t="s">
        <v>594</v>
      </c>
      <c r="E880" s="148" t="s">
        <v>2091</v>
      </c>
      <c r="F880" s="149">
        <v>19</v>
      </c>
      <c r="G880" s="148" t="s">
        <v>596</v>
      </c>
      <c r="H880" s="150">
        <v>3317.86</v>
      </c>
      <c r="I880" s="151">
        <v>3317.86</v>
      </c>
    </row>
    <row r="881" spans="1:9" ht="15" customHeight="1" x14ac:dyDescent="0.25">
      <c r="A881" s="148">
        <v>16614</v>
      </c>
      <c r="B881" s="148" t="s">
        <v>372</v>
      </c>
      <c r="C881" s="148" t="s">
        <v>2293</v>
      </c>
      <c r="D881" s="148" t="s">
        <v>606</v>
      </c>
      <c r="E881" s="148" t="s">
        <v>2294</v>
      </c>
      <c r="F881" s="149">
        <v>19</v>
      </c>
      <c r="G881" s="148" t="s">
        <v>591</v>
      </c>
      <c r="H881" s="150">
        <v>3453.54</v>
      </c>
      <c r="I881" s="151">
        <v>3453.54</v>
      </c>
    </row>
    <row r="882" spans="1:9" ht="15" customHeight="1" x14ac:dyDescent="0.25">
      <c r="A882" s="148">
        <v>16629</v>
      </c>
      <c r="B882" s="148" t="s">
        <v>302</v>
      </c>
      <c r="C882" s="148" t="s">
        <v>2295</v>
      </c>
      <c r="D882" s="148" t="s">
        <v>630</v>
      </c>
      <c r="E882" s="148" t="s">
        <v>631</v>
      </c>
      <c r="F882" s="149">
        <v>19</v>
      </c>
      <c r="G882" s="148" t="s">
        <v>591</v>
      </c>
      <c r="H882" s="150">
        <v>1703.52</v>
      </c>
      <c r="I882" s="151">
        <v>1703.52</v>
      </c>
    </row>
    <row r="883" spans="1:9" ht="15" customHeight="1" x14ac:dyDescent="0.25">
      <c r="A883" s="148">
        <v>16630</v>
      </c>
      <c r="B883" s="148" t="s">
        <v>305</v>
      </c>
      <c r="C883" s="148" t="s">
        <v>2296</v>
      </c>
      <c r="D883" s="148" t="s">
        <v>630</v>
      </c>
      <c r="E883" s="148" t="s">
        <v>631</v>
      </c>
      <c r="F883" s="149">
        <v>19</v>
      </c>
      <c r="G883" s="148" t="s">
        <v>591</v>
      </c>
      <c r="H883" s="150">
        <v>1706.2</v>
      </c>
      <c r="I883" s="151">
        <v>1706.2</v>
      </c>
    </row>
    <row r="884" spans="1:9" ht="15" customHeight="1" x14ac:dyDescent="0.25">
      <c r="A884" s="148">
        <v>16633</v>
      </c>
      <c r="B884" s="148" t="s">
        <v>469</v>
      </c>
      <c r="C884" s="148" t="s">
        <v>2297</v>
      </c>
      <c r="D884" s="148" t="s">
        <v>630</v>
      </c>
      <c r="E884" s="148" t="s">
        <v>830</v>
      </c>
      <c r="F884" s="149">
        <v>19</v>
      </c>
      <c r="G884" s="148" t="s">
        <v>591</v>
      </c>
      <c r="H884" s="150">
        <v>1998.89</v>
      </c>
      <c r="I884" s="151">
        <v>1998.89</v>
      </c>
    </row>
    <row r="885" spans="1:9" ht="15" customHeight="1" x14ac:dyDescent="0.25">
      <c r="A885" s="148">
        <v>16700</v>
      </c>
      <c r="B885" s="148" t="s">
        <v>487</v>
      </c>
      <c r="C885" s="148" t="s">
        <v>2298</v>
      </c>
      <c r="D885" s="148" t="s">
        <v>630</v>
      </c>
      <c r="E885" s="148" t="s">
        <v>817</v>
      </c>
      <c r="F885" s="149">
        <v>200</v>
      </c>
      <c r="G885" s="148" t="s">
        <v>591</v>
      </c>
      <c r="H885" s="150">
        <v>38760.620000000003</v>
      </c>
      <c r="I885" s="151">
        <v>38760.620000000003</v>
      </c>
    </row>
    <row r="886" spans="1:9" ht="15" customHeight="1" x14ac:dyDescent="0.25">
      <c r="A886" s="148">
        <v>16701</v>
      </c>
      <c r="B886" s="148" t="s">
        <v>309</v>
      </c>
      <c r="C886" s="148" t="s">
        <v>2299</v>
      </c>
      <c r="D886" s="148" t="s">
        <v>630</v>
      </c>
      <c r="E886" s="148" t="s">
        <v>830</v>
      </c>
      <c r="F886" s="149">
        <v>200</v>
      </c>
      <c r="G886" s="148" t="s">
        <v>591</v>
      </c>
      <c r="H886" s="150">
        <v>17898.490000000002</v>
      </c>
      <c r="I886" s="151">
        <v>17898.490000000002</v>
      </c>
    </row>
    <row r="887" spans="1:9" ht="15" customHeight="1" x14ac:dyDescent="0.25">
      <c r="A887" s="148">
        <v>16702</v>
      </c>
      <c r="B887" s="148" t="s">
        <v>323</v>
      </c>
      <c r="C887" s="148" t="s">
        <v>2300</v>
      </c>
      <c r="D887" s="148" t="s">
        <v>630</v>
      </c>
      <c r="E887" s="148" t="s">
        <v>840</v>
      </c>
      <c r="F887" s="149">
        <v>200</v>
      </c>
      <c r="G887" s="148" t="s">
        <v>591</v>
      </c>
      <c r="H887" s="150">
        <v>24698.58</v>
      </c>
      <c r="I887" s="151">
        <v>24698.58</v>
      </c>
    </row>
    <row r="888" spans="1:9" ht="15" customHeight="1" x14ac:dyDescent="0.25">
      <c r="A888" s="148">
        <v>16703</v>
      </c>
      <c r="B888" s="148" t="s">
        <v>313</v>
      </c>
      <c r="C888" s="148" t="s">
        <v>2301</v>
      </c>
      <c r="D888" s="148" t="s">
        <v>630</v>
      </c>
      <c r="E888" s="148" t="s">
        <v>830</v>
      </c>
      <c r="F888" s="149">
        <v>200</v>
      </c>
      <c r="G888" s="148" t="s">
        <v>591</v>
      </c>
      <c r="H888" s="150">
        <v>18299.64</v>
      </c>
      <c r="I888" s="151">
        <v>18299.64</v>
      </c>
    </row>
    <row r="889" spans="1:9" ht="15" customHeight="1" x14ac:dyDescent="0.25">
      <c r="A889" s="148">
        <v>16705</v>
      </c>
      <c r="B889" s="148" t="s">
        <v>536</v>
      </c>
      <c r="C889" s="148" t="s">
        <v>2302</v>
      </c>
      <c r="D889" s="148" t="s">
        <v>589</v>
      </c>
      <c r="E889" s="148" t="s">
        <v>2071</v>
      </c>
      <c r="F889" s="149">
        <v>200</v>
      </c>
      <c r="G889" s="148" t="s">
        <v>591</v>
      </c>
      <c r="H889" s="150">
        <v>18032.54</v>
      </c>
      <c r="I889" s="151">
        <v>18032.54</v>
      </c>
    </row>
    <row r="890" spans="1:9" ht="15" customHeight="1" x14ac:dyDescent="0.25">
      <c r="A890" s="148">
        <v>16707</v>
      </c>
      <c r="B890" s="148" t="s">
        <v>2303</v>
      </c>
      <c r="C890" s="148" t="s">
        <v>2304</v>
      </c>
      <c r="D890" s="148" t="s">
        <v>594</v>
      </c>
      <c r="E890" s="148" t="s">
        <v>2279</v>
      </c>
      <c r="F890" s="149">
        <v>200</v>
      </c>
      <c r="G890" s="148" t="s">
        <v>596</v>
      </c>
      <c r="H890" s="150">
        <v>42743.35</v>
      </c>
      <c r="I890" s="151">
        <v>42743.35</v>
      </c>
    </row>
    <row r="891" spans="1:9" ht="15" customHeight="1" x14ac:dyDescent="0.25">
      <c r="A891" s="148">
        <v>16709</v>
      </c>
      <c r="B891" s="148" t="s">
        <v>2305</v>
      </c>
      <c r="C891" s="148" t="s">
        <v>2306</v>
      </c>
      <c r="D891" s="148" t="s">
        <v>594</v>
      </c>
      <c r="E891" s="148" t="s">
        <v>2091</v>
      </c>
      <c r="F891" s="149">
        <v>200</v>
      </c>
      <c r="G891" s="148" t="s">
        <v>596</v>
      </c>
      <c r="H891" s="150">
        <v>35340.81</v>
      </c>
      <c r="I891" s="151">
        <v>35340.81</v>
      </c>
    </row>
    <row r="892" spans="1:9" ht="15" customHeight="1" x14ac:dyDescent="0.25">
      <c r="A892" s="148">
        <v>16711</v>
      </c>
      <c r="B892" s="148" t="s">
        <v>2307</v>
      </c>
      <c r="C892" s="148" t="s">
        <v>2308</v>
      </c>
      <c r="D892" s="148" t="s">
        <v>594</v>
      </c>
      <c r="E892" s="148" t="s">
        <v>2214</v>
      </c>
      <c r="F892" s="149">
        <v>200</v>
      </c>
      <c r="G892" s="148" t="s">
        <v>596</v>
      </c>
      <c r="H892" s="150">
        <v>28551.7</v>
      </c>
      <c r="I892" s="151">
        <v>28551.7</v>
      </c>
    </row>
    <row r="893" spans="1:9" ht="15" customHeight="1" x14ac:dyDescent="0.25">
      <c r="A893" s="148">
        <v>16712</v>
      </c>
      <c r="B893" s="148" t="s">
        <v>2309</v>
      </c>
      <c r="C893" s="148" t="s">
        <v>2310</v>
      </c>
      <c r="D893" s="148" t="s">
        <v>594</v>
      </c>
      <c r="E893" s="148" t="s">
        <v>2214</v>
      </c>
      <c r="F893" s="149">
        <v>200</v>
      </c>
      <c r="G893" s="148" t="s">
        <v>596</v>
      </c>
      <c r="H893" s="150">
        <v>25013.4</v>
      </c>
      <c r="I893" s="151">
        <v>25013.4</v>
      </c>
    </row>
    <row r="894" spans="1:9" ht="15" customHeight="1" x14ac:dyDescent="0.25">
      <c r="A894" s="148">
        <v>16715</v>
      </c>
      <c r="B894" s="148" t="s">
        <v>524</v>
      </c>
      <c r="C894" s="148" t="s">
        <v>2311</v>
      </c>
      <c r="D894" s="148" t="s">
        <v>606</v>
      </c>
      <c r="E894" s="148" t="s">
        <v>2294</v>
      </c>
      <c r="F894" s="149">
        <v>200</v>
      </c>
      <c r="G894" s="148" t="s">
        <v>591</v>
      </c>
      <c r="H894" s="150">
        <v>36178.43</v>
      </c>
      <c r="I894" s="151">
        <v>36178.43</v>
      </c>
    </row>
    <row r="895" spans="1:9" ht="15" customHeight="1" x14ac:dyDescent="0.25">
      <c r="A895" s="148">
        <v>16716</v>
      </c>
      <c r="B895" s="148" t="s">
        <v>2312</v>
      </c>
      <c r="C895" s="148" t="s">
        <v>2313</v>
      </c>
      <c r="D895" s="148" t="s">
        <v>594</v>
      </c>
      <c r="E895" s="148" t="s">
        <v>2214</v>
      </c>
      <c r="F895" s="149">
        <v>200</v>
      </c>
      <c r="G895" s="148" t="s">
        <v>596</v>
      </c>
      <c r="H895" s="150">
        <v>26888.15</v>
      </c>
      <c r="I895" s="151">
        <v>26888.15</v>
      </c>
    </row>
    <row r="896" spans="1:9" ht="15" customHeight="1" x14ac:dyDescent="0.25">
      <c r="A896" s="148">
        <v>16717</v>
      </c>
      <c r="B896" s="148" t="s">
        <v>2314</v>
      </c>
      <c r="C896" s="148" t="s">
        <v>2315</v>
      </c>
      <c r="D896" s="148" t="s">
        <v>600</v>
      </c>
      <c r="E896" s="148" t="s">
        <v>613</v>
      </c>
      <c r="F896" s="149">
        <v>200</v>
      </c>
      <c r="G896" s="148" t="s">
        <v>591</v>
      </c>
      <c r="H896" s="150">
        <v>6309.28</v>
      </c>
      <c r="I896" s="151">
        <v>6309.28</v>
      </c>
    </row>
    <row r="897" spans="1:9" ht="15" customHeight="1" x14ac:dyDescent="0.25">
      <c r="A897" s="148">
        <v>16718</v>
      </c>
      <c r="B897" s="148" t="s">
        <v>2316</v>
      </c>
      <c r="C897" s="148" t="s">
        <v>2317</v>
      </c>
      <c r="D897" s="148" t="s">
        <v>600</v>
      </c>
      <c r="E897" s="148" t="s">
        <v>613</v>
      </c>
      <c r="F897" s="149">
        <v>200</v>
      </c>
      <c r="G897" s="148" t="s">
        <v>591</v>
      </c>
      <c r="H897" s="150">
        <v>12591.62</v>
      </c>
      <c r="I897" s="151">
        <v>12591.62</v>
      </c>
    </row>
    <row r="898" spans="1:9" ht="15" customHeight="1" x14ac:dyDescent="0.25">
      <c r="A898" s="148">
        <v>16719</v>
      </c>
      <c r="B898" s="148" t="s">
        <v>543</v>
      </c>
      <c r="C898" s="148" t="s">
        <v>2318</v>
      </c>
      <c r="D898" s="148" t="s">
        <v>600</v>
      </c>
      <c r="E898" s="148" t="s">
        <v>613</v>
      </c>
      <c r="F898" s="149">
        <v>200</v>
      </c>
      <c r="G898" s="148" t="s">
        <v>591</v>
      </c>
      <c r="H898" s="150">
        <v>13358.48</v>
      </c>
      <c r="I898" s="151">
        <v>13358.48</v>
      </c>
    </row>
    <row r="899" spans="1:9" ht="15" customHeight="1" x14ac:dyDescent="0.25">
      <c r="A899" s="148">
        <v>16720</v>
      </c>
      <c r="B899" s="148" t="s">
        <v>542</v>
      </c>
      <c r="C899" s="148" t="s">
        <v>2319</v>
      </c>
      <c r="D899" s="148" t="s">
        <v>600</v>
      </c>
      <c r="E899" s="148" t="s">
        <v>613</v>
      </c>
      <c r="F899" s="149">
        <v>200</v>
      </c>
      <c r="G899" s="148" t="s">
        <v>591</v>
      </c>
      <c r="H899" s="150">
        <v>12805.8</v>
      </c>
      <c r="I899" s="151">
        <v>12805.8</v>
      </c>
    </row>
    <row r="900" spans="1:9" ht="15" customHeight="1" x14ac:dyDescent="0.25">
      <c r="A900" s="148">
        <v>16721</v>
      </c>
      <c r="B900" s="148" t="s">
        <v>2320</v>
      </c>
      <c r="C900" s="148" t="s">
        <v>2321</v>
      </c>
      <c r="D900" s="148" t="s">
        <v>594</v>
      </c>
      <c r="E900" s="148" t="s">
        <v>2091</v>
      </c>
      <c r="F900" s="149">
        <v>200</v>
      </c>
      <c r="G900" s="148" t="s">
        <v>596</v>
      </c>
      <c r="H900" s="150">
        <v>35708.94</v>
      </c>
      <c r="I900" s="151">
        <v>35708.94</v>
      </c>
    </row>
    <row r="901" spans="1:9" ht="15" customHeight="1" x14ac:dyDescent="0.25">
      <c r="A901" s="148">
        <v>16729</v>
      </c>
      <c r="B901" s="148" t="s">
        <v>2322</v>
      </c>
      <c r="C901" s="148" t="s">
        <v>2323</v>
      </c>
      <c r="D901" s="148" t="s">
        <v>594</v>
      </c>
      <c r="E901" s="148" t="s">
        <v>595</v>
      </c>
      <c r="F901" s="149">
        <v>200</v>
      </c>
      <c r="G901" s="148" t="s">
        <v>591</v>
      </c>
      <c r="H901" s="150">
        <v>22094.87</v>
      </c>
      <c r="I901" s="151">
        <v>22094.87</v>
      </c>
    </row>
    <row r="902" spans="1:9" ht="15" customHeight="1" x14ac:dyDescent="0.25">
      <c r="A902" s="148">
        <v>16730</v>
      </c>
      <c r="B902" s="148" t="s">
        <v>505</v>
      </c>
      <c r="C902" s="148" t="s">
        <v>2324</v>
      </c>
      <c r="D902" s="148" t="s">
        <v>594</v>
      </c>
      <c r="E902" s="148" t="s">
        <v>595</v>
      </c>
      <c r="F902" s="149">
        <v>200</v>
      </c>
      <c r="G902" s="148" t="s">
        <v>591</v>
      </c>
      <c r="H902" s="150">
        <v>22036.560000000001</v>
      </c>
      <c r="I902" s="151">
        <v>22036.560000000001</v>
      </c>
    </row>
    <row r="903" spans="1:9" ht="15" customHeight="1" x14ac:dyDescent="0.25">
      <c r="A903" s="148">
        <v>16731</v>
      </c>
      <c r="B903" s="148" t="s">
        <v>268</v>
      </c>
      <c r="C903" s="148" t="s">
        <v>2325</v>
      </c>
      <c r="D903" s="148" t="s">
        <v>594</v>
      </c>
      <c r="E903" s="148" t="s">
        <v>2214</v>
      </c>
      <c r="F903" s="149">
        <v>200</v>
      </c>
      <c r="G903" s="148" t="s">
        <v>591</v>
      </c>
      <c r="H903" s="150">
        <v>25071.93</v>
      </c>
      <c r="I903" s="151">
        <v>25071.93</v>
      </c>
    </row>
    <row r="904" spans="1:9" ht="15" customHeight="1" x14ac:dyDescent="0.25">
      <c r="A904" s="148">
        <v>16732</v>
      </c>
      <c r="B904" s="148" t="s">
        <v>270</v>
      </c>
      <c r="C904" s="148" t="s">
        <v>2326</v>
      </c>
      <c r="D904" s="148" t="s">
        <v>594</v>
      </c>
      <c r="E904" s="148" t="s">
        <v>2214</v>
      </c>
      <c r="F904" s="149">
        <v>200</v>
      </c>
      <c r="G904" s="148" t="s">
        <v>591</v>
      </c>
      <c r="H904" s="150">
        <v>25737.74</v>
      </c>
      <c r="I904" s="151">
        <v>25737.74</v>
      </c>
    </row>
    <row r="905" spans="1:9" ht="15" customHeight="1" x14ac:dyDescent="0.25">
      <c r="A905" s="148">
        <v>16733</v>
      </c>
      <c r="B905" s="148" t="s">
        <v>274</v>
      </c>
      <c r="C905" s="148" t="s">
        <v>2327</v>
      </c>
      <c r="D905" s="148" t="s">
        <v>594</v>
      </c>
      <c r="E905" s="148" t="s">
        <v>2214</v>
      </c>
      <c r="F905" s="149">
        <v>200</v>
      </c>
      <c r="G905" s="148" t="s">
        <v>591</v>
      </c>
      <c r="H905" s="150">
        <v>26735.98</v>
      </c>
      <c r="I905" s="151">
        <v>26735.98</v>
      </c>
    </row>
    <row r="906" spans="1:9" ht="15" customHeight="1" x14ac:dyDescent="0.25">
      <c r="A906" s="148">
        <v>16734</v>
      </c>
      <c r="B906" s="148" t="s">
        <v>277</v>
      </c>
      <c r="C906" s="148" t="s">
        <v>2328</v>
      </c>
      <c r="D906" s="148" t="s">
        <v>594</v>
      </c>
      <c r="E906" s="148" t="s">
        <v>2214</v>
      </c>
      <c r="F906" s="149">
        <v>200</v>
      </c>
      <c r="G906" s="148" t="s">
        <v>591</v>
      </c>
      <c r="H906" s="150">
        <v>28464.28</v>
      </c>
      <c r="I906" s="151">
        <v>28464.28</v>
      </c>
    </row>
    <row r="907" spans="1:9" ht="15" customHeight="1" x14ac:dyDescent="0.25">
      <c r="A907" s="148">
        <v>16735</v>
      </c>
      <c r="B907" s="148" t="s">
        <v>279</v>
      </c>
      <c r="C907" s="148" t="s">
        <v>2329</v>
      </c>
      <c r="D907" s="148" t="s">
        <v>594</v>
      </c>
      <c r="E907" s="148" t="s">
        <v>2257</v>
      </c>
      <c r="F907" s="149">
        <v>200</v>
      </c>
      <c r="G907" s="148" t="s">
        <v>591</v>
      </c>
      <c r="H907" s="150">
        <v>42257.25</v>
      </c>
      <c r="I907" s="151">
        <v>42257.25</v>
      </c>
    </row>
    <row r="908" spans="1:9" ht="15" customHeight="1" x14ac:dyDescent="0.25">
      <c r="A908" s="148">
        <v>16736</v>
      </c>
      <c r="B908" s="148" t="s">
        <v>283</v>
      </c>
      <c r="C908" s="148" t="s">
        <v>2330</v>
      </c>
      <c r="D908" s="148" t="s">
        <v>594</v>
      </c>
      <c r="E908" s="148" t="s">
        <v>2257</v>
      </c>
      <c r="F908" s="149">
        <v>200</v>
      </c>
      <c r="G908" s="148" t="s">
        <v>591</v>
      </c>
      <c r="H908" s="150">
        <v>41876.050000000003</v>
      </c>
      <c r="I908" s="151">
        <v>41876.050000000003</v>
      </c>
    </row>
    <row r="909" spans="1:9" ht="15" customHeight="1" x14ac:dyDescent="0.25">
      <c r="A909" s="148">
        <v>16737</v>
      </c>
      <c r="B909" s="148" t="s">
        <v>2331</v>
      </c>
      <c r="C909" s="148" t="s">
        <v>2332</v>
      </c>
      <c r="D909" s="148" t="s">
        <v>594</v>
      </c>
      <c r="E909" s="148" t="s">
        <v>2257</v>
      </c>
      <c r="F909" s="149">
        <v>200</v>
      </c>
      <c r="G909" s="148" t="s">
        <v>591</v>
      </c>
      <c r="H909" s="150">
        <v>43177.05</v>
      </c>
      <c r="I909" s="151">
        <v>43177.05</v>
      </c>
    </row>
    <row r="910" spans="1:9" ht="15" customHeight="1" x14ac:dyDescent="0.25">
      <c r="A910" s="148">
        <v>16738</v>
      </c>
      <c r="B910" s="148" t="s">
        <v>281</v>
      </c>
      <c r="C910" s="148" t="s">
        <v>2333</v>
      </c>
      <c r="D910" s="148" t="s">
        <v>594</v>
      </c>
      <c r="E910" s="148" t="s">
        <v>2257</v>
      </c>
      <c r="F910" s="149">
        <v>200</v>
      </c>
      <c r="G910" s="148" t="s">
        <v>591</v>
      </c>
      <c r="H910" s="150">
        <v>42922.86</v>
      </c>
      <c r="I910" s="151">
        <v>42922.86</v>
      </c>
    </row>
    <row r="911" spans="1:9" ht="15" customHeight="1" x14ac:dyDescent="0.25">
      <c r="A911" s="148">
        <v>16739</v>
      </c>
      <c r="B911" s="148" t="s">
        <v>290</v>
      </c>
      <c r="C911" s="148" t="s">
        <v>2334</v>
      </c>
      <c r="D911" s="148" t="s">
        <v>594</v>
      </c>
      <c r="E911" s="148" t="s">
        <v>2232</v>
      </c>
      <c r="F911" s="149">
        <v>200</v>
      </c>
      <c r="G911" s="148" t="s">
        <v>591</v>
      </c>
      <c r="H911" s="150">
        <v>39912.35</v>
      </c>
      <c r="I911" s="151">
        <v>39912.35</v>
      </c>
    </row>
    <row r="912" spans="1:9" ht="15" customHeight="1" x14ac:dyDescent="0.25">
      <c r="A912" s="148">
        <v>16740</v>
      </c>
      <c r="B912" s="148" t="s">
        <v>287</v>
      </c>
      <c r="C912" s="148" t="s">
        <v>2335</v>
      </c>
      <c r="D912" s="148" t="s">
        <v>594</v>
      </c>
      <c r="E912" s="148" t="s">
        <v>2232</v>
      </c>
      <c r="F912" s="149">
        <v>200</v>
      </c>
      <c r="G912" s="148" t="s">
        <v>591</v>
      </c>
      <c r="H912" s="150">
        <v>40194.050000000003</v>
      </c>
      <c r="I912" s="151">
        <v>40194.050000000003</v>
      </c>
    </row>
    <row r="913" spans="1:9" ht="15" customHeight="1" x14ac:dyDescent="0.25">
      <c r="A913" s="148">
        <v>16741</v>
      </c>
      <c r="B913" s="148" t="s">
        <v>507</v>
      </c>
      <c r="C913" s="148" t="s">
        <v>2336</v>
      </c>
      <c r="D913" s="148" t="s">
        <v>594</v>
      </c>
      <c r="E913" s="148" t="s">
        <v>2232</v>
      </c>
      <c r="F913" s="149">
        <v>200</v>
      </c>
      <c r="G913" s="148" t="s">
        <v>591</v>
      </c>
      <c r="H913" s="150">
        <v>39692.33</v>
      </c>
      <c r="I913" s="151">
        <v>39692.33</v>
      </c>
    </row>
    <row r="914" spans="1:9" ht="15" customHeight="1" x14ac:dyDescent="0.25">
      <c r="A914" s="148">
        <v>16744</v>
      </c>
      <c r="B914" s="148" t="s">
        <v>301</v>
      </c>
      <c r="C914" s="148" t="s">
        <v>2337</v>
      </c>
      <c r="D914" s="148" t="s">
        <v>630</v>
      </c>
      <c r="E914" s="148" t="s">
        <v>631</v>
      </c>
      <c r="F914" s="149">
        <v>200</v>
      </c>
      <c r="G914" s="148" t="s">
        <v>591</v>
      </c>
      <c r="H914" s="150">
        <v>18060.8</v>
      </c>
      <c r="I914" s="151">
        <v>18060.8</v>
      </c>
    </row>
    <row r="915" spans="1:9" ht="15" customHeight="1" x14ac:dyDescent="0.25">
      <c r="A915" s="148">
        <v>16745</v>
      </c>
      <c r="B915" s="148" t="s">
        <v>303</v>
      </c>
      <c r="C915" s="148" t="s">
        <v>2338</v>
      </c>
      <c r="D915" s="148" t="s">
        <v>630</v>
      </c>
      <c r="E915" s="148" t="s">
        <v>631</v>
      </c>
      <c r="F915" s="149">
        <v>200</v>
      </c>
      <c r="G915" s="148" t="s">
        <v>591</v>
      </c>
      <c r="H915" s="150">
        <v>18032.59</v>
      </c>
      <c r="I915" s="151">
        <v>18032.59</v>
      </c>
    </row>
    <row r="916" spans="1:9" ht="15" customHeight="1" x14ac:dyDescent="0.25">
      <c r="A916" s="148">
        <v>16746</v>
      </c>
      <c r="B916" s="148" t="s">
        <v>514</v>
      </c>
      <c r="C916" s="148" t="s">
        <v>2339</v>
      </c>
      <c r="D916" s="148" t="s">
        <v>630</v>
      </c>
      <c r="E916" s="148" t="s">
        <v>830</v>
      </c>
      <c r="F916" s="149">
        <v>200</v>
      </c>
      <c r="G916" s="148" t="s">
        <v>591</v>
      </c>
      <c r="H916" s="150">
        <v>23392.3</v>
      </c>
      <c r="I916" s="151">
        <v>23392.3</v>
      </c>
    </row>
    <row r="917" spans="1:9" ht="15" customHeight="1" x14ac:dyDescent="0.25">
      <c r="A917" s="148">
        <v>16748</v>
      </c>
      <c r="B917" s="148" t="s">
        <v>519</v>
      </c>
      <c r="C917" s="148" t="s">
        <v>2340</v>
      </c>
      <c r="D917" s="148" t="s">
        <v>630</v>
      </c>
      <c r="E917" s="148" t="s">
        <v>2341</v>
      </c>
      <c r="F917" s="149">
        <v>200</v>
      </c>
      <c r="G917" s="148" t="s">
        <v>591</v>
      </c>
      <c r="H917" s="150">
        <v>35375.33</v>
      </c>
      <c r="I917" s="151">
        <v>35375.33</v>
      </c>
    </row>
    <row r="918" spans="1:9" ht="15" customHeight="1" x14ac:dyDescent="0.25">
      <c r="A918" s="148">
        <v>16750</v>
      </c>
      <c r="B918" s="148" t="s">
        <v>2342</v>
      </c>
      <c r="C918" s="148" t="s">
        <v>2343</v>
      </c>
      <c r="D918" s="148" t="s">
        <v>630</v>
      </c>
      <c r="E918" s="148" t="s">
        <v>2341</v>
      </c>
      <c r="F918" s="149">
        <v>200</v>
      </c>
      <c r="G918" s="148" t="s">
        <v>591</v>
      </c>
      <c r="H918" s="150">
        <v>28949.96</v>
      </c>
      <c r="I918" s="151">
        <v>28949.96</v>
      </c>
    </row>
    <row r="919" spans="1:9" ht="15" customHeight="1" x14ac:dyDescent="0.25">
      <c r="A919" s="148">
        <v>16800</v>
      </c>
      <c r="B919" s="148" t="s">
        <v>545</v>
      </c>
      <c r="C919" s="148" t="s">
        <v>2344</v>
      </c>
      <c r="D919" s="148" t="s">
        <v>630</v>
      </c>
      <c r="E919" s="148" t="s">
        <v>817</v>
      </c>
      <c r="F919" s="149">
        <v>1</v>
      </c>
      <c r="G919" s="148" t="s">
        <v>591</v>
      </c>
      <c r="H919" s="150">
        <v>185.57</v>
      </c>
      <c r="I919" s="151">
        <f>H919*1000</f>
        <v>185570</v>
      </c>
    </row>
    <row r="920" spans="1:9" ht="15" customHeight="1" x14ac:dyDescent="0.25">
      <c r="A920" s="148">
        <v>16801</v>
      </c>
      <c r="B920" s="148" t="s">
        <v>546</v>
      </c>
      <c r="C920" s="148" t="s">
        <v>2345</v>
      </c>
      <c r="D920" s="148" t="s">
        <v>630</v>
      </c>
      <c r="E920" s="148" t="s">
        <v>840</v>
      </c>
      <c r="F920" s="149">
        <v>1</v>
      </c>
      <c r="G920" s="148" t="s">
        <v>591</v>
      </c>
      <c r="H920" s="150">
        <v>115.26</v>
      </c>
      <c r="I920" s="151">
        <f t="shared" ref="I920:I942" si="5">H920*1000</f>
        <v>115260</v>
      </c>
    </row>
    <row r="921" spans="1:9" ht="15" customHeight="1" x14ac:dyDescent="0.25">
      <c r="A921" s="148">
        <v>16802</v>
      </c>
      <c r="B921" s="148" t="s">
        <v>513</v>
      </c>
      <c r="C921" s="148" t="s">
        <v>2346</v>
      </c>
      <c r="D921" s="148" t="s">
        <v>630</v>
      </c>
      <c r="E921" s="148" t="s">
        <v>830</v>
      </c>
      <c r="F921" s="149">
        <v>1</v>
      </c>
      <c r="G921" s="148" t="s">
        <v>591</v>
      </c>
      <c r="H921" s="150">
        <v>86.36</v>
      </c>
      <c r="I921" s="151">
        <f t="shared" si="5"/>
        <v>86360</v>
      </c>
    </row>
    <row r="922" spans="1:9" ht="15" customHeight="1" x14ac:dyDescent="0.25">
      <c r="A922" s="148">
        <v>16803</v>
      </c>
      <c r="B922" s="148" t="s">
        <v>468</v>
      </c>
      <c r="C922" s="148" t="s">
        <v>2347</v>
      </c>
      <c r="D922" s="148" t="s">
        <v>630</v>
      </c>
      <c r="E922" s="148" t="s">
        <v>830</v>
      </c>
      <c r="F922" s="149">
        <v>1</v>
      </c>
      <c r="G922" s="148" t="s">
        <v>591</v>
      </c>
      <c r="H922" s="150">
        <v>91.35</v>
      </c>
      <c r="I922" s="151">
        <f t="shared" si="5"/>
        <v>91350</v>
      </c>
    </row>
    <row r="923" spans="1:9" ht="15" customHeight="1" x14ac:dyDescent="0.25">
      <c r="A923" s="148">
        <v>16804</v>
      </c>
      <c r="B923" s="148" t="s">
        <v>2348</v>
      </c>
      <c r="C923" s="148" t="s">
        <v>2349</v>
      </c>
      <c r="D923" s="148" t="s">
        <v>589</v>
      </c>
      <c r="E923" s="148" t="s">
        <v>2071</v>
      </c>
      <c r="F923" s="149">
        <v>1</v>
      </c>
      <c r="G923" s="148" t="s">
        <v>591</v>
      </c>
      <c r="H923" s="150">
        <v>100.25</v>
      </c>
      <c r="I923" s="151">
        <f t="shared" si="5"/>
        <v>100250</v>
      </c>
    </row>
    <row r="924" spans="1:9" ht="15" customHeight="1" x14ac:dyDescent="0.25">
      <c r="A924" s="148">
        <v>16818</v>
      </c>
      <c r="B924" s="148" t="s">
        <v>2350</v>
      </c>
      <c r="C924" s="148" t="s">
        <v>2351</v>
      </c>
      <c r="D924" s="148" t="s">
        <v>600</v>
      </c>
      <c r="E924" s="148" t="s">
        <v>613</v>
      </c>
      <c r="F924" s="149">
        <v>1</v>
      </c>
      <c r="G924" s="148" t="s">
        <v>591</v>
      </c>
      <c r="H924" s="150">
        <v>62.84</v>
      </c>
      <c r="I924" s="151">
        <f t="shared" si="5"/>
        <v>62840</v>
      </c>
    </row>
    <row r="925" spans="1:9" ht="15" customHeight="1" x14ac:dyDescent="0.25">
      <c r="A925" s="148">
        <v>16823</v>
      </c>
      <c r="B925" s="148" t="s">
        <v>2352</v>
      </c>
      <c r="C925" s="148" t="s">
        <v>2353</v>
      </c>
      <c r="D925" s="148" t="s">
        <v>594</v>
      </c>
      <c r="E925" s="148" t="s">
        <v>2214</v>
      </c>
      <c r="F925" s="149">
        <v>1</v>
      </c>
      <c r="G925" s="148" t="s">
        <v>591</v>
      </c>
      <c r="H925" s="150">
        <v>117.14</v>
      </c>
      <c r="I925" s="151">
        <f t="shared" si="5"/>
        <v>117140</v>
      </c>
    </row>
    <row r="926" spans="1:9" ht="15" customHeight="1" x14ac:dyDescent="0.25">
      <c r="A926" s="148">
        <v>16824</v>
      </c>
      <c r="B926" s="148" t="s">
        <v>2354</v>
      </c>
      <c r="C926" s="148" t="s">
        <v>2355</v>
      </c>
      <c r="D926" s="148" t="s">
        <v>594</v>
      </c>
      <c r="E926" s="148" t="s">
        <v>2214</v>
      </c>
      <c r="F926" s="149">
        <v>1</v>
      </c>
      <c r="G926" s="148" t="s">
        <v>591</v>
      </c>
      <c r="H926" s="150">
        <v>120.46</v>
      </c>
      <c r="I926" s="151">
        <f t="shared" si="5"/>
        <v>120460</v>
      </c>
    </row>
    <row r="927" spans="1:9" ht="15" customHeight="1" x14ac:dyDescent="0.25">
      <c r="A927" s="148">
        <v>16825</v>
      </c>
      <c r="B927" s="148" t="s">
        <v>2356</v>
      </c>
      <c r="C927" s="148" t="s">
        <v>2357</v>
      </c>
      <c r="D927" s="148" t="s">
        <v>594</v>
      </c>
      <c r="E927" s="148" t="s">
        <v>2214</v>
      </c>
      <c r="F927" s="149">
        <v>1</v>
      </c>
      <c r="G927" s="148" t="s">
        <v>591</v>
      </c>
      <c r="H927" s="150">
        <v>125.46</v>
      </c>
      <c r="I927" s="151">
        <f t="shared" si="5"/>
        <v>125460</v>
      </c>
    </row>
    <row r="928" spans="1:9" ht="15" customHeight="1" x14ac:dyDescent="0.25">
      <c r="A928" s="148">
        <v>16826</v>
      </c>
      <c r="B928" s="148" t="s">
        <v>2358</v>
      </c>
      <c r="C928" s="148" t="s">
        <v>2359</v>
      </c>
      <c r="D928" s="148" t="s">
        <v>594</v>
      </c>
      <c r="E928" s="148" t="s">
        <v>2214</v>
      </c>
      <c r="F928" s="149">
        <v>1</v>
      </c>
      <c r="G928" s="148" t="s">
        <v>591</v>
      </c>
      <c r="H928" s="150">
        <v>134.09</v>
      </c>
      <c r="I928" s="151">
        <f t="shared" si="5"/>
        <v>134090</v>
      </c>
    </row>
    <row r="929" spans="1:9" ht="15" customHeight="1" x14ac:dyDescent="0.25">
      <c r="A929" s="148">
        <v>16827</v>
      </c>
      <c r="B929" s="148" t="s">
        <v>2360</v>
      </c>
      <c r="C929" s="148" t="s">
        <v>2361</v>
      </c>
      <c r="D929" s="148" t="s">
        <v>594</v>
      </c>
      <c r="E929" s="148" t="s">
        <v>2257</v>
      </c>
      <c r="F929" s="149">
        <v>1</v>
      </c>
      <c r="G929" s="148" t="s">
        <v>591</v>
      </c>
      <c r="H929" s="150">
        <v>196.09</v>
      </c>
      <c r="I929" s="151">
        <f t="shared" si="5"/>
        <v>196090</v>
      </c>
    </row>
    <row r="930" spans="1:9" ht="15" customHeight="1" x14ac:dyDescent="0.25">
      <c r="A930" s="148">
        <v>16828</v>
      </c>
      <c r="B930" s="148" t="s">
        <v>2362</v>
      </c>
      <c r="C930" s="148" t="s">
        <v>2363</v>
      </c>
      <c r="D930" s="148" t="s">
        <v>594</v>
      </c>
      <c r="E930" s="148" t="s">
        <v>2257</v>
      </c>
      <c r="F930" s="149">
        <v>1</v>
      </c>
      <c r="G930" s="148" t="s">
        <v>591</v>
      </c>
      <c r="H930" s="150">
        <v>194.18</v>
      </c>
      <c r="I930" s="151">
        <f t="shared" si="5"/>
        <v>194180</v>
      </c>
    </row>
    <row r="931" spans="1:9" ht="15" customHeight="1" x14ac:dyDescent="0.25">
      <c r="A931" s="148">
        <v>16829</v>
      </c>
      <c r="B931" s="148" t="s">
        <v>2364</v>
      </c>
      <c r="C931" s="148" t="s">
        <v>2365</v>
      </c>
      <c r="D931" s="148" t="s">
        <v>594</v>
      </c>
      <c r="E931" s="148" t="s">
        <v>2257</v>
      </c>
      <c r="F931" s="149">
        <v>1</v>
      </c>
      <c r="G931" s="148" t="s">
        <v>591</v>
      </c>
      <c r="H931" s="150">
        <v>200.68</v>
      </c>
      <c r="I931" s="151">
        <f t="shared" si="5"/>
        <v>200680</v>
      </c>
    </row>
    <row r="932" spans="1:9" ht="15" customHeight="1" x14ac:dyDescent="0.25">
      <c r="A932" s="148">
        <v>16830</v>
      </c>
      <c r="B932" s="148" t="s">
        <v>2366</v>
      </c>
      <c r="C932" s="148" t="s">
        <v>2367</v>
      </c>
      <c r="D932" s="148" t="s">
        <v>594</v>
      </c>
      <c r="E932" s="148" t="s">
        <v>2257</v>
      </c>
      <c r="F932" s="149">
        <v>1</v>
      </c>
      <c r="G932" s="148" t="s">
        <v>591</v>
      </c>
      <c r="H932" s="150">
        <v>199.41</v>
      </c>
      <c r="I932" s="151">
        <f t="shared" si="5"/>
        <v>199410</v>
      </c>
    </row>
    <row r="933" spans="1:9" ht="15" customHeight="1" x14ac:dyDescent="0.25">
      <c r="A933" s="148">
        <v>16831</v>
      </c>
      <c r="B933" s="148" t="s">
        <v>2368</v>
      </c>
      <c r="C933" s="148" t="s">
        <v>2369</v>
      </c>
      <c r="D933" s="148" t="s">
        <v>594</v>
      </c>
      <c r="E933" s="148" t="s">
        <v>2232</v>
      </c>
      <c r="F933" s="149">
        <v>1</v>
      </c>
      <c r="G933" s="148" t="s">
        <v>591</v>
      </c>
      <c r="H933" s="150">
        <v>186.1</v>
      </c>
      <c r="I933" s="151">
        <f t="shared" si="5"/>
        <v>186100</v>
      </c>
    </row>
    <row r="934" spans="1:9" ht="15" customHeight="1" x14ac:dyDescent="0.25">
      <c r="A934" s="148">
        <v>16832</v>
      </c>
      <c r="B934" s="148" t="s">
        <v>2370</v>
      </c>
      <c r="C934" s="148" t="s">
        <v>2371</v>
      </c>
      <c r="D934" s="148" t="s">
        <v>594</v>
      </c>
      <c r="E934" s="148" t="s">
        <v>2232</v>
      </c>
      <c r="F934" s="149">
        <v>1</v>
      </c>
      <c r="G934" s="148" t="s">
        <v>591</v>
      </c>
      <c r="H934" s="150">
        <v>187.51</v>
      </c>
      <c r="I934" s="151">
        <f t="shared" si="5"/>
        <v>187510</v>
      </c>
    </row>
    <row r="935" spans="1:9" ht="15" customHeight="1" x14ac:dyDescent="0.25">
      <c r="A935" s="148">
        <v>16833</v>
      </c>
      <c r="B935" s="148" t="s">
        <v>2372</v>
      </c>
      <c r="C935" s="148" t="s">
        <v>2373</v>
      </c>
      <c r="D935" s="148" t="s">
        <v>594</v>
      </c>
      <c r="E935" s="148" t="s">
        <v>2232</v>
      </c>
      <c r="F935" s="149">
        <v>1</v>
      </c>
      <c r="G935" s="148" t="s">
        <v>591</v>
      </c>
      <c r="H935" s="150">
        <v>185</v>
      </c>
      <c r="I935" s="151">
        <f t="shared" si="5"/>
        <v>185000</v>
      </c>
    </row>
    <row r="936" spans="1:9" ht="15" customHeight="1" x14ac:dyDescent="0.25">
      <c r="A936" s="148">
        <v>16840</v>
      </c>
      <c r="B936" s="148" t="s">
        <v>2374</v>
      </c>
      <c r="C936" s="148" t="s">
        <v>2375</v>
      </c>
      <c r="D936" s="148" t="s">
        <v>594</v>
      </c>
      <c r="E936" s="148" t="s">
        <v>776</v>
      </c>
      <c r="F936" s="149">
        <v>1</v>
      </c>
      <c r="G936" s="148" t="s">
        <v>591</v>
      </c>
      <c r="H936" s="150">
        <v>102.32</v>
      </c>
      <c r="I936" s="151">
        <f t="shared" si="5"/>
        <v>102320</v>
      </c>
    </row>
    <row r="937" spans="1:9" ht="15" customHeight="1" x14ac:dyDescent="0.25">
      <c r="A937" s="148">
        <v>16841</v>
      </c>
      <c r="B937" s="148" t="s">
        <v>2376</v>
      </c>
      <c r="C937" s="148" t="s">
        <v>2377</v>
      </c>
      <c r="D937" s="148" t="s">
        <v>630</v>
      </c>
      <c r="E937" s="148" t="s">
        <v>631</v>
      </c>
      <c r="F937" s="149">
        <v>1</v>
      </c>
      <c r="G937" s="148" t="s">
        <v>591</v>
      </c>
      <c r="H937" s="150">
        <v>81.93</v>
      </c>
      <c r="I937" s="151">
        <f t="shared" si="5"/>
        <v>81930</v>
      </c>
    </row>
    <row r="938" spans="1:9" ht="15" customHeight="1" x14ac:dyDescent="0.25">
      <c r="A938" s="148">
        <v>16843</v>
      </c>
      <c r="B938" s="148" t="s">
        <v>512</v>
      </c>
      <c r="C938" s="148" t="s">
        <v>2378</v>
      </c>
      <c r="D938" s="148" t="s">
        <v>630</v>
      </c>
      <c r="E938" s="148" t="s">
        <v>830</v>
      </c>
      <c r="F938" s="149">
        <v>1</v>
      </c>
      <c r="G938" s="148" t="s">
        <v>591</v>
      </c>
      <c r="H938" s="150">
        <v>107.85</v>
      </c>
      <c r="I938" s="151">
        <f t="shared" si="5"/>
        <v>107850</v>
      </c>
    </row>
    <row r="939" spans="1:9" ht="15" customHeight="1" x14ac:dyDescent="0.25">
      <c r="A939" s="148">
        <v>16845</v>
      </c>
      <c r="B939" s="148" t="s">
        <v>2379</v>
      </c>
      <c r="C939" s="148" t="s">
        <v>2380</v>
      </c>
      <c r="D939" s="148" t="s">
        <v>594</v>
      </c>
      <c r="E939" s="148" t="s">
        <v>2257</v>
      </c>
      <c r="F939" s="149">
        <v>1</v>
      </c>
      <c r="G939" s="148" t="s">
        <v>591</v>
      </c>
      <c r="H939" s="150">
        <v>172.67</v>
      </c>
      <c r="I939" s="151">
        <f t="shared" si="5"/>
        <v>172670</v>
      </c>
    </row>
    <row r="940" spans="1:9" ht="15" customHeight="1" x14ac:dyDescent="0.25">
      <c r="A940" s="148">
        <v>16846</v>
      </c>
      <c r="B940" s="148" t="s">
        <v>2381</v>
      </c>
      <c r="C940" s="148" t="s">
        <v>2382</v>
      </c>
      <c r="D940" s="148" t="s">
        <v>630</v>
      </c>
      <c r="E940" s="148" t="s">
        <v>2341</v>
      </c>
      <c r="F940" s="149">
        <v>1</v>
      </c>
      <c r="G940" s="148" t="s">
        <v>591</v>
      </c>
      <c r="H940" s="150">
        <v>169.02</v>
      </c>
      <c r="I940" s="151">
        <f t="shared" si="5"/>
        <v>169020</v>
      </c>
    </row>
    <row r="941" spans="1:9" ht="15" customHeight="1" x14ac:dyDescent="0.25">
      <c r="A941" s="148">
        <v>16847</v>
      </c>
      <c r="B941" s="148" t="s">
        <v>2383</v>
      </c>
      <c r="C941" s="148" t="s">
        <v>2384</v>
      </c>
      <c r="D941" s="148" t="s">
        <v>594</v>
      </c>
      <c r="E941" s="148" t="s">
        <v>2232</v>
      </c>
      <c r="F941" s="149">
        <v>1</v>
      </c>
      <c r="G941" s="148" t="s">
        <v>591</v>
      </c>
      <c r="H941" s="150">
        <v>185.94</v>
      </c>
      <c r="I941" s="151">
        <f t="shared" si="5"/>
        <v>185940</v>
      </c>
    </row>
    <row r="942" spans="1:9" ht="15" customHeight="1" x14ac:dyDescent="0.25">
      <c r="A942" s="148">
        <v>16848</v>
      </c>
      <c r="B942" s="148" t="s">
        <v>2385</v>
      </c>
      <c r="C942" s="148" t="s">
        <v>2386</v>
      </c>
      <c r="D942" s="148" t="s">
        <v>630</v>
      </c>
      <c r="E942" s="148" t="s">
        <v>745</v>
      </c>
      <c r="F942" s="149">
        <v>1</v>
      </c>
      <c r="G942" s="148" t="s">
        <v>591</v>
      </c>
      <c r="H942" s="150">
        <v>126.88</v>
      </c>
      <c r="I942" s="151">
        <f t="shared" si="5"/>
        <v>126880</v>
      </c>
    </row>
    <row r="943" spans="1:9" ht="15" customHeight="1" x14ac:dyDescent="0.25">
      <c r="A943" s="148">
        <v>16849</v>
      </c>
      <c r="B943" s="148" t="s">
        <v>518</v>
      </c>
      <c r="C943" s="148" t="s">
        <v>2387</v>
      </c>
      <c r="D943" s="148" t="s">
        <v>630</v>
      </c>
      <c r="E943" s="148" t="s">
        <v>745</v>
      </c>
      <c r="F943" s="149">
        <v>200</v>
      </c>
      <c r="G943" s="148" t="s">
        <v>591</v>
      </c>
      <c r="H943" s="150">
        <v>27427.96</v>
      </c>
      <c r="I943" s="151">
        <v>27427.96</v>
      </c>
    </row>
    <row r="944" spans="1:9" ht="15" customHeight="1" x14ac:dyDescent="0.25">
      <c r="A944" s="148">
        <v>16850</v>
      </c>
      <c r="B944" s="148" t="s">
        <v>2388</v>
      </c>
      <c r="C944" s="148" t="s">
        <v>2389</v>
      </c>
      <c r="D944" s="148" t="s">
        <v>630</v>
      </c>
      <c r="E944" s="148" t="s">
        <v>2341</v>
      </c>
      <c r="F944" s="149">
        <v>1</v>
      </c>
      <c r="G944" s="148" t="s">
        <v>591</v>
      </c>
      <c r="H944" s="150">
        <v>144.62</v>
      </c>
      <c r="I944" s="151">
        <f>H944*1000</f>
        <v>144620</v>
      </c>
    </row>
    <row r="945" spans="1:9" ht="15" customHeight="1" x14ac:dyDescent="0.25">
      <c r="A945" s="148">
        <v>16900</v>
      </c>
      <c r="B945" s="148" t="s">
        <v>285</v>
      </c>
      <c r="C945" s="148" t="s">
        <v>2390</v>
      </c>
      <c r="D945" s="148" t="s">
        <v>594</v>
      </c>
      <c r="E945" s="148" t="s">
        <v>2279</v>
      </c>
      <c r="F945" s="149">
        <v>0.95</v>
      </c>
      <c r="G945" s="148" t="s">
        <v>591</v>
      </c>
      <c r="H945" s="150">
        <v>204.97</v>
      </c>
      <c r="I945" s="151">
        <f>H945*15</f>
        <v>3074.55</v>
      </c>
    </row>
    <row r="946" spans="1:9" ht="15" customHeight="1" x14ac:dyDescent="0.25">
      <c r="A946" s="148">
        <v>16901</v>
      </c>
      <c r="B946" s="148" t="s">
        <v>2391</v>
      </c>
      <c r="C946" s="148" t="s">
        <v>2392</v>
      </c>
      <c r="D946" s="148" t="s">
        <v>594</v>
      </c>
      <c r="E946" s="148" t="s">
        <v>2279</v>
      </c>
      <c r="F946" s="149">
        <v>0.95</v>
      </c>
      <c r="G946" s="148" t="s">
        <v>591</v>
      </c>
      <c r="H946" s="150">
        <v>204.55</v>
      </c>
      <c r="I946" s="151">
        <f t="shared" ref="I946:I981" si="6">H946*15</f>
        <v>3068.25</v>
      </c>
    </row>
    <row r="947" spans="1:9" ht="15" customHeight="1" x14ac:dyDescent="0.25">
      <c r="A947" s="148">
        <v>16902</v>
      </c>
      <c r="B947" s="148" t="s">
        <v>508</v>
      </c>
      <c r="C947" s="148" t="s">
        <v>2393</v>
      </c>
      <c r="D947" s="148" t="s">
        <v>594</v>
      </c>
      <c r="E947" s="148" t="s">
        <v>2279</v>
      </c>
      <c r="F947" s="149">
        <v>0.95</v>
      </c>
      <c r="G947" s="148" t="s">
        <v>596</v>
      </c>
      <c r="H947" s="150">
        <v>202.21</v>
      </c>
      <c r="I947" s="151">
        <f t="shared" si="6"/>
        <v>3033.15</v>
      </c>
    </row>
    <row r="948" spans="1:9" ht="15" customHeight="1" x14ac:dyDescent="0.25">
      <c r="A948" s="148">
        <v>16903</v>
      </c>
      <c r="B948" s="148" t="s">
        <v>2394</v>
      </c>
      <c r="C948" s="148" t="s">
        <v>2395</v>
      </c>
      <c r="D948" s="148" t="s">
        <v>594</v>
      </c>
      <c r="E948" s="148" t="s">
        <v>2091</v>
      </c>
      <c r="F948" s="149">
        <v>0.95</v>
      </c>
      <c r="G948" s="148" t="s">
        <v>591</v>
      </c>
      <c r="H948" s="150">
        <v>169.48</v>
      </c>
      <c r="I948" s="151">
        <f t="shared" si="6"/>
        <v>2542.1999999999998</v>
      </c>
    </row>
    <row r="949" spans="1:9" ht="15" customHeight="1" x14ac:dyDescent="0.25">
      <c r="A949" s="148">
        <v>16904</v>
      </c>
      <c r="B949" s="148" t="s">
        <v>2396</v>
      </c>
      <c r="C949" s="148" t="s">
        <v>2397</v>
      </c>
      <c r="D949" s="148" t="s">
        <v>594</v>
      </c>
      <c r="E949" s="148" t="s">
        <v>2214</v>
      </c>
      <c r="F949" s="149">
        <v>0.95</v>
      </c>
      <c r="G949" s="148" t="s">
        <v>591</v>
      </c>
      <c r="H949" s="150">
        <v>124.64</v>
      </c>
      <c r="I949" s="151">
        <f t="shared" si="6"/>
        <v>1869.6</v>
      </c>
    </row>
    <row r="950" spans="1:9" ht="15" customHeight="1" x14ac:dyDescent="0.25">
      <c r="A950" s="148">
        <v>16905</v>
      </c>
      <c r="B950" s="148" t="s">
        <v>2398</v>
      </c>
      <c r="C950" s="148" t="s">
        <v>2399</v>
      </c>
      <c r="D950" s="148" t="s">
        <v>594</v>
      </c>
      <c r="E950" s="148" t="s">
        <v>2214</v>
      </c>
      <c r="F950" s="149">
        <v>0.95</v>
      </c>
      <c r="G950" s="148" t="s">
        <v>591</v>
      </c>
      <c r="H950" s="150">
        <v>137.25</v>
      </c>
      <c r="I950" s="151">
        <f t="shared" si="6"/>
        <v>2058.75</v>
      </c>
    </row>
    <row r="951" spans="1:9" ht="15" customHeight="1" x14ac:dyDescent="0.25">
      <c r="A951" s="148">
        <v>16907</v>
      </c>
      <c r="B951" s="148" t="s">
        <v>559</v>
      </c>
      <c r="C951" s="148" t="s">
        <v>2400</v>
      </c>
      <c r="D951" s="148" t="s">
        <v>594</v>
      </c>
      <c r="E951" s="148" t="s">
        <v>2214</v>
      </c>
      <c r="F951" s="149">
        <v>0.95</v>
      </c>
      <c r="G951" s="148" t="s">
        <v>591</v>
      </c>
      <c r="H951" s="150">
        <v>121.09</v>
      </c>
      <c r="I951" s="151">
        <f t="shared" si="6"/>
        <v>1816.3500000000001</v>
      </c>
    </row>
    <row r="952" spans="1:9" ht="15" customHeight="1" x14ac:dyDescent="0.25">
      <c r="A952" s="148">
        <v>16908</v>
      </c>
      <c r="B952" s="148" t="s">
        <v>557</v>
      </c>
      <c r="C952" s="148" t="s">
        <v>2401</v>
      </c>
      <c r="D952" s="148" t="s">
        <v>594</v>
      </c>
      <c r="E952" s="148" t="s">
        <v>2091</v>
      </c>
      <c r="F952" s="149">
        <v>0.95</v>
      </c>
      <c r="G952" s="148" t="s">
        <v>591</v>
      </c>
      <c r="H952" s="150">
        <v>181.37</v>
      </c>
      <c r="I952" s="151">
        <f t="shared" si="6"/>
        <v>2720.55</v>
      </c>
    </row>
    <row r="953" spans="1:9" ht="15" customHeight="1" x14ac:dyDescent="0.25">
      <c r="A953" s="148">
        <v>16919</v>
      </c>
      <c r="B953" s="148" t="s">
        <v>2402</v>
      </c>
      <c r="C953" s="148" t="s">
        <v>2403</v>
      </c>
      <c r="D953" s="148" t="s">
        <v>594</v>
      </c>
      <c r="E953" s="148" t="s">
        <v>1012</v>
      </c>
      <c r="F953" s="149">
        <v>0.95</v>
      </c>
      <c r="G953" s="148" t="s">
        <v>591</v>
      </c>
      <c r="H953" s="150">
        <v>137.01</v>
      </c>
      <c r="I953" s="151">
        <f t="shared" si="6"/>
        <v>2055.1499999999996</v>
      </c>
    </row>
    <row r="954" spans="1:9" ht="15" customHeight="1" x14ac:dyDescent="0.25">
      <c r="A954" s="148">
        <v>16920</v>
      </c>
      <c r="B954" s="148" t="s">
        <v>2404</v>
      </c>
      <c r="C954" s="148" t="s">
        <v>2405</v>
      </c>
      <c r="D954" s="148" t="s">
        <v>594</v>
      </c>
      <c r="E954" s="148" t="s">
        <v>2406</v>
      </c>
      <c r="F954" s="149">
        <v>0.95</v>
      </c>
      <c r="G954" s="148" t="s">
        <v>591</v>
      </c>
      <c r="H954" s="150">
        <v>99.17</v>
      </c>
      <c r="I954" s="151">
        <f t="shared" si="6"/>
        <v>1487.55</v>
      </c>
    </row>
    <row r="955" spans="1:9" ht="15" customHeight="1" x14ac:dyDescent="0.25">
      <c r="A955" s="148">
        <v>16921</v>
      </c>
      <c r="B955" s="148" t="s">
        <v>2407</v>
      </c>
      <c r="C955" s="148" t="s">
        <v>2408</v>
      </c>
      <c r="D955" s="148" t="s">
        <v>594</v>
      </c>
      <c r="E955" s="148" t="s">
        <v>2406</v>
      </c>
      <c r="F955" s="149">
        <v>0.95</v>
      </c>
      <c r="G955" s="148" t="s">
        <v>935</v>
      </c>
      <c r="H955" s="150">
        <v>112.11</v>
      </c>
      <c r="I955" s="151">
        <f t="shared" si="6"/>
        <v>1681.65</v>
      </c>
    </row>
    <row r="956" spans="1:9" ht="15" customHeight="1" x14ac:dyDescent="0.25">
      <c r="A956" s="148">
        <v>16922</v>
      </c>
      <c r="B956" s="148" t="s">
        <v>373</v>
      </c>
      <c r="C956" s="148" t="s">
        <v>2409</v>
      </c>
      <c r="D956" s="148" t="s">
        <v>606</v>
      </c>
      <c r="E956" s="148" t="s">
        <v>2294</v>
      </c>
      <c r="F956" s="149">
        <v>0.95</v>
      </c>
      <c r="G956" s="148" t="s">
        <v>591</v>
      </c>
      <c r="H956" s="150">
        <v>178.24</v>
      </c>
      <c r="I956" s="151">
        <f>H956*16</f>
        <v>2851.84</v>
      </c>
    </row>
    <row r="957" spans="1:9" ht="15" customHeight="1" x14ac:dyDescent="0.25">
      <c r="A957" s="148">
        <v>16923</v>
      </c>
      <c r="B957" s="148" t="s">
        <v>2410</v>
      </c>
      <c r="C957" s="148" t="s">
        <v>2411</v>
      </c>
      <c r="D957" s="148" t="s">
        <v>594</v>
      </c>
      <c r="E957" s="148" t="s">
        <v>2214</v>
      </c>
      <c r="F957" s="149">
        <v>0.95</v>
      </c>
      <c r="G957" s="148" t="s">
        <v>591</v>
      </c>
      <c r="H957" s="150">
        <v>129.34</v>
      </c>
      <c r="I957" s="151">
        <f t="shared" si="6"/>
        <v>1940.1000000000001</v>
      </c>
    </row>
    <row r="958" spans="1:9" ht="15" customHeight="1" x14ac:dyDescent="0.25">
      <c r="A958" s="148">
        <v>16924</v>
      </c>
      <c r="B958" s="148" t="s">
        <v>560</v>
      </c>
      <c r="C958" s="148" t="s">
        <v>2412</v>
      </c>
      <c r="D958" s="148" t="s">
        <v>594</v>
      </c>
      <c r="E958" s="148" t="s">
        <v>2091</v>
      </c>
      <c r="F958" s="149">
        <v>0.95</v>
      </c>
      <c r="G958" s="148" t="s">
        <v>596</v>
      </c>
      <c r="H958" s="150">
        <v>171.31</v>
      </c>
      <c r="I958" s="151">
        <f t="shared" si="6"/>
        <v>2569.65</v>
      </c>
    </row>
    <row r="959" spans="1:9" ht="15" customHeight="1" x14ac:dyDescent="0.25">
      <c r="A959" s="148">
        <v>16925</v>
      </c>
      <c r="B959" s="148" t="s">
        <v>264</v>
      </c>
      <c r="C959" s="148" t="s">
        <v>2413</v>
      </c>
      <c r="D959" s="148" t="s">
        <v>594</v>
      </c>
      <c r="E959" s="148" t="s">
        <v>595</v>
      </c>
      <c r="F959" s="149">
        <v>0.95</v>
      </c>
      <c r="G959" s="148" t="s">
        <v>591</v>
      </c>
      <c r="H959" s="150">
        <v>105.22</v>
      </c>
      <c r="I959" s="151">
        <f t="shared" si="6"/>
        <v>1578.3</v>
      </c>
    </row>
    <row r="960" spans="1:9" ht="15" customHeight="1" x14ac:dyDescent="0.25">
      <c r="A960" s="148">
        <v>16926</v>
      </c>
      <c r="B960" s="148" t="s">
        <v>248</v>
      </c>
      <c r="C960" s="148" t="s">
        <v>2414</v>
      </c>
      <c r="D960" s="148" t="s">
        <v>594</v>
      </c>
      <c r="E960" s="148" t="s">
        <v>604</v>
      </c>
      <c r="F960" s="149">
        <v>0.95</v>
      </c>
      <c r="G960" s="148" t="s">
        <v>591</v>
      </c>
      <c r="H960" s="150">
        <v>106.33</v>
      </c>
      <c r="I960" s="151">
        <f t="shared" si="6"/>
        <v>1594.95</v>
      </c>
    </row>
    <row r="961" spans="1:9" ht="15" customHeight="1" x14ac:dyDescent="0.25">
      <c r="A961" s="148">
        <v>16927</v>
      </c>
      <c r="B961" s="148" t="s">
        <v>253</v>
      </c>
      <c r="C961" s="148" t="s">
        <v>2415</v>
      </c>
      <c r="D961" s="148" t="s">
        <v>594</v>
      </c>
      <c r="E961" s="148" t="s">
        <v>604</v>
      </c>
      <c r="F961" s="149">
        <v>0.95</v>
      </c>
      <c r="G961" s="148" t="s">
        <v>591</v>
      </c>
      <c r="H961" s="150">
        <v>106.27</v>
      </c>
      <c r="I961" s="151">
        <f t="shared" si="6"/>
        <v>1594.05</v>
      </c>
    </row>
    <row r="962" spans="1:9" ht="15" customHeight="1" x14ac:dyDescent="0.25">
      <c r="A962" s="148">
        <v>16928</v>
      </c>
      <c r="B962" s="148" t="s">
        <v>286</v>
      </c>
      <c r="C962" s="148" t="s">
        <v>2416</v>
      </c>
      <c r="D962" s="148" t="s">
        <v>594</v>
      </c>
      <c r="E962" s="148" t="s">
        <v>2232</v>
      </c>
      <c r="F962" s="149">
        <v>0.95</v>
      </c>
      <c r="G962" s="148" t="s">
        <v>591</v>
      </c>
      <c r="H962" s="150">
        <v>188.4</v>
      </c>
      <c r="I962" s="151">
        <f t="shared" si="6"/>
        <v>2826</v>
      </c>
    </row>
    <row r="963" spans="1:9" ht="15" customHeight="1" x14ac:dyDescent="0.25">
      <c r="A963" s="148">
        <v>16929</v>
      </c>
      <c r="B963" s="148" t="s">
        <v>288</v>
      </c>
      <c r="C963" s="148" t="s">
        <v>2417</v>
      </c>
      <c r="D963" s="148" t="s">
        <v>594</v>
      </c>
      <c r="E963" s="148" t="s">
        <v>2232</v>
      </c>
      <c r="F963" s="149">
        <v>0.95</v>
      </c>
      <c r="G963" s="148" t="s">
        <v>591</v>
      </c>
      <c r="H963" s="150">
        <v>190.33</v>
      </c>
      <c r="I963" s="151">
        <f t="shared" si="6"/>
        <v>2854.9500000000003</v>
      </c>
    </row>
    <row r="964" spans="1:9" ht="15" customHeight="1" x14ac:dyDescent="0.25">
      <c r="A964" s="148">
        <v>16930</v>
      </c>
      <c r="B964" s="148" t="s">
        <v>289</v>
      </c>
      <c r="C964" s="148" t="s">
        <v>2418</v>
      </c>
      <c r="D964" s="148" t="s">
        <v>594</v>
      </c>
      <c r="E964" s="148" t="s">
        <v>2232</v>
      </c>
      <c r="F964" s="149">
        <v>0.95</v>
      </c>
      <c r="G964" s="148" t="s">
        <v>591</v>
      </c>
      <c r="H964" s="150">
        <v>187.47</v>
      </c>
      <c r="I964" s="151">
        <f t="shared" si="6"/>
        <v>2812.05</v>
      </c>
    </row>
    <row r="965" spans="1:9" ht="15" customHeight="1" x14ac:dyDescent="0.25">
      <c r="A965" s="148">
        <v>16931</v>
      </c>
      <c r="B965" s="148" t="s">
        <v>284</v>
      </c>
      <c r="C965" s="148" t="s">
        <v>2419</v>
      </c>
      <c r="D965" s="148" t="s">
        <v>594</v>
      </c>
      <c r="E965" s="148" t="s">
        <v>2257</v>
      </c>
      <c r="F965" s="149">
        <v>0.95</v>
      </c>
      <c r="G965" s="148" t="s">
        <v>591</v>
      </c>
      <c r="H965" s="150">
        <v>197.16</v>
      </c>
      <c r="I965" s="151">
        <f t="shared" si="6"/>
        <v>2957.4</v>
      </c>
    </row>
    <row r="966" spans="1:9" ht="15" customHeight="1" x14ac:dyDescent="0.25">
      <c r="A966" s="148">
        <v>16932</v>
      </c>
      <c r="B966" s="148" t="s">
        <v>278</v>
      </c>
      <c r="C966" s="148" t="s">
        <v>2420</v>
      </c>
      <c r="D966" s="148" t="s">
        <v>594</v>
      </c>
      <c r="E966" s="148" t="s">
        <v>2257</v>
      </c>
      <c r="F966" s="149">
        <v>0.95</v>
      </c>
      <c r="G966" s="148" t="s">
        <v>591</v>
      </c>
      <c r="H966" s="150">
        <v>197.69</v>
      </c>
      <c r="I966" s="151">
        <f t="shared" si="6"/>
        <v>2965.35</v>
      </c>
    </row>
    <row r="967" spans="1:9" ht="15" customHeight="1" x14ac:dyDescent="0.25">
      <c r="A967" s="148">
        <v>16933</v>
      </c>
      <c r="B967" s="148" t="s">
        <v>280</v>
      </c>
      <c r="C967" s="148" t="s">
        <v>2421</v>
      </c>
      <c r="D967" s="148" t="s">
        <v>594</v>
      </c>
      <c r="E967" s="148" t="s">
        <v>2257</v>
      </c>
      <c r="F967" s="149">
        <v>0.95</v>
      </c>
      <c r="G967" s="148" t="s">
        <v>591</v>
      </c>
      <c r="H967" s="150">
        <v>197.24</v>
      </c>
      <c r="I967" s="151">
        <f t="shared" si="6"/>
        <v>2958.6000000000004</v>
      </c>
    </row>
    <row r="968" spans="1:9" ht="15" customHeight="1" x14ac:dyDescent="0.25">
      <c r="A968" s="148">
        <v>16934</v>
      </c>
      <c r="B968" s="148" t="s">
        <v>282</v>
      </c>
      <c r="C968" s="148" t="s">
        <v>2422</v>
      </c>
      <c r="D968" s="148" t="s">
        <v>594</v>
      </c>
      <c r="E968" s="148" t="s">
        <v>2257</v>
      </c>
      <c r="F968" s="149">
        <v>0.95</v>
      </c>
      <c r="G968" s="148" t="s">
        <v>591</v>
      </c>
      <c r="H968" s="150">
        <v>197.34</v>
      </c>
      <c r="I968" s="151">
        <f t="shared" si="6"/>
        <v>2960.1</v>
      </c>
    </row>
    <row r="969" spans="1:9" ht="15" customHeight="1" x14ac:dyDescent="0.25">
      <c r="A969" s="148">
        <v>16935</v>
      </c>
      <c r="B969" s="148" t="s">
        <v>266</v>
      </c>
      <c r="C969" s="148" t="s">
        <v>2423</v>
      </c>
      <c r="D969" s="148" t="s">
        <v>594</v>
      </c>
      <c r="E969" s="148" t="s">
        <v>2214</v>
      </c>
      <c r="F969" s="149">
        <v>0.95</v>
      </c>
      <c r="G969" s="148" t="s">
        <v>591</v>
      </c>
      <c r="H969" s="150">
        <v>125.96</v>
      </c>
      <c r="I969" s="151">
        <f t="shared" si="6"/>
        <v>1889.3999999999999</v>
      </c>
    </row>
    <row r="970" spans="1:9" ht="15" customHeight="1" x14ac:dyDescent="0.25">
      <c r="A970" s="148">
        <v>16936</v>
      </c>
      <c r="B970" s="148" t="s">
        <v>271</v>
      </c>
      <c r="C970" s="148" t="s">
        <v>2424</v>
      </c>
      <c r="D970" s="148" t="s">
        <v>594</v>
      </c>
      <c r="E970" s="148" t="s">
        <v>2214</v>
      </c>
      <c r="F970" s="149">
        <v>0.95</v>
      </c>
      <c r="G970" s="148" t="s">
        <v>591</v>
      </c>
      <c r="H970" s="150">
        <v>129.29</v>
      </c>
      <c r="I970" s="151">
        <f t="shared" si="6"/>
        <v>1939.35</v>
      </c>
    </row>
    <row r="971" spans="1:9" ht="15" customHeight="1" x14ac:dyDescent="0.25">
      <c r="A971" s="148">
        <v>16937</v>
      </c>
      <c r="B971" s="148" t="s">
        <v>272</v>
      </c>
      <c r="C971" s="148" t="s">
        <v>2425</v>
      </c>
      <c r="D971" s="148" t="s">
        <v>594</v>
      </c>
      <c r="E971" s="148" t="s">
        <v>2214</v>
      </c>
      <c r="F971" s="149">
        <v>0.95</v>
      </c>
      <c r="G971" s="148" t="s">
        <v>591</v>
      </c>
      <c r="H971" s="150">
        <v>134.27000000000001</v>
      </c>
      <c r="I971" s="151">
        <f t="shared" si="6"/>
        <v>2014.0500000000002</v>
      </c>
    </row>
    <row r="972" spans="1:9" ht="15" customHeight="1" x14ac:dyDescent="0.25">
      <c r="A972" s="148">
        <v>16938</v>
      </c>
      <c r="B972" s="148" t="s">
        <v>275</v>
      </c>
      <c r="C972" s="148" t="s">
        <v>2426</v>
      </c>
      <c r="D972" s="148" t="s">
        <v>594</v>
      </c>
      <c r="E972" s="148" t="s">
        <v>2214</v>
      </c>
      <c r="F972" s="149">
        <v>0.95</v>
      </c>
      <c r="G972" s="148" t="s">
        <v>591</v>
      </c>
      <c r="H972" s="150">
        <v>135.33000000000001</v>
      </c>
      <c r="I972" s="151">
        <f t="shared" si="6"/>
        <v>2029.9500000000003</v>
      </c>
    </row>
    <row r="973" spans="1:9" ht="15" customHeight="1" x14ac:dyDescent="0.25">
      <c r="A973" s="148">
        <v>16939</v>
      </c>
      <c r="B973" s="148" t="s">
        <v>292</v>
      </c>
      <c r="C973" s="148" t="s">
        <v>2427</v>
      </c>
      <c r="D973" s="148" t="s">
        <v>594</v>
      </c>
      <c r="E973" s="148" t="s">
        <v>674</v>
      </c>
      <c r="F973" s="149">
        <v>0.95</v>
      </c>
      <c r="G973" s="148" t="s">
        <v>591</v>
      </c>
      <c r="H973" s="150">
        <v>113.39</v>
      </c>
      <c r="I973" s="151">
        <f t="shared" si="6"/>
        <v>1700.85</v>
      </c>
    </row>
    <row r="974" spans="1:9" ht="15" customHeight="1" x14ac:dyDescent="0.25">
      <c r="A974" s="148">
        <v>16940</v>
      </c>
      <c r="B974" s="148" t="s">
        <v>293</v>
      </c>
      <c r="C974" s="148" t="s">
        <v>2428</v>
      </c>
      <c r="D974" s="148" t="s">
        <v>594</v>
      </c>
      <c r="E974" s="148" t="s">
        <v>776</v>
      </c>
      <c r="F974" s="149">
        <v>0.95</v>
      </c>
      <c r="G974" s="148" t="s">
        <v>591</v>
      </c>
      <c r="H974" s="150">
        <v>113</v>
      </c>
      <c r="I974" s="151">
        <f t="shared" si="6"/>
        <v>1695</v>
      </c>
    </row>
    <row r="975" spans="1:9" ht="15" customHeight="1" x14ac:dyDescent="0.25">
      <c r="A975" s="148">
        <v>16941</v>
      </c>
      <c r="B975" s="148" t="s">
        <v>294</v>
      </c>
      <c r="C975" s="148" t="s">
        <v>2429</v>
      </c>
      <c r="D975" s="148" t="s">
        <v>594</v>
      </c>
      <c r="E975" s="148" t="s">
        <v>776</v>
      </c>
      <c r="F975" s="149">
        <v>0.95</v>
      </c>
      <c r="G975" s="148" t="s">
        <v>591</v>
      </c>
      <c r="H975" s="150">
        <v>135.61000000000001</v>
      </c>
      <c r="I975" s="151">
        <f t="shared" si="6"/>
        <v>2034.15</v>
      </c>
    </row>
    <row r="976" spans="1:9" ht="15" customHeight="1" x14ac:dyDescent="0.25">
      <c r="A976" s="148">
        <v>16942</v>
      </c>
      <c r="B976" s="148" t="s">
        <v>296</v>
      </c>
      <c r="C976" s="148" t="s">
        <v>2430</v>
      </c>
      <c r="D976" s="148" t="s">
        <v>594</v>
      </c>
      <c r="E976" s="148" t="s">
        <v>776</v>
      </c>
      <c r="F976" s="149">
        <v>0.95</v>
      </c>
      <c r="G976" s="148" t="s">
        <v>591</v>
      </c>
      <c r="H976" s="150">
        <v>121.6</v>
      </c>
      <c r="I976" s="151">
        <f t="shared" si="6"/>
        <v>1824</v>
      </c>
    </row>
    <row r="977" spans="1:9" ht="15" customHeight="1" x14ac:dyDescent="0.25">
      <c r="A977" s="148">
        <v>16943</v>
      </c>
      <c r="B977" s="148" t="s">
        <v>571</v>
      </c>
      <c r="C977" s="148" t="s">
        <v>2431</v>
      </c>
      <c r="D977" s="148" t="s">
        <v>594</v>
      </c>
      <c r="E977" s="148" t="s">
        <v>776</v>
      </c>
      <c r="F977" s="149">
        <v>0.95</v>
      </c>
      <c r="G977" s="148" t="s">
        <v>591</v>
      </c>
      <c r="H977" s="150">
        <v>110.52</v>
      </c>
      <c r="I977" s="151">
        <f t="shared" si="6"/>
        <v>1657.8</v>
      </c>
    </row>
    <row r="978" spans="1:9" ht="15" customHeight="1" x14ac:dyDescent="0.25">
      <c r="A978" s="148">
        <v>16944</v>
      </c>
      <c r="B978" s="148" t="s">
        <v>295</v>
      </c>
      <c r="C978" s="148" t="s">
        <v>2432</v>
      </c>
      <c r="D978" s="148" t="s">
        <v>594</v>
      </c>
      <c r="E978" s="148" t="s">
        <v>776</v>
      </c>
      <c r="F978" s="149">
        <v>0.95</v>
      </c>
      <c r="G978" s="148" t="s">
        <v>591</v>
      </c>
      <c r="H978" s="150">
        <v>107.4</v>
      </c>
      <c r="I978" s="151">
        <f t="shared" si="6"/>
        <v>1611</v>
      </c>
    </row>
    <row r="979" spans="1:9" ht="15" customHeight="1" x14ac:dyDescent="0.25">
      <c r="A979" s="148">
        <v>16945</v>
      </c>
      <c r="B979" s="148" t="s">
        <v>297</v>
      </c>
      <c r="C979" s="148" t="s">
        <v>2433</v>
      </c>
      <c r="D979" s="148" t="s">
        <v>594</v>
      </c>
      <c r="E979" s="148" t="s">
        <v>776</v>
      </c>
      <c r="F979" s="149">
        <v>0.95</v>
      </c>
      <c r="G979" s="148" t="s">
        <v>591</v>
      </c>
      <c r="H979" s="150">
        <v>123.49</v>
      </c>
      <c r="I979" s="151">
        <f t="shared" si="6"/>
        <v>1852.35</v>
      </c>
    </row>
    <row r="980" spans="1:9" ht="15" customHeight="1" x14ac:dyDescent="0.25">
      <c r="A980" s="148">
        <v>16952</v>
      </c>
      <c r="B980" s="148" t="s">
        <v>298</v>
      </c>
      <c r="C980" s="148" t="s">
        <v>2434</v>
      </c>
      <c r="D980" s="148" t="s">
        <v>594</v>
      </c>
      <c r="E980" s="148" t="s">
        <v>2214</v>
      </c>
      <c r="F980" s="149">
        <v>0.95</v>
      </c>
      <c r="G980" s="148" t="s">
        <v>591</v>
      </c>
      <c r="H980" s="150">
        <v>138.18</v>
      </c>
      <c r="I980" s="151">
        <f t="shared" si="6"/>
        <v>2072.7000000000003</v>
      </c>
    </row>
    <row r="981" spans="1:9" ht="15" customHeight="1" x14ac:dyDescent="0.25">
      <c r="A981" s="148">
        <v>16953</v>
      </c>
      <c r="B981" s="148" t="s">
        <v>2435</v>
      </c>
      <c r="C981" s="148" t="s">
        <v>2436</v>
      </c>
      <c r="D981" s="148" t="s">
        <v>594</v>
      </c>
      <c r="E981" s="148" t="s">
        <v>2257</v>
      </c>
      <c r="F981" s="149">
        <v>0.95</v>
      </c>
      <c r="G981" s="148" t="s">
        <v>591</v>
      </c>
      <c r="H981" s="150">
        <v>189.55</v>
      </c>
      <c r="I981" s="151">
        <f t="shared" si="6"/>
        <v>2843.25</v>
      </c>
    </row>
    <row r="982" spans="1:9" ht="15" customHeight="1" x14ac:dyDescent="0.25">
      <c r="A982" s="148" t="s">
        <v>2437</v>
      </c>
      <c r="B982" s="148" t="s">
        <v>2438</v>
      </c>
      <c r="C982" s="148" t="s">
        <v>2439</v>
      </c>
      <c r="D982" s="148" t="s">
        <v>630</v>
      </c>
      <c r="E982" s="148" t="s">
        <v>886</v>
      </c>
      <c r="F982" s="149">
        <v>1000</v>
      </c>
      <c r="G982" s="148" t="s">
        <v>591</v>
      </c>
      <c r="H982" s="150">
        <v>129836.41</v>
      </c>
      <c r="I982" s="151">
        <v>129836.41</v>
      </c>
    </row>
    <row r="983" spans="1:9" ht="15" customHeight="1" x14ac:dyDescent="0.25">
      <c r="A983" s="148" t="s">
        <v>2437</v>
      </c>
      <c r="B983" s="148" t="s">
        <v>2440</v>
      </c>
      <c r="C983" s="148" t="s">
        <v>2441</v>
      </c>
      <c r="D983" s="148" t="s">
        <v>694</v>
      </c>
      <c r="E983" s="148" t="s">
        <v>695</v>
      </c>
      <c r="F983" s="149">
        <v>1000</v>
      </c>
      <c r="G983" s="148" t="s">
        <v>591</v>
      </c>
      <c r="H983" s="150">
        <v>134070.34</v>
      </c>
      <c r="I983" s="151">
        <v>134070.34</v>
      </c>
    </row>
    <row r="984" spans="1:9" ht="15" customHeight="1" x14ac:dyDescent="0.25">
      <c r="A984" s="148" t="s">
        <v>2437</v>
      </c>
      <c r="B984" s="148" t="s">
        <v>2442</v>
      </c>
      <c r="C984" s="148" t="s">
        <v>2443</v>
      </c>
      <c r="D984" s="148" t="s">
        <v>630</v>
      </c>
      <c r="E984" s="148" t="s">
        <v>817</v>
      </c>
      <c r="F984" s="149">
        <v>1000</v>
      </c>
      <c r="G984" s="148" t="s">
        <v>591</v>
      </c>
      <c r="H984" s="150">
        <v>185530.56</v>
      </c>
      <c r="I984" s="151">
        <v>185530.56</v>
      </c>
    </row>
    <row r="985" spans="1:9" ht="15" customHeight="1" x14ac:dyDescent="0.25">
      <c r="A985" s="148" t="s">
        <v>2437</v>
      </c>
      <c r="B985" s="148" t="s">
        <v>2444</v>
      </c>
      <c r="C985" s="148" t="s">
        <v>2445</v>
      </c>
      <c r="D985" s="148" t="s">
        <v>694</v>
      </c>
      <c r="E985" s="148" t="s">
        <v>927</v>
      </c>
      <c r="F985" s="149">
        <v>1000</v>
      </c>
      <c r="G985" s="148" t="s">
        <v>591</v>
      </c>
      <c r="H985" s="150">
        <v>88695.15</v>
      </c>
      <c r="I985" s="151">
        <v>88695.15</v>
      </c>
    </row>
    <row r="986" spans="1:9" ht="15" customHeight="1" x14ac:dyDescent="0.25">
      <c r="A986" s="148" t="s">
        <v>2437</v>
      </c>
      <c r="B986" s="148" t="s">
        <v>2446</v>
      </c>
      <c r="C986" s="148" t="s">
        <v>2447</v>
      </c>
      <c r="D986" s="148" t="s">
        <v>694</v>
      </c>
      <c r="E986" s="148" t="s">
        <v>698</v>
      </c>
      <c r="F986" s="149">
        <v>1000</v>
      </c>
      <c r="G986" s="148" t="s">
        <v>591</v>
      </c>
      <c r="H986" s="150">
        <v>117043.01</v>
      </c>
      <c r="I986" s="151">
        <v>117043.01</v>
      </c>
    </row>
    <row r="987" spans="1:9" ht="15" customHeight="1" x14ac:dyDescent="0.25">
      <c r="A987" s="148" t="s">
        <v>2437</v>
      </c>
      <c r="B987" s="148" t="s">
        <v>2448</v>
      </c>
      <c r="C987" s="148" t="s">
        <v>2449</v>
      </c>
      <c r="D987" s="148" t="s">
        <v>630</v>
      </c>
      <c r="E987" s="148" t="s">
        <v>2450</v>
      </c>
      <c r="F987" s="149">
        <v>1000</v>
      </c>
      <c r="G987" s="148" t="s">
        <v>591</v>
      </c>
      <c r="H987" s="150">
        <v>89551</v>
      </c>
      <c r="I987" s="151">
        <v>89551</v>
      </c>
    </row>
    <row r="988" spans="1:9" ht="15" customHeight="1" x14ac:dyDescent="0.25">
      <c r="A988" s="148" t="s">
        <v>2437</v>
      </c>
      <c r="B988" s="148" t="s">
        <v>2451</v>
      </c>
      <c r="C988" s="148" t="s">
        <v>2452</v>
      </c>
      <c r="D988" s="148" t="s">
        <v>630</v>
      </c>
      <c r="E988" s="148" t="s">
        <v>631</v>
      </c>
      <c r="F988" s="149">
        <v>1000</v>
      </c>
      <c r="G988" s="148" t="s">
        <v>591</v>
      </c>
      <c r="H988" s="150">
        <v>89969.95</v>
      </c>
      <c r="I988" s="151">
        <v>89969.95</v>
      </c>
    </row>
    <row r="989" spans="1:9" ht="15" customHeight="1" x14ac:dyDescent="0.25">
      <c r="A989" s="148" t="s">
        <v>2437</v>
      </c>
      <c r="B989" s="148" t="s">
        <v>2453</v>
      </c>
      <c r="C989" s="148" t="s">
        <v>2454</v>
      </c>
      <c r="D989" s="148" t="s">
        <v>630</v>
      </c>
      <c r="E989" s="148" t="s">
        <v>2450</v>
      </c>
      <c r="F989" s="149">
        <v>1000</v>
      </c>
      <c r="G989" s="148" t="s">
        <v>591</v>
      </c>
      <c r="H989" s="150">
        <v>109447.75</v>
      </c>
      <c r="I989" s="151">
        <v>109447.75</v>
      </c>
    </row>
    <row r="990" spans="1:9" ht="15" customHeight="1" x14ac:dyDescent="0.25">
      <c r="A990" s="148" t="s">
        <v>2437</v>
      </c>
      <c r="B990" s="148" t="s">
        <v>2455</v>
      </c>
      <c r="C990" s="148" t="s">
        <v>2456</v>
      </c>
      <c r="D990" s="148" t="s">
        <v>630</v>
      </c>
      <c r="E990" s="148" t="s">
        <v>631</v>
      </c>
      <c r="F990" s="149">
        <v>1000</v>
      </c>
      <c r="G990" s="148" t="s">
        <v>591</v>
      </c>
      <c r="H990" s="150">
        <v>84446.87</v>
      </c>
      <c r="I990" s="151">
        <v>84446.87</v>
      </c>
    </row>
    <row r="991" spans="1:9" ht="15" customHeight="1" x14ac:dyDescent="0.25">
      <c r="A991" s="148" t="s">
        <v>2437</v>
      </c>
      <c r="B991" s="148" t="s">
        <v>2457</v>
      </c>
      <c r="C991" s="148" t="s">
        <v>2458</v>
      </c>
      <c r="D991" s="148" t="s">
        <v>630</v>
      </c>
      <c r="E991" s="148" t="s">
        <v>2450</v>
      </c>
      <c r="F991" s="149">
        <v>1000</v>
      </c>
      <c r="G991" s="148" t="s">
        <v>591</v>
      </c>
      <c r="H991" s="150">
        <v>92977.74</v>
      </c>
      <c r="I991" s="151">
        <v>92977.74</v>
      </c>
    </row>
    <row r="992" spans="1:9" ht="15" customHeight="1" x14ac:dyDescent="0.25">
      <c r="A992" s="148" t="s">
        <v>2437</v>
      </c>
      <c r="B992" s="148" t="s">
        <v>2459</v>
      </c>
      <c r="C992" s="148" t="s">
        <v>2460</v>
      </c>
      <c r="D992" s="148" t="s">
        <v>630</v>
      </c>
      <c r="E992" s="148" t="s">
        <v>812</v>
      </c>
      <c r="F992" s="149">
        <v>1000</v>
      </c>
      <c r="G992" s="148" t="s">
        <v>591</v>
      </c>
      <c r="H992" s="150">
        <v>202027.31</v>
      </c>
      <c r="I992" s="151">
        <v>202027.31</v>
      </c>
    </row>
    <row r="993" spans="1:9" ht="15" customHeight="1" x14ac:dyDescent="0.25">
      <c r="A993" s="148" t="s">
        <v>2437</v>
      </c>
      <c r="B993" s="148" t="s">
        <v>2461</v>
      </c>
      <c r="C993" s="148" t="s">
        <v>2462</v>
      </c>
      <c r="D993" s="148" t="s">
        <v>630</v>
      </c>
      <c r="E993" s="148" t="s">
        <v>1009</v>
      </c>
      <c r="F993" s="149">
        <v>1000</v>
      </c>
      <c r="G993" s="148" t="s">
        <v>591</v>
      </c>
      <c r="H993" s="150">
        <v>155273.43</v>
      </c>
      <c r="I993" s="151">
        <v>155273.43</v>
      </c>
    </row>
    <row r="994" spans="1:9" ht="15" customHeight="1" x14ac:dyDescent="0.25">
      <c r="A994" s="148" t="s">
        <v>2437</v>
      </c>
      <c r="B994" s="148" t="s">
        <v>2463</v>
      </c>
      <c r="C994" s="148" t="s">
        <v>2464</v>
      </c>
      <c r="D994" s="148" t="s">
        <v>630</v>
      </c>
      <c r="E994" s="148" t="s">
        <v>835</v>
      </c>
      <c r="F994" s="149">
        <v>1000</v>
      </c>
      <c r="G994" s="148" t="s">
        <v>591</v>
      </c>
      <c r="H994" s="150">
        <v>99269.15</v>
      </c>
      <c r="I994" s="151">
        <v>99269.15</v>
      </c>
    </row>
    <row r="995" spans="1:9" ht="15" customHeight="1" x14ac:dyDescent="0.25">
      <c r="A995" s="148" t="s">
        <v>2437</v>
      </c>
      <c r="B995" s="148" t="s">
        <v>2465</v>
      </c>
      <c r="C995" s="148" t="s">
        <v>2466</v>
      </c>
      <c r="D995" s="148" t="s">
        <v>630</v>
      </c>
      <c r="E995" s="148" t="s">
        <v>840</v>
      </c>
      <c r="F995" s="149">
        <v>1000</v>
      </c>
      <c r="G995" s="148" t="s">
        <v>591</v>
      </c>
      <c r="H995" s="150">
        <v>113930.69</v>
      </c>
      <c r="I995" s="151">
        <v>113930.69</v>
      </c>
    </row>
    <row r="996" spans="1:9" ht="15" customHeight="1" x14ac:dyDescent="0.25">
      <c r="A996" s="148" t="s">
        <v>2437</v>
      </c>
      <c r="B996" s="148" t="s">
        <v>2467</v>
      </c>
      <c r="C996" s="148" t="s">
        <v>2468</v>
      </c>
      <c r="D996" s="148" t="s">
        <v>630</v>
      </c>
      <c r="E996" s="148" t="s">
        <v>886</v>
      </c>
      <c r="F996" s="149">
        <v>1000</v>
      </c>
      <c r="G996" s="148" t="s">
        <v>591</v>
      </c>
      <c r="H996" s="150">
        <v>105580.69</v>
      </c>
      <c r="I996" s="151">
        <v>105580.69</v>
      </c>
    </row>
    <row r="997" spans="1:9" ht="15" customHeight="1" x14ac:dyDescent="0.25">
      <c r="A997" s="148" t="s">
        <v>2437</v>
      </c>
      <c r="B997" s="148" t="s">
        <v>2469</v>
      </c>
      <c r="C997" s="148" t="s">
        <v>2470</v>
      </c>
      <c r="D997" s="148" t="s">
        <v>630</v>
      </c>
      <c r="E997" s="148" t="s">
        <v>2195</v>
      </c>
      <c r="F997" s="149">
        <v>1000</v>
      </c>
      <c r="G997" s="148" t="s">
        <v>591</v>
      </c>
      <c r="H997" s="150">
        <v>109071.37</v>
      </c>
      <c r="I997" s="151">
        <v>109071.37</v>
      </c>
    </row>
    <row r="998" spans="1:9" ht="15" customHeight="1" x14ac:dyDescent="0.25">
      <c r="A998" s="148" t="s">
        <v>2437</v>
      </c>
      <c r="B998" s="148" t="s">
        <v>2471</v>
      </c>
      <c r="C998" s="148" t="s">
        <v>2472</v>
      </c>
      <c r="D998" s="148" t="s">
        <v>630</v>
      </c>
      <c r="E998" s="148" t="s">
        <v>817</v>
      </c>
      <c r="F998" s="149">
        <v>1000</v>
      </c>
      <c r="G998" s="148" t="s">
        <v>591</v>
      </c>
      <c r="H998" s="150">
        <v>175519.38</v>
      </c>
      <c r="I998" s="151">
        <v>175519.38</v>
      </c>
    </row>
    <row r="999" spans="1:9" ht="15" customHeight="1" x14ac:dyDescent="0.25">
      <c r="A999" s="148" t="s">
        <v>2437</v>
      </c>
      <c r="B999" s="148" t="s">
        <v>2473</v>
      </c>
      <c r="C999" s="148" t="s">
        <v>2474</v>
      </c>
      <c r="D999" s="148" t="s">
        <v>606</v>
      </c>
      <c r="E999" s="148" t="s">
        <v>2475</v>
      </c>
      <c r="F999" s="149">
        <v>200</v>
      </c>
      <c r="G999" s="148" t="s">
        <v>591</v>
      </c>
      <c r="H999" s="150">
        <v>28863.08</v>
      </c>
      <c r="I999" s="151">
        <v>28863.08</v>
      </c>
    </row>
    <row r="1000" spans="1:9" ht="15" customHeight="1" x14ac:dyDescent="0.25">
      <c r="A1000" s="148" t="s">
        <v>2437</v>
      </c>
      <c r="B1000" s="148" t="s">
        <v>2476</v>
      </c>
      <c r="C1000" s="148" t="s">
        <v>2477</v>
      </c>
      <c r="D1000" s="148" t="s">
        <v>594</v>
      </c>
      <c r="E1000" s="148" t="s">
        <v>2257</v>
      </c>
      <c r="F1000" s="149">
        <v>200</v>
      </c>
      <c r="G1000" s="148" t="s">
        <v>591</v>
      </c>
      <c r="H1000" s="150">
        <v>38764.86</v>
      </c>
      <c r="I1000" s="151">
        <v>38764.86</v>
      </c>
    </row>
    <row r="1001" spans="1:9" ht="15" customHeight="1" x14ac:dyDescent="0.25">
      <c r="A1001" s="148" t="s">
        <v>2437</v>
      </c>
      <c r="B1001" s="148" t="s">
        <v>574</v>
      </c>
      <c r="C1001" s="148" t="s">
        <v>2478</v>
      </c>
      <c r="D1001" s="148" t="s">
        <v>594</v>
      </c>
      <c r="E1001" s="148" t="s">
        <v>595</v>
      </c>
      <c r="F1001" s="149">
        <v>0.95</v>
      </c>
      <c r="G1001" s="148" t="s">
        <v>591</v>
      </c>
      <c r="H1001" s="150">
        <v>96.42</v>
      </c>
      <c r="I1001" s="151">
        <f>H1001*16</f>
        <v>1542.72</v>
      </c>
    </row>
    <row r="1002" spans="1:9" ht="15" customHeight="1" x14ac:dyDescent="0.25">
      <c r="A1002" s="148" t="s">
        <v>2437</v>
      </c>
      <c r="B1002" s="148" t="s">
        <v>572</v>
      </c>
      <c r="C1002" s="148" t="s">
        <v>2479</v>
      </c>
      <c r="D1002" s="148" t="s">
        <v>594</v>
      </c>
      <c r="E1002" s="148" t="s">
        <v>595</v>
      </c>
      <c r="F1002" s="149">
        <v>5</v>
      </c>
      <c r="G1002" s="148" t="s">
        <v>591</v>
      </c>
      <c r="H1002" s="150">
        <v>527.79</v>
      </c>
      <c r="I1002" s="151">
        <f>H1002*4</f>
        <v>2111.16</v>
      </c>
    </row>
    <row r="1003" spans="1:9" ht="15" customHeight="1" x14ac:dyDescent="0.25">
      <c r="A1003" s="148" t="s">
        <v>2437</v>
      </c>
      <c r="B1003" s="148" t="s">
        <v>2480</v>
      </c>
      <c r="C1003" s="148" t="s">
        <v>2481</v>
      </c>
      <c r="D1003" s="148" t="s">
        <v>594</v>
      </c>
      <c r="E1003" s="148" t="s">
        <v>595</v>
      </c>
      <c r="F1003" s="149">
        <v>0.95</v>
      </c>
      <c r="G1003" s="148" t="s">
        <v>591</v>
      </c>
      <c r="H1003" s="150">
        <v>92.26</v>
      </c>
      <c r="I1003" s="151">
        <f>H1003*16</f>
        <v>1476.16</v>
      </c>
    </row>
    <row r="1004" spans="1:9" ht="15" customHeight="1" x14ac:dyDescent="0.25">
      <c r="A1004" s="148" t="s">
        <v>2437</v>
      </c>
      <c r="B1004" s="148" t="s">
        <v>2482</v>
      </c>
      <c r="C1004" s="148" t="s">
        <v>2483</v>
      </c>
      <c r="D1004" s="148" t="s">
        <v>630</v>
      </c>
      <c r="E1004" s="148" t="s">
        <v>631</v>
      </c>
      <c r="F1004" s="149">
        <v>1</v>
      </c>
      <c r="G1004" s="148" t="s">
        <v>591</v>
      </c>
      <c r="H1004" s="150">
        <v>87.18</v>
      </c>
      <c r="I1004" s="151">
        <f>H1004*1000</f>
        <v>87180</v>
      </c>
    </row>
    <row r="1005" spans="1:9" ht="15" customHeight="1" x14ac:dyDescent="0.25">
      <c r="A1005" s="148" t="s">
        <v>2437</v>
      </c>
      <c r="B1005" s="148" t="s">
        <v>2484</v>
      </c>
      <c r="C1005" s="148" t="s">
        <v>2485</v>
      </c>
      <c r="D1005" s="148" t="s">
        <v>606</v>
      </c>
      <c r="E1005" s="148" t="s">
        <v>607</v>
      </c>
      <c r="F1005" s="149">
        <v>1</v>
      </c>
      <c r="G1005" s="148" t="s">
        <v>591</v>
      </c>
      <c r="H1005" s="150">
        <v>110.82</v>
      </c>
      <c r="I1005" s="151">
        <f>H1005*1000</f>
        <v>110820</v>
      </c>
    </row>
    <row r="1006" spans="1:9" ht="15" customHeight="1" x14ac:dyDescent="0.25">
      <c r="A1006" s="148" t="s">
        <v>2437</v>
      </c>
      <c r="B1006" s="148" t="s">
        <v>2486</v>
      </c>
      <c r="C1006" s="148" t="s">
        <v>2487</v>
      </c>
      <c r="D1006" s="148" t="s">
        <v>705</v>
      </c>
      <c r="E1006" s="148" t="s">
        <v>2026</v>
      </c>
      <c r="F1006" s="149">
        <v>16</v>
      </c>
      <c r="G1006" s="148" t="s">
        <v>591</v>
      </c>
      <c r="H1006" s="150">
        <v>3880.43</v>
      </c>
      <c r="I1006" s="151">
        <v>3880.43</v>
      </c>
    </row>
    <row r="1007" spans="1:9" ht="15" customHeight="1" x14ac:dyDescent="0.25">
      <c r="A1007" s="148" t="s">
        <v>2437</v>
      </c>
      <c r="B1007" s="148" t="s">
        <v>2488</v>
      </c>
      <c r="C1007" s="148" t="s">
        <v>2489</v>
      </c>
      <c r="D1007" s="148" t="s">
        <v>1025</v>
      </c>
      <c r="E1007" s="148" t="s">
        <v>1206</v>
      </c>
      <c r="F1007" s="149">
        <v>200</v>
      </c>
      <c r="G1007" s="148" t="s">
        <v>591</v>
      </c>
      <c r="H1007" s="150">
        <v>32490.44</v>
      </c>
      <c r="I1007" s="151">
        <v>32490.44</v>
      </c>
    </row>
    <row r="1008" spans="1:9" ht="15" customHeight="1" x14ac:dyDescent="0.25">
      <c r="A1008" s="148" t="s">
        <v>2437</v>
      </c>
      <c r="B1008" s="148" t="s">
        <v>577</v>
      </c>
      <c r="C1008" s="148" t="s">
        <v>2490</v>
      </c>
      <c r="D1008" s="148" t="s">
        <v>594</v>
      </c>
      <c r="E1008" s="148" t="s">
        <v>595</v>
      </c>
      <c r="F1008" s="149">
        <v>4</v>
      </c>
      <c r="G1008" s="148" t="s">
        <v>591</v>
      </c>
      <c r="H1008" s="150">
        <v>383.53</v>
      </c>
      <c r="I1008" s="151">
        <f>H1008*4</f>
        <v>1534.12</v>
      </c>
    </row>
    <row r="1009" spans="1:9" ht="15" customHeight="1" x14ac:dyDescent="0.25">
      <c r="A1009" s="148" t="s">
        <v>2437</v>
      </c>
      <c r="B1009" s="148" t="s">
        <v>2491</v>
      </c>
      <c r="C1009" s="148" t="s">
        <v>2492</v>
      </c>
      <c r="D1009" s="148" t="s">
        <v>606</v>
      </c>
      <c r="E1009" s="148" t="s">
        <v>607</v>
      </c>
      <c r="F1009" s="149">
        <v>1</v>
      </c>
      <c r="G1009" s="148" t="s">
        <v>591</v>
      </c>
      <c r="H1009" s="150">
        <v>115.7</v>
      </c>
      <c r="I1009" s="151">
        <f>H1009*1000</f>
        <v>115700</v>
      </c>
    </row>
    <row r="1010" spans="1:9" ht="15" customHeight="1" x14ac:dyDescent="0.25">
      <c r="A1010" s="148" t="s">
        <v>2437</v>
      </c>
      <c r="B1010" s="148" t="s">
        <v>2493</v>
      </c>
      <c r="C1010" s="148" t="s">
        <v>2494</v>
      </c>
      <c r="D1010" s="148" t="s">
        <v>594</v>
      </c>
      <c r="E1010" s="148" t="s">
        <v>595</v>
      </c>
      <c r="F1010" s="149">
        <v>4</v>
      </c>
      <c r="G1010" s="148" t="s">
        <v>591</v>
      </c>
      <c r="H1010" s="150">
        <v>349.16</v>
      </c>
      <c r="I1010" s="151">
        <f>H1010*4</f>
        <v>1396.64</v>
      </c>
    </row>
    <row r="1011" spans="1:9" ht="15" customHeight="1" x14ac:dyDescent="0.25">
      <c r="A1011" s="148" t="s">
        <v>2437</v>
      </c>
      <c r="B1011" s="148" t="s">
        <v>2495</v>
      </c>
      <c r="C1011" s="148" t="s">
        <v>2496</v>
      </c>
      <c r="D1011" s="148" t="s">
        <v>600</v>
      </c>
      <c r="E1011" s="148" t="s">
        <v>1078</v>
      </c>
      <c r="F1011" s="149">
        <v>200</v>
      </c>
      <c r="G1011" s="148" t="s">
        <v>591</v>
      </c>
      <c r="H1011" s="150">
        <v>23379.9</v>
      </c>
      <c r="I1011" s="151">
        <v>23379.9</v>
      </c>
    </row>
    <row r="1012" spans="1:9" ht="15" customHeight="1" x14ac:dyDescent="0.25">
      <c r="A1012" s="148" t="s">
        <v>2437</v>
      </c>
      <c r="B1012" s="148" t="s">
        <v>2497</v>
      </c>
      <c r="C1012" s="148" t="s">
        <v>2498</v>
      </c>
      <c r="D1012" s="148" t="s">
        <v>1025</v>
      </c>
      <c r="E1012" s="148" t="s">
        <v>2499</v>
      </c>
      <c r="F1012" s="149">
        <v>1</v>
      </c>
      <c r="G1012" s="148" t="s">
        <v>591</v>
      </c>
      <c r="H1012" s="150">
        <v>66.930000000000007</v>
      </c>
      <c r="I1012" s="151">
        <f>H1012*1000</f>
        <v>66930</v>
      </c>
    </row>
  </sheetData>
  <autoFilter ref="A1:H1012" xr:uid="{00000000-0009-0000-0000-000000000000}"/>
  <conditionalFormatting sqref="A1013:B1048576 A1:B1 A2:A1012">
    <cfRule type="duplicateValues" dxfId="23" priority="1"/>
  </conditionalFormatting>
  <conditionalFormatting sqref="B2:B1012">
    <cfRule type="duplicateValues" dxfId="22" priority="2"/>
  </conditionalFormatting>
  <pageMargins left="0.70866141732283472" right="0.70866141732283472" top="0.74803149606299213" bottom="0.74803149606299213" header="0.31496062992125984" footer="0.31496062992125984"/>
  <pageSetup scale="70" fitToHeight="15"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012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0.85546875" defaultRowHeight="15" x14ac:dyDescent="0.25"/>
  <cols>
    <col min="1" max="1" width="4.140625" customWidth="1"/>
    <col min="2" max="2" width="13" bestFit="1" customWidth="1"/>
    <col min="3" max="16" width="11" customWidth="1"/>
    <col min="17" max="21" width="15.7109375" customWidth="1"/>
    <col min="22" max="22" width="18.7109375" style="155" bestFit="1" customWidth="1"/>
    <col min="23" max="23" width="15.28515625" style="156" bestFit="1" customWidth="1"/>
    <col min="24" max="24" width="8" bestFit="1" customWidth="1"/>
  </cols>
  <sheetData>
    <row r="1" spans="1:24" ht="30" x14ac:dyDescent="0.25">
      <c r="A1" s="139" t="s">
        <v>579</v>
      </c>
      <c r="B1" s="139" t="s">
        <v>580</v>
      </c>
      <c r="C1" s="139" t="s">
        <v>2505</v>
      </c>
      <c r="D1" s="139" t="s">
        <v>2506</v>
      </c>
      <c r="E1" s="139" t="s">
        <v>2507</v>
      </c>
      <c r="F1" s="139" t="s">
        <v>2508</v>
      </c>
      <c r="G1" s="139" t="s">
        <v>2509</v>
      </c>
      <c r="H1" s="139" t="s">
        <v>2510</v>
      </c>
      <c r="I1" s="139" t="s">
        <v>2549</v>
      </c>
      <c r="J1" s="139" t="s">
        <v>2550</v>
      </c>
      <c r="K1" s="139" t="s">
        <v>2551</v>
      </c>
      <c r="L1" s="139" t="s">
        <v>2552</v>
      </c>
      <c r="M1" s="139" t="s">
        <v>2553</v>
      </c>
      <c r="N1" s="139" t="s">
        <v>2554</v>
      </c>
      <c r="O1" s="139" t="s">
        <v>2555</v>
      </c>
      <c r="P1" s="139" t="s">
        <v>2556</v>
      </c>
      <c r="Q1" s="139" t="s">
        <v>581</v>
      </c>
      <c r="R1" s="139" t="s">
        <v>582</v>
      </c>
      <c r="S1" s="140" t="s">
        <v>583</v>
      </c>
      <c r="T1" s="139" t="s">
        <v>584</v>
      </c>
      <c r="U1" s="140" t="s">
        <v>585</v>
      </c>
      <c r="V1" s="141" t="s">
        <v>586</v>
      </c>
      <c r="W1" s="142" t="s">
        <v>587</v>
      </c>
    </row>
    <row r="2" spans="1:24" ht="15" customHeight="1" x14ac:dyDescent="0.25">
      <c r="A2" s="143">
        <v>48</v>
      </c>
      <c r="B2" s="143" t="s">
        <v>611</v>
      </c>
      <c r="C2" s="143" t="s">
        <v>2504</v>
      </c>
      <c r="D2" s="143" t="s">
        <v>2504</v>
      </c>
      <c r="E2" s="143" t="s">
        <v>2504</v>
      </c>
      <c r="F2" s="143" t="s">
        <v>2504</v>
      </c>
      <c r="G2" s="143" t="s">
        <v>2504</v>
      </c>
      <c r="H2" s="143" t="s">
        <v>2504</v>
      </c>
      <c r="I2" s="143" t="s">
        <v>2504</v>
      </c>
      <c r="J2" s="143" t="s">
        <v>2504</v>
      </c>
      <c r="K2" s="143" t="s">
        <v>2504</v>
      </c>
      <c r="L2" s="143" t="s">
        <v>2504</v>
      </c>
      <c r="M2" s="143" t="s">
        <v>2504</v>
      </c>
      <c r="N2" s="143" t="s">
        <v>2504</v>
      </c>
      <c r="O2" s="143" t="s">
        <v>2504</v>
      </c>
      <c r="P2" s="143" t="s">
        <v>2504</v>
      </c>
      <c r="Q2" s="143" t="s">
        <v>612</v>
      </c>
      <c r="R2" s="143" t="s">
        <v>600</v>
      </c>
      <c r="S2" s="143" t="s">
        <v>613</v>
      </c>
      <c r="T2" s="144">
        <v>3.8</v>
      </c>
      <c r="U2" s="143" t="s">
        <v>591</v>
      </c>
      <c r="V2" s="145">
        <v>230.12</v>
      </c>
      <c r="W2" s="146">
        <f>V2*16</f>
        <v>3681.92</v>
      </c>
      <c r="X2" s="147"/>
    </row>
    <row r="3" spans="1:24" ht="15" customHeight="1" x14ac:dyDescent="0.25">
      <c r="A3" s="148">
        <v>50</v>
      </c>
      <c r="B3" s="148" t="s">
        <v>616</v>
      </c>
      <c r="C3" s="143" t="s">
        <v>2504</v>
      </c>
      <c r="D3" s="143" t="s">
        <v>2504</v>
      </c>
      <c r="E3" s="143" t="s">
        <v>2504</v>
      </c>
      <c r="F3" s="143" t="s">
        <v>2504</v>
      </c>
      <c r="G3" s="143" t="s">
        <v>2504</v>
      </c>
      <c r="H3" s="143" t="s">
        <v>2504</v>
      </c>
      <c r="I3" s="143" t="s">
        <v>2504</v>
      </c>
      <c r="J3" s="143" t="s">
        <v>2504</v>
      </c>
      <c r="K3" s="143" t="s">
        <v>2504</v>
      </c>
      <c r="L3" s="143" t="s">
        <v>2504</v>
      </c>
      <c r="M3" s="143" t="s">
        <v>2504</v>
      </c>
      <c r="N3" s="143" t="s">
        <v>2504</v>
      </c>
      <c r="O3" s="143" t="s">
        <v>2504</v>
      </c>
      <c r="P3" s="143" t="s">
        <v>2504</v>
      </c>
      <c r="Q3" s="148" t="s">
        <v>617</v>
      </c>
      <c r="R3" s="148" t="s">
        <v>606</v>
      </c>
      <c r="S3" s="148" t="s">
        <v>618</v>
      </c>
      <c r="T3" s="149">
        <v>0.95</v>
      </c>
      <c r="U3" s="148" t="s">
        <v>591</v>
      </c>
      <c r="V3" s="150">
        <v>79.349999999999994</v>
      </c>
      <c r="W3" s="151">
        <f>V3*16</f>
        <v>1269.5999999999999</v>
      </c>
    </row>
    <row r="4" spans="1:24" ht="15" customHeight="1" x14ac:dyDescent="0.25">
      <c r="A4" s="148">
        <v>61</v>
      </c>
      <c r="B4" s="148" t="s">
        <v>628</v>
      </c>
      <c r="C4" s="143" t="s">
        <v>2504</v>
      </c>
      <c r="D4" s="143" t="s">
        <v>2504</v>
      </c>
      <c r="E4" s="143" t="s">
        <v>2504</v>
      </c>
      <c r="F4" s="143" t="s">
        <v>2504</v>
      </c>
      <c r="G4" s="143" t="s">
        <v>2504</v>
      </c>
      <c r="H4" s="143" t="s">
        <v>2504</v>
      </c>
      <c r="I4" s="143" t="s">
        <v>2504</v>
      </c>
      <c r="J4" s="143" t="s">
        <v>2504</v>
      </c>
      <c r="K4" s="143" t="s">
        <v>2504</v>
      </c>
      <c r="L4" s="143" t="s">
        <v>2504</v>
      </c>
      <c r="M4" s="143" t="s">
        <v>2504</v>
      </c>
      <c r="N4" s="143" t="s">
        <v>2504</v>
      </c>
      <c r="O4" s="143" t="s">
        <v>2504</v>
      </c>
      <c r="P4" s="143" t="s">
        <v>2504</v>
      </c>
      <c r="Q4" s="148" t="s">
        <v>629</v>
      </c>
      <c r="R4" s="148" t="s">
        <v>630</v>
      </c>
      <c r="S4" s="148" t="s">
        <v>631</v>
      </c>
      <c r="T4" s="149">
        <v>19</v>
      </c>
      <c r="U4" s="148" t="s">
        <v>591</v>
      </c>
      <c r="V4" s="150">
        <v>1703.51</v>
      </c>
      <c r="W4" s="151">
        <f>V4*16</f>
        <v>27256.16</v>
      </c>
    </row>
    <row r="5" spans="1:24" ht="15" customHeight="1" x14ac:dyDescent="0.25">
      <c r="A5" s="148">
        <v>65</v>
      </c>
      <c r="B5" s="148" t="s">
        <v>635</v>
      </c>
      <c r="C5" s="143" t="s">
        <v>2504</v>
      </c>
      <c r="D5" s="143" t="s">
        <v>2504</v>
      </c>
      <c r="E5" s="143" t="s">
        <v>2504</v>
      </c>
      <c r="F5" s="143" t="s">
        <v>2504</v>
      </c>
      <c r="G5" s="143" t="s">
        <v>2504</v>
      </c>
      <c r="H5" s="143" t="s">
        <v>2504</v>
      </c>
      <c r="I5" s="143" t="s">
        <v>2504</v>
      </c>
      <c r="J5" s="143" t="s">
        <v>2504</v>
      </c>
      <c r="K5" s="143" t="s">
        <v>2504</v>
      </c>
      <c r="L5" s="143" t="s">
        <v>2504</v>
      </c>
      <c r="M5" s="143" t="s">
        <v>2504</v>
      </c>
      <c r="N5" s="143" t="s">
        <v>2504</v>
      </c>
      <c r="O5" s="143" t="s">
        <v>2504</v>
      </c>
      <c r="P5" s="143" t="s">
        <v>2504</v>
      </c>
      <c r="Q5" s="148" t="s">
        <v>636</v>
      </c>
      <c r="R5" s="148" t="s">
        <v>630</v>
      </c>
      <c r="S5" s="148" t="s">
        <v>631</v>
      </c>
      <c r="T5" s="149">
        <v>200</v>
      </c>
      <c r="U5" s="148" t="s">
        <v>591</v>
      </c>
      <c r="V5" s="150">
        <v>18032.580000000002</v>
      </c>
      <c r="W5" s="151">
        <f>V5*16</f>
        <v>288521.28000000003</v>
      </c>
    </row>
    <row r="6" spans="1:24" ht="15" customHeight="1" x14ac:dyDescent="0.25">
      <c r="A6" s="148">
        <v>124</v>
      </c>
      <c r="B6" s="148" t="s">
        <v>672</v>
      </c>
      <c r="C6" s="143" t="s">
        <v>2504</v>
      </c>
      <c r="D6" s="143" t="s">
        <v>2504</v>
      </c>
      <c r="E6" s="143" t="s">
        <v>2504</v>
      </c>
      <c r="F6" s="143" t="s">
        <v>2504</v>
      </c>
      <c r="G6" s="143" t="s">
        <v>2504</v>
      </c>
      <c r="H6" s="143" t="s">
        <v>2504</v>
      </c>
      <c r="I6" s="143" t="s">
        <v>2504</v>
      </c>
      <c r="J6" s="143" t="s">
        <v>2504</v>
      </c>
      <c r="K6" s="143" t="s">
        <v>2504</v>
      </c>
      <c r="L6" s="143" t="s">
        <v>2504</v>
      </c>
      <c r="M6" s="143" t="s">
        <v>2504</v>
      </c>
      <c r="N6" s="143" t="s">
        <v>2504</v>
      </c>
      <c r="O6" s="143" t="s">
        <v>2504</v>
      </c>
      <c r="P6" s="143" t="s">
        <v>2504</v>
      </c>
      <c r="Q6" s="148" t="s">
        <v>673</v>
      </c>
      <c r="R6" s="148" t="s">
        <v>594</v>
      </c>
      <c r="S6" s="148" t="s">
        <v>674</v>
      </c>
      <c r="T6" s="149">
        <v>19</v>
      </c>
      <c r="U6" s="148" t="s">
        <v>591</v>
      </c>
      <c r="V6" s="150">
        <v>2221.88</v>
      </c>
      <c r="W6" s="151">
        <f>V6*16</f>
        <v>35550.080000000002</v>
      </c>
    </row>
    <row r="7" spans="1:24" ht="15" customHeight="1" x14ac:dyDescent="0.25">
      <c r="A7" s="148">
        <v>126</v>
      </c>
      <c r="B7" s="148" t="s">
        <v>675</v>
      </c>
      <c r="C7" s="143" t="s">
        <v>2504</v>
      </c>
      <c r="D7" s="143" t="s">
        <v>2504</v>
      </c>
      <c r="E7" s="143" t="s">
        <v>2504</v>
      </c>
      <c r="F7" s="143" t="s">
        <v>2504</v>
      </c>
      <c r="G7" s="143" t="s">
        <v>2504</v>
      </c>
      <c r="H7" s="143" t="s">
        <v>2504</v>
      </c>
      <c r="I7" s="143" t="s">
        <v>2504</v>
      </c>
      <c r="J7" s="143" t="s">
        <v>2504</v>
      </c>
      <c r="K7" s="143" t="s">
        <v>2504</v>
      </c>
      <c r="L7" s="143" t="s">
        <v>2504</v>
      </c>
      <c r="M7" s="143" t="s">
        <v>2504</v>
      </c>
      <c r="N7" s="143" t="s">
        <v>2504</v>
      </c>
      <c r="O7" s="143" t="s">
        <v>2504</v>
      </c>
      <c r="P7" s="143" t="s">
        <v>2504</v>
      </c>
      <c r="Q7" s="148" t="s">
        <v>676</v>
      </c>
      <c r="R7" s="148" t="s">
        <v>594</v>
      </c>
      <c r="S7" s="148" t="s">
        <v>674</v>
      </c>
      <c r="T7" s="149">
        <v>200</v>
      </c>
      <c r="U7" s="148" t="s">
        <v>591</v>
      </c>
      <c r="V7" s="150">
        <v>23479.21</v>
      </c>
      <c r="W7" s="151">
        <v>2102.5500000000002</v>
      </c>
    </row>
    <row r="8" spans="1:24" ht="15" customHeight="1" x14ac:dyDescent="0.25">
      <c r="A8" s="148">
        <v>178</v>
      </c>
      <c r="B8" s="148" t="s">
        <v>696</v>
      </c>
      <c r="C8" s="143" t="s">
        <v>2504</v>
      </c>
      <c r="D8" s="143" t="s">
        <v>2504</v>
      </c>
      <c r="E8" s="143" t="s">
        <v>2504</v>
      </c>
      <c r="F8" s="143" t="s">
        <v>2504</v>
      </c>
      <c r="G8" s="143" t="s">
        <v>2504</v>
      </c>
      <c r="H8" s="143" t="s">
        <v>2504</v>
      </c>
      <c r="I8" s="143" t="s">
        <v>2504</v>
      </c>
      <c r="J8" s="143" t="s">
        <v>2504</v>
      </c>
      <c r="K8" s="143" t="s">
        <v>2504</v>
      </c>
      <c r="L8" s="143" t="s">
        <v>2504</v>
      </c>
      <c r="M8" s="143" t="s">
        <v>2504</v>
      </c>
      <c r="N8" s="143" t="s">
        <v>2504</v>
      </c>
      <c r="O8" s="143" t="s">
        <v>2504</v>
      </c>
      <c r="P8" s="143" t="s">
        <v>2504</v>
      </c>
      <c r="Q8" s="148" t="s">
        <v>697</v>
      </c>
      <c r="R8" s="148" t="s">
        <v>694</v>
      </c>
      <c r="S8" s="148" t="s">
        <v>698</v>
      </c>
      <c r="T8" s="149">
        <v>1</v>
      </c>
      <c r="U8" s="148" t="s">
        <v>591</v>
      </c>
      <c r="V8" s="150">
        <v>132.05000000000001</v>
      </c>
      <c r="W8" s="151">
        <v>2216.89</v>
      </c>
    </row>
    <row r="9" spans="1:24" ht="15" customHeight="1" x14ac:dyDescent="0.25">
      <c r="A9" s="148">
        <v>256</v>
      </c>
      <c r="B9" s="148" t="s">
        <v>711</v>
      </c>
      <c r="C9" s="143" t="s">
        <v>2504</v>
      </c>
      <c r="D9" s="143" t="s">
        <v>2504</v>
      </c>
      <c r="E9" s="143" t="s">
        <v>2504</v>
      </c>
      <c r="F9" s="143" t="s">
        <v>2504</v>
      </c>
      <c r="G9" s="143" t="s">
        <v>2504</v>
      </c>
      <c r="H9" s="143" t="s">
        <v>2504</v>
      </c>
      <c r="I9" s="143" t="s">
        <v>2504</v>
      </c>
      <c r="J9" s="143" t="s">
        <v>2504</v>
      </c>
      <c r="K9" s="143" t="s">
        <v>2504</v>
      </c>
      <c r="L9" s="143" t="s">
        <v>2504</v>
      </c>
      <c r="M9" s="143" t="s">
        <v>2504</v>
      </c>
      <c r="N9" s="143" t="s">
        <v>2504</v>
      </c>
      <c r="O9" s="143" t="s">
        <v>2504</v>
      </c>
      <c r="P9" s="143" t="s">
        <v>2504</v>
      </c>
      <c r="Q9" s="148" t="s">
        <v>712</v>
      </c>
      <c r="R9" s="148" t="s">
        <v>705</v>
      </c>
      <c r="S9" s="148" t="s">
        <v>713</v>
      </c>
      <c r="T9" s="149">
        <v>16</v>
      </c>
      <c r="U9" s="148" t="s">
        <v>591</v>
      </c>
      <c r="V9" s="150">
        <v>1736.68</v>
      </c>
      <c r="W9" s="151">
        <f>V9*4</f>
        <v>6946.72</v>
      </c>
    </row>
    <row r="10" spans="1:24" ht="15" customHeight="1" x14ac:dyDescent="0.25">
      <c r="A10" s="148">
        <v>262</v>
      </c>
      <c r="B10" s="148" t="s">
        <v>716</v>
      </c>
      <c r="C10" s="143" t="s">
        <v>2504</v>
      </c>
      <c r="D10" s="143" t="s">
        <v>2504</v>
      </c>
      <c r="E10" s="143" t="s">
        <v>2504</v>
      </c>
      <c r="F10" s="143" t="s">
        <v>2504</v>
      </c>
      <c r="G10" s="143" t="s">
        <v>2504</v>
      </c>
      <c r="H10" s="143" t="s">
        <v>2504</v>
      </c>
      <c r="I10" s="143" t="s">
        <v>2504</v>
      </c>
      <c r="J10" s="143" t="s">
        <v>2504</v>
      </c>
      <c r="K10" s="143" t="s">
        <v>2504</v>
      </c>
      <c r="L10" s="143" t="s">
        <v>2504</v>
      </c>
      <c r="M10" s="143" t="s">
        <v>2504</v>
      </c>
      <c r="N10" s="143" t="s">
        <v>2504</v>
      </c>
      <c r="O10" s="143" t="s">
        <v>2504</v>
      </c>
      <c r="P10" s="143" t="s">
        <v>2504</v>
      </c>
      <c r="Q10" s="148" t="s">
        <v>717</v>
      </c>
      <c r="R10" s="148" t="s">
        <v>705</v>
      </c>
      <c r="S10" s="148" t="s">
        <v>713</v>
      </c>
      <c r="T10" s="149">
        <v>170</v>
      </c>
      <c r="U10" s="148" t="s">
        <v>591</v>
      </c>
      <c r="V10" s="150">
        <v>18718.46</v>
      </c>
      <c r="W10" s="151">
        <f>V10*4</f>
        <v>74873.84</v>
      </c>
    </row>
    <row r="11" spans="1:24" ht="15" customHeight="1" x14ac:dyDescent="0.25">
      <c r="A11" s="148">
        <v>288</v>
      </c>
      <c r="B11" s="148" t="s">
        <v>729</v>
      </c>
      <c r="C11" s="143" t="s">
        <v>2504</v>
      </c>
      <c r="D11" s="143" t="s">
        <v>2504</v>
      </c>
      <c r="E11" s="143" t="s">
        <v>2504</v>
      </c>
      <c r="F11" s="143" t="s">
        <v>2504</v>
      </c>
      <c r="G11" s="143" t="s">
        <v>2504</v>
      </c>
      <c r="H11" s="143" t="s">
        <v>2504</v>
      </c>
      <c r="I11" s="143" t="s">
        <v>2504</v>
      </c>
      <c r="J11" s="143" t="s">
        <v>2504</v>
      </c>
      <c r="K11" s="143" t="s">
        <v>2504</v>
      </c>
      <c r="L11" s="143" t="s">
        <v>2504</v>
      </c>
      <c r="M11" s="143" t="s">
        <v>2504</v>
      </c>
      <c r="N11" s="143" t="s">
        <v>2504</v>
      </c>
      <c r="O11" s="143" t="s">
        <v>2504</v>
      </c>
      <c r="P11" s="143" t="s">
        <v>2504</v>
      </c>
      <c r="Q11" s="148" t="s">
        <v>730</v>
      </c>
      <c r="R11" s="148" t="s">
        <v>705</v>
      </c>
      <c r="S11" s="148" t="s">
        <v>731</v>
      </c>
      <c r="T11" s="149">
        <v>3.5</v>
      </c>
      <c r="U11" s="148" t="s">
        <v>591</v>
      </c>
      <c r="V11" s="150">
        <v>413.6</v>
      </c>
      <c r="W11" s="151">
        <f>V11*16</f>
        <v>6617.6</v>
      </c>
    </row>
    <row r="12" spans="1:24" ht="15" customHeight="1" x14ac:dyDescent="0.25">
      <c r="A12" s="148">
        <v>294</v>
      </c>
      <c r="B12" s="148" t="s">
        <v>732</v>
      </c>
      <c r="C12" s="143" t="s">
        <v>2504</v>
      </c>
      <c r="D12" s="143" t="s">
        <v>2504</v>
      </c>
      <c r="E12" s="143" t="s">
        <v>2504</v>
      </c>
      <c r="F12" s="143" t="s">
        <v>2504</v>
      </c>
      <c r="G12" s="143" t="s">
        <v>2504</v>
      </c>
      <c r="H12" s="143" t="s">
        <v>2504</v>
      </c>
      <c r="I12" s="143" t="s">
        <v>2504</v>
      </c>
      <c r="J12" s="143" t="s">
        <v>2504</v>
      </c>
      <c r="K12" s="143" t="s">
        <v>2504</v>
      </c>
      <c r="L12" s="143" t="s">
        <v>2504</v>
      </c>
      <c r="M12" s="143" t="s">
        <v>2504</v>
      </c>
      <c r="N12" s="143" t="s">
        <v>2504</v>
      </c>
      <c r="O12" s="143" t="s">
        <v>2504</v>
      </c>
      <c r="P12" s="143" t="s">
        <v>2504</v>
      </c>
      <c r="Q12" s="148" t="s">
        <v>733</v>
      </c>
      <c r="R12" s="148" t="s">
        <v>705</v>
      </c>
      <c r="S12" s="148" t="s">
        <v>731</v>
      </c>
      <c r="T12" s="149">
        <v>7</v>
      </c>
      <c r="U12" s="148" t="s">
        <v>591</v>
      </c>
      <c r="V12" s="150">
        <v>820.63</v>
      </c>
      <c r="W12" s="151">
        <f>V12*16</f>
        <v>13130.08</v>
      </c>
    </row>
    <row r="13" spans="1:24" ht="15" customHeight="1" x14ac:dyDescent="0.25">
      <c r="A13" s="148">
        <v>295</v>
      </c>
      <c r="B13" s="148" t="s">
        <v>734</v>
      </c>
      <c r="C13" s="143" t="s">
        <v>2504</v>
      </c>
      <c r="D13" s="143" t="s">
        <v>2504</v>
      </c>
      <c r="E13" s="143" t="s">
        <v>2504</v>
      </c>
      <c r="F13" s="143" t="s">
        <v>2504</v>
      </c>
      <c r="G13" s="143" t="s">
        <v>2504</v>
      </c>
      <c r="H13" s="143" t="s">
        <v>2504</v>
      </c>
      <c r="I13" s="143" t="s">
        <v>2504</v>
      </c>
      <c r="J13" s="143" t="s">
        <v>2504</v>
      </c>
      <c r="K13" s="143" t="s">
        <v>2504</v>
      </c>
      <c r="L13" s="143" t="s">
        <v>2504</v>
      </c>
      <c r="M13" s="143" t="s">
        <v>2504</v>
      </c>
      <c r="N13" s="143" t="s">
        <v>2504</v>
      </c>
      <c r="O13" s="143" t="s">
        <v>2504</v>
      </c>
      <c r="P13" s="143" t="s">
        <v>2504</v>
      </c>
      <c r="Q13" s="148" t="s">
        <v>735</v>
      </c>
      <c r="R13" s="148" t="s">
        <v>705</v>
      </c>
      <c r="S13" s="148" t="s">
        <v>731</v>
      </c>
      <c r="T13" s="149">
        <v>16</v>
      </c>
      <c r="U13" s="148" t="s">
        <v>591</v>
      </c>
      <c r="V13" s="150">
        <v>1801.37</v>
      </c>
      <c r="W13" s="151">
        <f>V13*4</f>
        <v>7205.48</v>
      </c>
    </row>
    <row r="14" spans="1:24" ht="15" customHeight="1" x14ac:dyDescent="0.25">
      <c r="A14" s="148">
        <v>296</v>
      </c>
      <c r="B14" s="148" t="s">
        <v>736</v>
      </c>
      <c r="C14" s="143" t="s">
        <v>2504</v>
      </c>
      <c r="D14" s="143" t="s">
        <v>2504</v>
      </c>
      <c r="E14" s="143" t="s">
        <v>2504</v>
      </c>
      <c r="F14" s="143" t="s">
        <v>2504</v>
      </c>
      <c r="G14" s="143" t="s">
        <v>2504</v>
      </c>
      <c r="H14" s="143" t="s">
        <v>2504</v>
      </c>
      <c r="I14" s="143" t="s">
        <v>2504</v>
      </c>
      <c r="J14" s="143" t="s">
        <v>2504</v>
      </c>
      <c r="K14" s="143" t="s">
        <v>2504</v>
      </c>
      <c r="L14" s="143" t="s">
        <v>2504</v>
      </c>
      <c r="M14" s="143" t="s">
        <v>2504</v>
      </c>
      <c r="N14" s="143" t="s">
        <v>2504</v>
      </c>
      <c r="O14" s="143" t="s">
        <v>2504</v>
      </c>
      <c r="P14" s="143" t="s">
        <v>2504</v>
      </c>
      <c r="Q14" s="148" t="s">
        <v>737</v>
      </c>
      <c r="R14" s="148" t="s">
        <v>705</v>
      </c>
      <c r="S14" s="148" t="s">
        <v>731</v>
      </c>
      <c r="T14" s="149">
        <v>170</v>
      </c>
      <c r="U14" s="148" t="s">
        <v>591</v>
      </c>
      <c r="V14" s="150">
        <v>19410.560000000001</v>
      </c>
      <c r="W14" s="151">
        <f>V14*16</f>
        <v>310568.96000000002</v>
      </c>
    </row>
    <row r="15" spans="1:24" ht="15" customHeight="1" x14ac:dyDescent="0.25">
      <c r="A15" s="148">
        <v>363</v>
      </c>
      <c r="B15" s="148" t="s">
        <v>771</v>
      </c>
      <c r="C15" s="143" t="s">
        <v>2504</v>
      </c>
      <c r="D15" s="143" t="s">
        <v>2504</v>
      </c>
      <c r="E15" s="143" t="s">
        <v>2504</v>
      </c>
      <c r="F15" s="143" t="s">
        <v>2504</v>
      </c>
      <c r="G15" s="143" t="s">
        <v>2504</v>
      </c>
      <c r="H15" s="143" t="s">
        <v>2504</v>
      </c>
      <c r="I15" s="143" t="s">
        <v>2504</v>
      </c>
      <c r="J15" s="143" t="s">
        <v>2504</v>
      </c>
      <c r="K15" s="143" t="s">
        <v>2504</v>
      </c>
      <c r="L15" s="143" t="s">
        <v>2504</v>
      </c>
      <c r="M15" s="143" t="s">
        <v>2504</v>
      </c>
      <c r="N15" s="143" t="s">
        <v>2504</v>
      </c>
      <c r="O15" s="143" t="s">
        <v>2504</v>
      </c>
      <c r="P15" s="143" t="s">
        <v>2504</v>
      </c>
      <c r="Q15" s="148" t="s">
        <v>772</v>
      </c>
      <c r="R15" s="148" t="s">
        <v>600</v>
      </c>
      <c r="S15" s="148" t="s">
        <v>770</v>
      </c>
      <c r="T15" s="149">
        <v>0.443</v>
      </c>
      <c r="U15" s="148" t="s">
        <v>591</v>
      </c>
      <c r="V15" s="150">
        <v>67.849999999999994</v>
      </c>
      <c r="W15" s="151">
        <f>V15*16</f>
        <v>1085.5999999999999</v>
      </c>
    </row>
    <row r="16" spans="1:24" ht="15" customHeight="1" x14ac:dyDescent="0.25">
      <c r="A16" s="148">
        <v>377</v>
      </c>
      <c r="B16" s="148" t="s">
        <v>780</v>
      </c>
      <c r="C16" s="143" t="s">
        <v>2504</v>
      </c>
      <c r="D16" s="143" t="s">
        <v>2504</v>
      </c>
      <c r="E16" s="143" t="s">
        <v>2504</v>
      </c>
      <c r="F16" s="143" t="s">
        <v>2504</v>
      </c>
      <c r="G16" s="143" t="s">
        <v>2504</v>
      </c>
      <c r="H16" s="143" t="s">
        <v>2504</v>
      </c>
      <c r="I16" s="143" t="s">
        <v>2504</v>
      </c>
      <c r="J16" s="143" t="s">
        <v>2504</v>
      </c>
      <c r="K16" s="143" t="s">
        <v>2504</v>
      </c>
      <c r="L16" s="143" t="s">
        <v>2504</v>
      </c>
      <c r="M16" s="143" t="s">
        <v>2504</v>
      </c>
      <c r="N16" s="143" t="s">
        <v>2504</v>
      </c>
      <c r="O16" s="143" t="s">
        <v>2504</v>
      </c>
      <c r="P16" s="143" t="s">
        <v>2504</v>
      </c>
      <c r="Q16" s="148" t="s">
        <v>781</v>
      </c>
      <c r="R16" s="148" t="s">
        <v>594</v>
      </c>
      <c r="S16" s="148" t="s">
        <v>624</v>
      </c>
      <c r="T16" s="149">
        <v>200</v>
      </c>
      <c r="U16" s="148" t="s">
        <v>591</v>
      </c>
      <c r="V16" s="150">
        <v>21225.919999999998</v>
      </c>
      <c r="W16" s="151">
        <f>V16*16</f>
        <v>339614.71999999997</v>
      </c>
    </row>
    <row r="17" spans="1:23" ht="15" customHeight="1" x14ac:dyDescent="0.25">
      <c r="A17" s="148">
        <v>393</v>
      </c>
      <c r="B17" s="148" t="s">
        <v>784</v>
      </c>
      <c r="C17" s="143" t="s">
        <v>2504</v>
      </c>
      <c r="D17" s="143" t="s">
        <v>2504</v>
      </c>
      <c r="E17" s="143" t="s">
        <v>2504</v>
      </c>
      <c r="F17" s="143" t="s">
        <v>2504</v>
      </c>
      <c r="G17" s="143" t="s">
        <v>2504</v>
      </c>
      <c r="H17" s="143" t="s">
        <v>2504</v>
      </c>
      <c r="I17" s="143" t="s">
        <v>2504</v>
      </c>
      <c r="J17" s="143" t="s">
        <v>2504</v>
      </c>
      <c r="K17" s="143" t="s">
        <v>2504</v>
      </c>
      <c r="L17" s="143" t="s">
        <v>2504</v>
      </c>
      <c r="M17" s="143" t="s">
        <v>2504</v>
      </c>
      <c r="N17" s="143" t="s">
        <v>2504</v>
      </c>
      <c r="O17" s="143" t="s">
        <v>2504</v>
      </c>
      <c r="P17" s="143" t="s">
        <v>2504</v>
      </c>
      <c r="Q17" s="148" t="s">
        <v>785</v>
      </c>
      <c r="R17" s="148" t="s">
        <v>600</v>
      </c>
      <c r="S17" s="148" t="s">
        <v>783</v>
      </c>
      <c r="T17" s="149">
        <v>0.95</v>
      </c>
      <c r="U17" s="148" t="s">
        <v>591</v>
      </c>
      <c r="V17" s="150">
        <v>111.11</v>
      </c>
      <c r="W17" s="151">
        <v>1703.51</v>
      </c>
    </row>
    <row r="18" spans="1:23" ht="15" customHeight="1" x14ac:dyDescent="0.25">
      <c r="A18" s="148">
        <v>416</v>
      </c>
      <c r="B18" s="148" t="s">
        <v>795</v>
      </c>
      <c r="C18" s="143" t="s">
        <v>2504</v>
      </c>
      <c r="D18" s="143" t="s">
        <v>2504</v>
      </c>
      <c r="E18" s="143" t="s">
        <v>2504</v>
      </c>
      <c r="F18" s="143" t="s">
        <v>2504</v>
      </c>
      <c r="G18" s="143" t="s">
        <v>2504</v>
      </c>
      <c r="H18" s="143" t="s">
        <v>2504</v>
      </c>
      <c r="I18" s="143" t="s">
        <v>2504</v>
      </c>
      <c r="J18" s="143" t="s">
        <v>2504</v>
      </c>
      <c r="K18" s="143" t="s">
        <v>2504</v>
      </c>
      <c r="L18" s="143" t="s">
        <v>2504</v>
      </c>
      <c r="M18" s="143" t="s">
        <v>2504</v>
      </c>
      <c r="N18" s="143" t="s">
        <v>2504</v>
      </c>
      <c r="O18" s="143" t="s">
        <v>2504</v>
      </c>
      <c r="P18" s="143" t="s">
        <v>2504</v>
      </c>
      <c r="Q18" s="148" t="s">
        <v>796</v>
      </c>
      <c r="R18" s="148" t="s">
        <v>589</v>
      </c>
      <c r="S18" s="148" t="s">
        <v>797</v>
      </c>
      <c r="T18" s="149">
        <v>1</v>
      </c>
      <c r="U18" s="148" t="s">
        <v>591</v>
      </c>
      <c r="V18" s="150">
        <v>50.95</v>
      </c>
      <c r="W18" s="151">
        <v>1974.72</v>
      </c>
    </row>
    <row r="19" spans="1:23" ht="15" customHeight="1" x14ac:dyDescent="0.25">
      <c r="A19" s="148">
        <v>428</v>
      </c>
      <c r="B19" s="148" t="s">
        <v>807</v>
      </c>
      <c r="C19" s="143" t="s">
        <v>2504</v>
      </c>
      <c r="D19" s="143" t="s">
        <v>2504</v>
      </c>
      <c r="E19" s="143" t="s">
        <v>2504</v>
      </c>
      <c r="F19" s="143" t="s">
        <v>2504</v>
      </c>
      <c r="G19" s="143" t="s">
        <v>2504</v>
      </c>
      <c r="H19" s="143" t="s">
        <v>2504</v>
      </c>
      <c r="I19" s="143" t="s">
        <v>2504</v>
      </c>
      <c r="J19" s="143" t="s">
        <v>2504</v>
      </c>
      <c r="K19" s="143" t="s">
        <v>2504</v>
      </c>
      <c r="L19" s="143" t="s">
        <v>2504</v>
      </c>
      <c r="M19" s="143" t="s">
        <v>2504</v>
      </c>
      <c r="N19" s="143" t="s">
        <v>2504</v>
      </c>
      <c r="O19" s="143" t="s">
        <v>2504</v>
      </c>
      <c r="P19" s="143" t="s">
        <v>2504</v>
      </c>
      <c r="Q19" s="148" t="s">
        <v>808</v>
      </c>
      <c r="R19" s="148" t="s">
        <v>589</v>
      </c>
      <c r="S19" s="148" t="s">
        <v>598</v>
      </c>
      <c r="T19" s="149">
        <v>3.7850000000000001</v>
      </c>
      <c r="U19" s="148" t="s">
        <v>591</v>
      </c>
      <c r="V19" s="150">
        <v>235.8</v>
      </c>
      <c r="W19" s="151">
        <v>18032.580000000002</v>
      </c>
    </row>
    <row r="20" spans="1:23" ht="15" customHeight="1" x14ac:dyDescent="0.25">
      <c r="A20" s="148">
        <v>442</v>
      </c>
      <c r="B20" s="148" t="s">
        <v>822</v>
      </c>
      <c r="C20" s="143" t="s">
        <v>2504</v>
      </c>
      <c r="D20" s="143" t="s">
        <v>2504</v>
      </c>
      <c r="E20" s="143" t="s">
        <v>2504</v>
      </c>
      <c r="F20" s="143" t="s">
        <v>2504</v>
      </c>
      <c r="G20" s="143" t="s">
        <v>2504</v>
      </c>
      <c r="H20" s="143" t="s">
        <v>2504</v>
      </c>
      <c r="I20" s="143" t="s">
        <v>2504</v>
      </c>
      <c r="J20" s="143" t="s">
        <v>2504</v>
      </c>
      <c r="K20" s="143" t="s">
        <v>2504</v>
      </c>
      <c r="L20" s="143" t="s">
        <v>2504</v>
      </c>
      <c r="M20" s="143" t="s">
        <v>2504</v>
      </c>
      <c r="N20" s="143" t="s">
        <v>2504</v>
      </c>
      <c r="O20" s="143" t="s">
        <v>2504</v>
      </c>
      <c r="P20" s="143" t="s">
        <v>2504</v>
      </c>
      <c r="Q20" s="148" t="s">
        <v>823</v>
      </c>
      <c r="R20" s="148" t="s">
        <v>705</v>
      </c>
      <c r="S20" s="148" t="s">
        <v>706</v>
      </c>
      <c r="T20" s="149">
        <v>7</v>
      </c>
      <c r="U20" s="148" t="s">
        <v>591</v>
      </c>
      <c r="V20" s="150">
        <v>769.39</v>
      </c>
      <c r="W20" s="151">
        <v>1629.39</v>
      </c>
    </row>
    <row r="21" spans="1:23" ht="15" customHeight="1" x14ac:dyDescent="0.25">
      <c r="A21" s="148">
        <v>444</v>
      </c>
      <c r="B21" s="148" t="s">
        <v>824</v>
      </c>
      <c r="C21" s="143" t="s">
        <v>2504</v>
      </c>
      <c r="D21" s="143" t="s">
        <v>2504</v>
      </c>
      <c r="E21" s="143" t="s">
        <v>2504</v>
      </c>
      <c r="F21" s="143" t="s">
        <v>2504</v>
      </c>
      <c r="G21" s="143" t="s">
        <v>2504</v>
      </c>
      <c r="H21" s="143" t="s">
        <v>2504</v>
      </c>
      <c r="I21" s="143" t="s">
        <v>2504</v>
      </c>
      <c r="J21" s="143" t="s">
        <v>2504</v>
      </c>
      <c r="K21" s="143" t="s">
        <v>2504</v>
      </c>
      <c r="L21" s="143" t="s">
        <v>2504</v>
      </c>
      <c r="M21" s="143" t="s">
        <v>2504</v>
      </c>
      <c r="N21" s="143" t="s">
        <v>2504</v>
      </c>
      <c r="O21" s="143" t="s">
        <v>2504</v>
      </c>
      <c r="P21" s="143" t="s">
        <v>2504</v>
      </c>
      <c r="Q21" s="148" t="s">
        <v>825</v>
      </c>
      <c r="R21" s="148" t="s">
        <v>705</v>
      </c>
      <c r="S21" s="148" t="s">
        <v>713</v>
      </c>
      <c r="T21" s="149">
        <v>7</v>
      </c>
      <c r="U21" s="148" t="s">
        <v>591</v>
      </c>
      <c r="V21" s="150">
        <v>791.5</v>
      </c>
      <c r="W21" s="151">
        <v>17259.29</v>
      </c>
    </row>
    <row r="22" spans="1:23" ht="15" customHeight="1" x14ac:dyDescent="0.25">
      <c r="A22" s="148">
        <v>445</v>
      </c>
      <c r="B22" s="148" t="s">
        <v>826</v>
      </c>
      <c r="C22" s="143" t="s">
        <v>2504</v>
      </c>
      <c r="D22" s="143" t="s">
        <v>2504</v>
      </c>
      <c r="E22" s="143" t="s">
        <v>2504</v>
      </c>
      <c r="F22" s="143" t="s">
        <v>2504</v>
      </c>
      <c r="G22" s="143" t="s">
        <v>2504</v>
      </c>
      <c r="H22" s="143" t="s">
        <v>2504</v>
      </c>
      <c r="I22" s="143" t="s">
        <v>2504</v>
      </c>
      <c r="J22" s="143" t="s">
        <v>2504</v>
      </c>
      <c r="K22" s="143" t="s">
        <v>2504</v>
      </c>
      <c r="L22" s="143" t="s">
        <v>2504</v>
      </c>
      <c r="M22" s="143" t="s">
        <v>2504</v>
      </c>
      <c r="N22" s="143" t="s">
        <v>2504</v>
      </c>
      <c r="O22" s="143" t="s">
        <v>2504</v>
      </c>
      <c r="P22" s="143" t="s">
        <v>2504</v>
      </c>
      <c r="Q22" s="148" t="s">
        <v>827</v>
      </c>
      <c r="R22" s="148" t="s">
        <v>705</v>
      </c>
      <c r="S22" s="148" t="s">
        <v>721</v>
      </c>
      <c r="T22" s="149">
        <v>7</v>
      </c>
      <c r="U22" s="148" t="s">
        <v>591</v>
      </c>
      <c r="V22" s="150">
        <v>1022.17</v>
      </c>
      <c r="W22" s="151">
        <f>V22*16</f>
        <v>16354.72</v>
      </c>
    </row>
    <row r="23" spans="1:23" ht="15" customHeight="1" x14ac:dyDescent="0.25">
      <c r="A23" s="148">
        <v>456</v>
      </c>
      <c r="B23" s="148" t="s">
        <v>833</v>
      </c>
      <c r="C23" s="143" t="s">
        <v>2504</v>
      </c>
      <c r="D23" s="143" t="s">
        <v>2504</v>
      </c>
      <c r="E23" s="143" t="s">
        <v>2504</v>
      </c>
      <c r="F23" s="143" t="s">
        <v>2504</v>
      </c>
      <c r="G23" s="143" t="s">
        <v>2504</v>
      </c>
      <c r="H23" s="143" t="s">
        <v>2504</v>
      </c>
      <c r="I23" s="143" t="s">
        <v>2504</v>
      </c>
      <c r="J23" s="143" t="s">
        <v>2504</v>
      </c>
      <c r="K23" s="143" t="s">
        <v>2504</v>
      </c>
      <c r="L23" s="143" t="s">
        <v>2504</v>
      </c>
      <c r="M23" s="143" t="s">
        <v>2504</v>
      </c>
      <c r="N23" s="143" t="s">
        <v>2504</v>
      </c>
      <c r="O23" s="143" t="s">
        <v>2504</v>
      </c>
      <c r="P23" s="143" t="s">
        <v>2504</v>
      </c>
      <c r="Q23" s="148" t="s">
        <v>834</v>
      </c>
      <c r="R23" s="148" t="s">
        <v>630</v>
      </c>
      <c r="S23" s="148" t="s">
        <v>835</v>
      </c>
      <c r="T23" s="149">
        <v>1</v>
      </c>
      <c r="U23" s="148" t="s">
        <v>591</v>
      </c>
      <c r="V23" s="150">
        <v>90.11</v>
      </c>
      <c r="W23" s="151">
        <v>1893.43</v>
      </c>
    </row>
    <row r="24" spans="1:23" ht="15" customHeight="1" x14ac:dyDescent="0.25">
      <c r="A24" s="148">
        <v>462</v>
      </c>
      <c r="B24" s="148" t="s">
        <v>841</v>
      </c>
      <c r="C24" s="143" t="s">
        <v>2504</v>
      </c>
      <c r="D24" s="143" t="s">
        <v>2504</v>
      </c>
      <c r="E24" s="143" t="s">
        <v>2504</v>
      </c>
      <c r="F24" s="143" t="s">
        <v>2504</v>
      </c>
      <c r="G24" s="143" t="s">
        <v>2504</v>
      </c>
      <c r="H24" s="143" t="s">
        <v>2504</v>
      </c>
      <c r="I24" s="143" t="s">
        <v>2504</v>
      </c>
      <c r="J24" s="143" t="s">
        <v>2504</v>
      </c>
      <c r="K24" s="143" t="s">
        <v>2504</v>
      </c>
      <c r="L24" s="143" t="s">
        <v>2504</v>
      </c>
      <c r="M24" s="143" t="s">
        <v>2504</v>
      </c>
      <c r="N24" s="143" t="s">
        <v>2504</v>
      </c>
      <c r="O24" s="143" t="s">
        <v>2504</v>
      </c>
      <c r="P24" s="143" t="s">
        <v>2504</v>
      </c>
      <c r="Q24" s="148" t="s">
        <v>842</v>
      </c>
      <c r="R24" s="148" t="s">
        <v>705</v>
      </c>
      <c r="S24" s="148" t="s">
        <v>727</v>
      </c>
      <c r="T24" s="149">
        <v>7</v>
      </c>
      <c r="U24" s="148" t="s">
        <v>591</v>
      </c>
      <c r="V24" s="150">
        <v>890.25</v>
      </c>
      <c r="W24" s="151">
        <v>1888.64</v>
      </c>
    </row>
    <row r="25" spans="1:23" ht="15" customHeight="1" x14ac:dyDescent="0.25">
      <c r="A25" s="148">
        <v>509</v>
      </c>
      <c r="B25" s="148" t="s">
        <v>859</v>
      </c>
      <c r="C25" s="143" t="s">
        <v>2504</v>
      </c>
      <c r="D25" s="143" t="s">
        <v>2504</v>
      </c>
      <c r="E25" s="143" t="s">
        <v>2504</v>
      </c>
      <c r="F25" s="143" t="s">
        <v>2504</v>
      </c>
      <c r="G25" s="143" t="s">
        <v>2504</v>
      </c>
      <c r="H25" s="143" t="s">
        <v>2504</v>
      </c>
      <c r="I25" s="143" t="s">
        <v>2504</v>
      </c>
      <c r="J25" s="143" t="s">
        <v>2504</v>
      </c>
      <c r="K25" s="143" t="s">
        <v>2504</v>
      </c>
      <c r="L25" s="143" t="s">
        <v>2504</v>
      </c>
      <c r="M25" s="143" t="s">
        <v>2504</v>
      </c>
      <c r="N25" s="143" t="s">
        <v>2504</v>
      </c>
      <c r="O25" s="143" t="s">
        <v>2504</v>
      </c>
      <c r="P25" s="143" t="s">
        <v>2504</v>
      </c>
      <c r="Q25" s="148" t="s">
        <v>860</v>
      </c>
      <c r="R25" s="148" t="s">
        <v>606</v>
      </c>
      <c r="S25" s="148" t="s">
        <v>852</v>
      </c>
      <c r="T25" s="149">
        <v>200</v>
      </c>
      <c r="U25" s="148" t="s">
        <v>591</v>
      </c>
      <c r="V25" s="150">
        <v>32296.43</v>
      </c>
      <c r="W25" s="151">
        <v>1884.3</v>
      </c>
    </row>
    <row r="26" spans="1:23" ht="15" customHeight="1" x14ac:dyDescent="0.25">
      <c r="A26" s="148">
        <v>510</v>
      </c>
      <c r="B26" s="148" t="s">
        <v>861</v>
      </c>
      <c r="C26" s="143" t="s">
        <v>2504</v>
      </c>
      <c r="D26" s="143" t="s">
        <v>2504</v>
      </c>
      <c r="E26" s="143" t="s">
        <v>2504</v>
      </c>
      <c r="F26" s="143" t="s">
        <v>2504</v>
      </c>
      <c r="G26" s="143" t="s">
        <v>2504</v>
      </c>
      <c r="H26" s="143" t="s">
        <v>2504</v>
      </c>
      <c r="I26" s="143" t="s">
        <v>2504</v>
      </c>
      <c r="J26" s="143" t="s">
        <v>2504</v>
      </c>
      <c r="K26" s="143" t="s">
        <v>2504</v>
      </c>
      <c r="L26" s="143" t="s">
        <v>2504</v>
      </c>
      <c r="M26" s="143" t="s">
        <v>2504</v>
      </c>
      <c r="N26" s="143" t="s">
        <v>2504</v>
      </c>
      <c r="O26" s="143" t="s">
        <v>2504</v>
      </c>
      <c r="P26" s="143" t="s">
        <v>2504</v>
      </c>
      <c r="Q26" s="148" t="s">
        <v>862</v>
      </c>
      <c r="R26" s="148" t="s">
        <v>606</v>
      </c>
      <c r="S26" s="148" t="s">
        <v>852</v>
      </c>
      <c r="T26" s="149">
        <v>1</v>
      </c>
      <c r="U26" s="148" t="s">
        <v>591</v>
      </c>
      <c r="V26" s="150">
        <v>153.26</v>
      </c>
      <c r="W26" s="151">
        <f>V26*6</f>
        <v>919.56</v>
      </c>
    </row>
    <row r="27" spans="1:23" ht="15" customHeight="1" x14ac:dyDescent="0.25">
      <c r="A27" s="148">
        <v>536</v>
      </c>
      <c r="B27" s="148" t="s">
        <v>872</v>
      </c>
      <c r="C27" s="143" t="s">
        <v>2504</v>
      </c>
      <c r="D27" s="143" t="s">
        <v>2504</v>
      </c>
      <c r="E27" s="143" t="s">
        <v>2504</v>
      </c>
      <c r="F27" s="143" t="s">
        <v>2504</v>
      </c>
      <c r="G27" s="143" t="s">
        <v>2504</v>
      </c>
      <c r="H27" s="143" t="s">
        <v>2504</v>
      </c>
      <c r="I27" s="143" t="s">
        <v>2504</v>
      </c>
      <c r="J27" s="143" t="s">
        <v>2504</v>
      </c>
      <c r="K27" s="143" t="s">
        <v>2504</v>
      </c>
      <c r="L27" s="143" t="s">
        <v>2504</v>
      </c>
      <c r="M27" s="143" t="s">
        <v>2504</v>
      </c>
      <c r="N27" s="143" t="s">
        <v>2504</v>
      </c>
      <c r="O27" s="143" t="s">
        <v>2504</v>
      </c>
      <c r="P27" s="143" t="s">
        <v>2504</v>
      </c>
      <c r="Q27" s="148" t="s">
        <v>873</v>
      </c>
      <c r="R27" s="148" t="s">
        <v>606</v>
      </c>
      <c r="S27" s="148" t="s">
        <v>645</v>
      </c>
      <c r="T27" s="149">
        <v>5</v>
      </c>
      <c r="U27" s="148" t="s">
        <v>591</v>
      </c>
      <c r="V27" s="150">
        <v>507.3</v>
      </c>
      <c r="W27" s="151">
        <v>20035.990000000002</v>
      </c>
    </row>
    <row r="28" spans="1:23" ht="15" customHeight="1" x14ac:dyDescent="0.25">
      <c r="A28" s="148">
        <v>548</v>
      </c>
      <c r="B28" s="148" t="s">
        <v>876</v>
      </c>
      <c r="C28" s="143" t="s">
        <v>2504</v>
      </c>
      <c r="D28" s="143" t="s">
        <v>2504</v>
      </c>
      <c r="E28" s="143" t="s">
        <v>2504</v>
      </c>
      <c r="F28" s="143" t="s">
        <v>2504</v>
      </c>
      <c r="G28" s="143" t="s">
        <v>2504</v>
      </c>
      <c r="H28" s="143" t="s">
        <v>2504</v>
      </c>
      <c r="I28" s="143" t="s">
        <v>2504</v>
      </c>
      <c r="J28" s="143" t="s">
        <v>2504</v>
      </c>
      <c r="K28" s="143" t="s">
        <v>2504</v>
      </c>
      <c r="L28" s="143" t="s">
        <v>2504</v>
      </c>
      <c r="M28" s="143" t="s">
        <v>2504</v>
      </c>
      <c r="N28" s="143" t="s">
        <v>2504</v>
      </c>
      <c r="O28" s="143" t="s">
        <v>2504</v>
      </c>
      <c r="P28" s="143" t="s">
        <v>2504</v>
      </c>
      <c r="Q28" s="148" t="s">
        <v>877</v>
      </c>
      <c r="R28" s="148" t="s">
        <v>606</v>
      </c>
      <c r="S28" s="148" t="s">
        <v>661</v>
      </c>
      <c r="T28" s="149">
        <v>1</v>
      </c>
      <c r="U28" s="148" t="s">
        <v>591</v>
      </c>
      <c r="V28" s="150">
        <v>97.84</v>
      </c>
      <c r="W28" s="151">
        <v>20009.310000000001</v>
      </c>
    </row>
    <row r="29" spans="1:23" ht="15" customHeight="1" x14ac:dyDescent="0.25">
      <c r="A29" s="148">
        <v>549</v>
      </c>
      <c r="B29" s="148" t="s">
        <v>878</v>
      </c>
      <c r="C29" s="143" t="s">
        <v>2504</v>
      </c>
      <c r="D29" s="143" t="s">
        <v>2504</v>
      </c>
      <c r="E29" s="143" t="s">
        <v>2504</v>
      </c>
      <c r="F29" s="143" t="s">
        <v>2504</v>
      </c>
      <c r="G29" s="143" t="s">
        <v>2504</v>
      </c>
      <c r="H29" s="143" t="s">
        <v>2504</v>
      </c>
      <c r="I29" s="143" t="s">
        <v>2504</v>
      </c>
      <c r="J29" s="143" t="s">
        <v>2504</v>
      </c>
      <c r="K29" s="143" t="s">
        <v>2504</v>
      </c>
      <c r="L29" s="143" t="s">
        <v>2504</v>
      </c>
      <c r="M29" s="143" t="s">
        <v>2504</v>
      </c>
      <c r="N29" s="143" t="s">
        <v>2504</v>
      </c>
      <c r="O29" s="143" t="s">
        <v>2504</v>
      </c>
      <c r="P29" s="143" t="s">
        <v>2504</v>
      </c>
      <c r="Q29" s="148" t="s">
        <v>879</v>
      </c>
      <c r="R29" s="148" t="s">
        <v>606</v>
      </c>
      <c r="S29" s="148" t="s">
        <v>661</v>
      </c>
      <c r="T29" s="149">
        <v>1</v>
      </c>
      <c r="U29" s="148" t="s">
        <v>591</v>
      </c>
      <c r="V29" s="150">
        <v>97.77</v>
      </c>
      <c r="W29" s="151">
        <v>19902.939999999999</v>
      </c>
    </row>
    <row r="30" spans="1:23" ht="15" customHeight="1" x14ac:dyDescent="0.25">
      <c r="A30" s="148">
        <v>553</v>
      </c>
      <c r="B30" s="148" t="s">
        <v>880</v>
      </c>
      <c r="C30" s="143" t="s">
        <v>2504</v>
      </c>
      <c r="D30" s="143" t="s">
        <v>2504</v>
      </c>
      <c r="E30" s="143" t="s">
        <v>2504</v>
      </c>
      <c r="F30" s="143" t="s">
        <v>2504</v>
      </c>
      <c r="G30" s="143" t="s">
        <v>2504</v>
      </c>
      <c r="H30" s="143" t="s">
        <v>2504</v>
      </c>
      <c r="I30" s="143" t="s">
        <v>2504</v>
      </c>
      <c r="J30" s="143" t="s">
        <v>2504</v>
      </c>
      <c r="K30" s="143" t="s">
        <v>2504</v>
      </c>
      <c r="L30" s="143" t="s">
        <v>2504</v>
      </c>
      <c r="M30" s="143" t="s">
        <v>2504</v>
      </c>
      <c r="N30" s="143" t="s">
        <v>2504</v>
      </c>
      <c r="O30" s="143" t="s">
        <v>2504</v>
      </c>
      <c r="P30" s="143" t="s">
        <v>2504</v>
      </c>
      <c r="Q30" s="148" t="s">
        <v>881</v>
      </c>
      <c r="R30" s="148" t="s">
        <v>594</v>
      </c>
      <c r="S30" s="148" t="s">
        <v>776</v>
      </c>
      <c r="T30" s="149">
        <v>1</v>
      </c>
      <c r="U30" s="148" t="s">
        <v>591</v>
      </c>
      <c r="V30" s="150">
        <v>103.87</v>
      </c>
      <c r="W30" s="151">
        <f>V30*4</f>
        <v>415.48</v>
      </c>
    </row>
    <row r="31" spans="1:23" ht="15" customHeight="1" x14ac:dyDescent="0.25">
      <c r="A31" s="148">
        <v>584</v>
      </c>
      <c r="B31" s="148" t="s">
        <v>884</v>
      </c>
      <c r="C31" s="143" t="s">
        <v>2504</v>
      </c>
      <c r="D31" s="143" t="s">
        <v>2504</v>
      </c>
      <c r="E31" s="143" t="s">
        <v>2504</v>
      </c>
      <c r="F31" s="143" t="s">
        <v>2504</v>
      </c>
      <c r="G31" s="143" t="s">
        <v>2504</v>
      </c>
      <c r="H31" s="143" t="s">
        <v>2504</v>
      </c>
      <c r="I31" s="143" t="s">
        <v>2504</v>
      </c>
      <c r="J31" s="143" t="s">
        <v>2504</v>
      </c>
      <c r="K31" s="143" t="s">
        <v>2504</v>
      </c>
      <c r="L31" s="143" t="s">
        <v>2504</v>
      </c>
      <c r="M31" s="143" t="s">
        <v>2504</v>
      </c>
      <c r="N31" s="143" t="s">
        <v>2504</v>
      </c>
      <c r="O31" s="143" t="s">
        <v>2504</v>
      </c>
      <c r="P31" s="143" t="s">
        <v>2504</v>
      </c>
      <c r="Q31" s="148" t="s">
        <v>885</v>
      </c>
      <c r="R31" s="148" t="s">
        <v>630</v>
      </c>
      <c r="S31" s="148" t="s">
        <v>886</v>
      </c>
      <c r="T31" s="149">
        <v>1</v>
      </c>
      <c r="U31" s="148" t="s">
        <v>591</v>
      </c>
      <c r="V31" s="150">
        <v>98.1</v>
      </c>
      <c r="W31" s="151">
        <f>V31*4</f>
        <v>392.4</v>
      </c>
    </row>
    <row r="32" spans="1:23" ht="15" customHeight="1" x14ac:dyDescent="0.25">
      <c r="A32" s="148">
        <v>586</v>
      </c>
      <c r="B32" s="148" t="s">
        <v>888</v>
      </c>
      <c r="C32" s="143" t="s">
        <v>2504</v>
      </c>
      <c r="D32" s="143" t="s">
        <v>2504</v>
      </c>
      <c r="E32" s="143" t="s">
        <v>2504</v>
      </c>
      <c r="F32" s="143" t="s">
        <v>2504</v>
      </c>
      <c r="G32" s="143" t="s">
        <v>2504</v>
      </c>
      <c r="H32" s="143" t="s">
        <v>2504</v>
      </c>
      <c r="I32" s="143" t="s">
        <v>2504</v>
      </c>
      <c r="J32" s="143" t="s">
        <v>2504</v>
      </c>
      <c r="K32" s="143" t="s">
        <v>2504</v>
      </c>
      <c r="L32" s="143" t="s">
        <v>2504</v>
      </c>
      <c r="M32" s="143" t="s">
        <v>2504</v>
      </c>
      <c r="N32" s="143" t="s">
        <v>2504</v>
      </c>
      <c r="O32" s="143" t="s">
        <v>2504</v>
      </c>
      <c r="P32" s="143" t="s">
        <v>2504</v>
      </c>
      <c r="Q32" s="148" t="s">
        <v>889</v>
      </c>
      <c r="R32" s="148" t="s">
        <v>705</v>
      </c>
      <c r="S32" s="148" t="s">
        <v>713</v>
      </c>
      <c r="T32" s="149">
        <v>3.5</v>
      </c>
      <c r="U32" s="148" t="s">
        <v>591</v>
      </c>
      <c r="V32" s="150">
        <v>399.36</v>
      </c>
      <c r="W32" s="151">
        <f>V32*4</f>
        <v>1597.44</v>
      </c>
    </row>
    <row r="33" spans="1:23" ht="15" customHeight="1" x14ac:dyDescent="0.25">
      <c r="A33" s="148">
        <v>599</v>
      </c>
      <c r="B33" s="148" t="s">
        <v>895</v>
      </c>
      <c r="C33" s="143" t="s">
        <v>2504</v>
      </c>
      <c r="D33" s="143" t="s">
        <v>2504</v>
      </c>
      <c r="E33" s="143" t="s">
        <v>2504</v>
      </c>
      <c r="F33" s="143" t="s">
        <v>2504</v>
      </c>
      <c r="G33" s="143" t="s">
        <v>2504</v>
      </c>
      <c r="H33" s="143" t="s">
        <v>2504</v>
      </c>
      <c r="I33" s="143" t="s">
        <v>2504</v>
      </c>
      <c r="J33" s="143" t="s">
        <v>2504</v>
      </c>
      <c r="K33" s="143" t="s">
        <v>2504</v>
      </c>
      <c r="L33" s="143" t="s">
        <v>2504</v>
      </c>
      <c r="M33" s="143" t="s">
        <v>2504</v>
      </c>
      <c r="N33" s="143" t="s">
        <v>2504</v>
      </c>
      <c r="O33" s="143" t="s">
        <v>2504</v>
      </c>
      <c r="P33" s="143" t="s">
        <v>2504</v>
      </c>
      <c r="Q33" s="148" t="s">
        <v>896</v>
      </c>
      <c r="R33" s="148" t="s">
        <v>630</v>
      </c>
      <c r="S33" s="148" t="s">
        <v>631</v>
      </c>
      <c r="T33" s="149">
        <v>19</v>
      </c>
      <c r="U33" s="148" t="s">
        <v>591</v>
      </c>
      <c r="V33" s="150">
        <v>1706.2</v>
      </c>
      <c r="W33" s="151">
        <v>1975.57</v>
      </c>
    </row>
    <row r="34" spans="1:23" ht="15" customHeight="1" x14ac:dyDescent="0.25">
      <c r="A34" s="148">
        <v>619</v>
      </c>
      <c r="B34" s="148" t="s">
        <v>903</v>
      </c>
      <c r="C34" s="143" t="s">
        <v>2504</v>
      </c>
      <c r="D34" s="143" t="s">
        <v>2504</v>
      </c>
      <c r="E34" s="143" t="s">
        <v>2504</v>
      </c>
      <c r="F34" s="143" t="s">
        <v>2504</v>
      </c>
      <c r="G34" s="143" t="s">
        <v>2504</v>
      </c>
      <c r="H34" s="143" t="s">
        <v>2504</v>
      </c>
      <c r="I34" s="143" t="s">
        <v>2504</v>
      </c>
      <c r="J34" s="143" t="s">
        <v>2504</v>
      </c>
      <c r="K34" s="143" t="s">
        <v>2504</v>
      </c>
      <c r="L34" s="143" t="s">
        <v>2504</v>
      </c>
      <c r="M34" s="143" t="s">
        <v>2504</v>
      </c>
      <c r="N34" s="143" t="s">
        <v>2504</v>
      </c>
      <c r="O34" s="143" t="s">
        <v>2504</v>
      </c>
      <c r="P34" s="143" t="s">
        <v>2504</v>
      </c>
      <c r="Q34" s="148" t="s">
        <v>904</v>
      </c>
      <c r="R34" s="148" t="s">
        <v>630</v>
      </c>
      <c r="S34" s="148" t="s">
        <v>631</v>
      </c>
      <c r="T34" s="149">
        <v>200</v>
      </c>
      <c r="U34" s="148" t="s">
        <v>591</v>
      </c>
      <c r="V34" s="150">
        <v>18060.41</v>
      </c>
      <c r="W34" s="151">
        <v>1965.31</v>
      </c>
    </row>
    <row r="35" spans="1:23" ht="15" customHeight="1" x14ac:dyDescent="0.25">
      <c r="A35" s="148">
        <v>620</v>
      </c>
      <c r="B35" s="148" t="s">
        <v>905</v>
      </c>
      <c r="C35" s="143" t="s">
        <v>2504</v>
      </c>
      <c r="D35" s="143" t="s">
        <v>2504</v>
      </c>
      <c r="E35" s="143" t="s">
        <v>2504</v>
      </c>
      <c r="F35" s="143" t="s">
        <v>2504</v>
      </c>
      <c r="G35" s="143" t="s">
        <v>2504</v>
      </c>
      <c r="H35" s="143" t="s">
        <v>2504</v>
      </c>
      <c r="I35" s="143" t="s">
        <v>2504</v>
      </c>
      <c r="J35" s="143" t="s">
        <v>2504</v>
      </c>
      <c r="K35" s="143" t="s">
        <v>2504</v>
      </c>
      <c r="L35" s="143" t="s">
        <v>2504</v>
      </c>
      <c r="M35" s="143" t="s">
        <v>2504</v>
      </c>
      <c r="N35" s="143" t="s">
        <v>2504</v>
      </c>
      <c r="O35" s="143" t="s">
        <v>2504</v>
      </c>
      <c r="P35" s="143" t="s">
        <v>2504</v>
      </c>
      <c r="Q35" s="148" t="s">
        <v>906</v>
      </c>
      <c r="R35" s="148" t="s">
        <v>630</v>
      </c>
      <c r="S35" s="148" t="s">
        <v>631</v>
      </c>
      <c r="T35" s="149">
        <v>5</v>
      </c>
      <c r="U35" s="148" t="s">
        <v>591</v>
      </c>
      <c r="V35" s="150">
        <v>467.93</v>
      </c>
      <c r="W35" s="151">
        <v>1963.67</v>
      </c>
    </row>
    <row r="36" spans="1:23" ht="15" customHeight="1" x14ac:dyDescent="0.25">
      <c r="A36" s="148">
        <v>633</v>
      </c>
      <c r="B36" s="148" t="s">
        <v>908</v>
      </c>
      <c r="C36" s="143" t="s">
        <v>2504</v>
      </c>
      <c r="D36" s="143" t="s">
        <v>2504</v>
      </c>
      <c r="E36" s="143" t="s">
        <v>2504</v>
      </c>
      <c r="F36" s="143" t="s">
        <v>2504</v>
      </c>
      <c r="G36" s="143" t="s">
        <v>2504</v>
      </c>
      <c r="H36" s="143" t="s">
        <v>2504</v>
      </c>
      <c r="I36" s="143" t="s">
        <v>2504</v>
      </c>
      <c r="J36" s="143" t="s">
        <v>2504</v>
      </c>
      <c r="K36" s="143" t="s">
        <v>2504</v>
      </c>
      <c r="L36" s="143" t="s">
        <v>2504</v>
      </c>
      <c r="M36" s="143" t="s">
        <v>2504</v>
      </c>
      <c r="N36" s="143" t="s">
        <v>2504</v>
      </c>
      <c r="O36" s="143" t="s">
        <v>2504</v>
      </c>
      <c r="P36" s="143" t="s">
        <v>2504</v>
      </c>
      <c r="Q36" s="148" t="s">
        <v>909</v>
      </c>
      <c r="R36" s="148" t="s">
        <v>606</v>
      </c>
      <c r="S36" s="148" t="s">
        <v>910</v>
      </c>
      <c r="T36" s="149">
        <v>1</v>
      </c>
      <c r="U36" s="148" t="s">
        <v>591</v>
      </c>
      <c r="V36" s="150">
        <v>153.88</v>
      </c>
      <c r="W36" s="151">
        <v>20902.12</v>
      </c>
    </row>
    <row r="37" spans="1:23" ht="15" customHeight="1" x14ac:dyDescent="0.25">
      <c r="A37" s="148">
        <v>634</v>
      </c>
      <c r="B37" s="148" t="s">
        <v>911</v>
      </c>
      <c r="C37" s="143" t="s">
        <v>2504</v>
      </c>
      <c r="D37" s="143" t="s">
        <v>2504</v>
      </c>
      <c r="E37" s="143" t="s">
        <v>2504</v>
      </c>
      <c r="F37" s="143" t="s">
        <v>2504</v>
      </c>
      <c r="G37" s="143" t="s">
        <v>2504</v>
      </c>
      <c r="H37" s="143" t="s">
        <v>2504</v>
      </c>
      <c r="I37" s="143" t="s">
        <v>2504</v>
      </c>
      <c r="J37" s="143" t="s">
        <v>2504</v>
      </c>
      <c r="K37" s="143" t="s">
        <v>2504</v>
      </c>
      <c r="L37" s="143" t="s">
        <v>2504</v>
      </c>
      <c r="M37" s="143" t="s">
        <v>2504</v>
      </c>
      <c r="N37" s="143" t="s">
        <v>2504</v>
      </c>
      <c r="O37" s="143" t="s">
        <v>2504</v>
      </c>
      <c r="P37" s="143" t="s">
        <v>2504</v>
      </c>
      <c r="Q37" s="148" t="s">
        <v>912</v>
      </c>
      <c r="R37" s="148" t="s">
        <v>606</v>
      </c>
      <c r="S37" s="148" t="s">
        <v>913</v>
      </c>
      <c r="T37" s="149">
        <v>1</v>
      </c>
      <c r="U37" s="148" t="s">
        <v>591</v>
      </c>
      <c r="V37" s="150">
        <v>176.55</v>
      </c>
      <c r="W37" s="151">
        <v>20794.060000000001</v>
      </c>
    </row>
    <row r="38" spans="1:23" ht="15" customHeight="1" x14ac:dyDescent="0.25">
      <c r="A38" s="148">
        <v>636</v>
      </c>
      <c r="B38" s="148" t="s">
        <v>914</v>
      </c>
      <c r="C38" s="143" t="s">
        <v>2504</v>
      </c>
      <c r="D38" s="143" t="s">
        <v>2504</v>
      </c>
      <c r="E38" s="143" t="s">
        <v>2504</v>
      </c>
      <c r="F38" s="143" t="s">
        <v>2504</v>
      </c>
      <c r="G38" s="143" t="s">
        <v>2504</v>
      </c>
      <c r="H38" s="143" t="s">
        <v>2504</v>
      </c>
      <c r="I38" s="143" t="s">
        <v>2504</v>
      </c>
      <c r="J38" s="143" t="s">
        <v>2504</v>
      </c>
      <c r="K38" s="143" t="s">
        <v>2504</v>
      </c>
      <c r="L38" s="143" t="s">
        <v>2504</v>
      </c>
      <c r="M38" s="143" t="s">
        <v>2504</v>
      </c>
      <c r="N38" s="143" t="s">
        <v>2504</v>
      </c>
      <c r="O38" s="143" t="s">
        <v>2504</v>
      </c>
      <c r="P38" s="143" t="s">
        <v>2504</v>
      </c>
      <c r="Q38" s="148" t="s">
        <v>915</v>
      </c>
      <c r="R38" s="148" t="s">
        <v>606</v>
      </c>
      <c r="S38" s="148" t="s">
        <v>615</v>
      </c>
      <c r="T38" s="149">
        <v>19</v>
      </c>
      <c r="U38" s="148" t="s">
        <v>591</v>
      </c>
      <c r="V38" s="150">
        <v>3647.21</v>
      </c>
      <c r="W38" s="151">
        <v>20773.36</v>
      </c>
    </row>
    <row r="39" spans="1:23" ht="15" customHeight="1" x14ac:dyDescent="0.25">
      <c r="A39" s="148">
        <v>637</v>
      </c>
      <c r="B39" s="148" t="s">
        <v>916</v>
      </c>
      <c r="C39" s="143" t="s">
        <v>2504</v>
      </c>
      <c r="D39" s="143" t="s">
        <v>2504</v>
      </c>
      <c r="E39" s="143" t="s">
        <v>2504</v>
      </c>
      <c r="F39" s="143" t="s">
        <v>2504</v>
      </c>
      <c r="G39" s="143" t="s">
        <v>2504</v>
      </c>
      <c r="H39" s="143" t="s">
        <v>2504</v>
      </c>
      <c r="I39" s="143" t="s">
        <v>2504</v>
      </c>
      <c r="J39" s="143" t="s">
        <v>2504</v>
      </c>
      <c r="K39" s="143" t="s">
        <v>2504</v>
      </c>
      <c r="L39" s="143" t="s">
        <v>2504</v>
      </c>
      <c r="M39" s="143" t="s">
        <v>2504</v>
      </c>
      <c r="N39" s="143" t="s">
        <v>2504</v>
      </c>
      <c r="O39" s="143" t="s">
        <v>2504</v>
      </c>
      <c r="P39" s="143" t="s">
        <v>2504</v>
      </c>
      <c r="Q39" s="148" t="s">
        <v>917</v>
      </c>
      <c r="R39" s="148" t="s">
        <v>606</v>
      </c>
      <c r="S39" s="148" t="s">
        <v>910</v>
      </c>
      <c r="T39" s="149">
        <v>200</v>
      </c>
      <c r="U39" s="148" t="s">
        <v>591</v>
      </c>
      <c r="V39" s="150">
        <v>33254.53</v>
      </c>
      <c r="W39" s="151">
        <f>V39*15</f>
        <v>498817.94999999995</v>
      </c>
    </row>
    <row r="40" spans="1:23" ht="15" customHeight="1" x14ac:dyDescent="0.25">
      <c r="A40" s="148">
        <v>638</v>
      </c>
      <c r="B40" s="148" t="s">
        <v>918</v>
      </c>
      <c r="C40" s="143" t="s">
        <v>2504</v>
      </c>
      <c r="D40" s="143" t="s">
        <v>2504</v>
      </c>
      <c r="E40" s="143" t="s">
        <v>2504</v>
      </c>
      <c r="F40" s="143" t="s">
        <v>2504</v>
      </c>
      <c r="G40" s="143" t="s">
        <v>2504</v>
      </c>
      <c r="H40" s="143" t="s">
        <v>2504</v>
      </c>
      <c r="I40" s="143" t="s">
        <v>2504</v>
      </c>
      <c r="J40" s="143" t="s">
        <v>2504</v>
      </c>
      <c r="K40" s="143" t="s">
        <v>2504</v>
      </c>
      <c r="L40" s="143" t="s">
        <v>2504</v>
      </c>
      <c r="M40" s="143" t="s">
        <v>2504</v>
      </c>
      <c r="N40" s="143" t="s">
        <v>2504</v>
      </c>
      <c r="O40" s="143" t="s">
        <v>2504</v>
      </c>
      <c r="P40" s="143" t="s">
        <v>2504</v>
      </c>
      <c r="Q40" s="148" t="s">
        <v>919</v>
      </c>
      <c r="R40" s="148" t="s">
        <v>606</v>
      </c>
      <c r="S40" s="148" t="s">
        <v>913</v>
      </c>
      <c r="T40" s="149">
        <v>200</v>
      </c>
      <c r="U40" s="148" t="s">
        <v>591</v>
      </c>
      <c r="V40" s="150">
        <v>38476.31</v>
      </c>
      <c r="W40" s="151">
        <f>V40*15</f>
        <v>577144.64999999991</v>
      </c>
    </row>
    <row r="41" spans="1:23" ht="15" customHeight="1" x14ac:dyDescent="0.25">
      <c r="A41" s="148">
        <v>650</v>
      </c>
      <c r="B41" s="148" t="s">
        <v>924</v>
      </c>
      <c r="C41" s="143" t="s">
        <v>2504</v>
      </c>
      <c r="D41" s="143" t="s">
        <v>2504</v>
      </c>
      <c r="E41" s="143" t="s">
        <v>2504</v>
      </c>
      <c r="F41" s="143" t="s">
        <v>2504</v>
      </c>
      <c r="G41" s="143" t="s">
        <v>2504</v>
      </c>
      <c r="H41" s="143" t="s">
        <v>2504</v>
      </c>
      <c r="I41" s="143" t="s">
        <v>2504</v>
      </c>
      <c r="J41" s="143" t="s">
        <v>2504</v>
      </c>
      <c r="K41" s="143" t="s">
        <v>2504</v>
      </c>
      <c r="L41" s="143" t="s">
        <v>2504</v>
      </c>
      <c r="M41" s="143" t="s">
        <v>2504</v>
      </c>
      <c r="N41" s="143" t="s">
        <v>2504</v>
      </c>
      <c r="O41" s="143" t="s">
        <v>2504</v>
      </c>
      <c r="P41" s="143" t="s">
        <v>2504</v>
      </c>
      <c r="Q41" s="148" t="s">
        <v>925</v>
      </c>
      <c r="R41" s="148" t="s">
        <v>630</v>
      </c>
      <c r="S41" s="148" t="s">
        <v>631</v>
      </c>
      <c r="T41" s="149">
        <v>5</v>
      </c>
      <c r="U41" s="148" t="s">
        <v>591</v>
      </c>
      <c r="V41" s="150">
        <v>468.1</v>
      </c>
      <c r="W41" s="151">
        <v>2221.88</v>
      </c>
    </row>
    <row r="42" spans="1:23" ht="15" customHeight="1" x14ac:dyDescent="0.25">
      <c r="A42" s="148">
        <v>687</v>
      </c>
      <c r="B42" s="148" t="s">
        <v>939</v>
      </c>
      <c r="C42" s="143" t="s">
        <v>2504</v>
      </c>
      <c r="D42" s="143" t="s">
        <v>2504</v>
      </c>
      <c r="E42" s="143" t="s">
        <v>2504</v>
      </c>
      <c r="F42" s="143" t="s">
        <v>2504</v>
      </c>
      <c r="G42" s="143" t="s">
        <v>2504</v>
      </c>
      <c r="H42" s="143" t="s">
        <v>2504</v>
      </c>
      <c r="I42" s="143" t="s">
        <v>2504</v>
      </c>
      <c r="J42" s="143" t="s">
        <v>2504</v>
      </c>
      <c r="K42" s="143" t="s">
        <v>2504</v>
      </c>
      <c r="L42" s="143" t="s">
        <v>2504</v>
      </c>
      <c r="M42" s="143" t="s">
        <v>2504</v>
      </c>
      <c r="N42" s="143" t="s">
        <v>2504</v>
      </c>
      <c r="O42" s="143" t="s">
        <v>2504</v>
      </c>
      <c r="P42" s="143" t="s">
        <v>2504</v>
      </c>
      <c r="Q42" s="148" t="s">
        <v>940</v>
      </c>
      <c r="R42" s="148" t="s">
        <v>694</v>
      </c>
      <c r="S42" s="148" t="s">
        <v>941</v>
      </c>
      <c r="T42" s="149">
        <v>1</v>
      </c>
      <c r="U42" s="148" t="s">
        <v>591</v>
      </c>
      <c r="V42" s="150">
        <v>65.760000000000005</v>
      </c>
      <c r="W42" s="151">
        <v>23479.21</v>
      </c>
    </row>
    <row r="43" spans="1:23" ht="15" customHeight="1" x14ac:dyDescent="0.25">
      <c r="A43" s="148">
        <v>707</v>
      </c>
      <c r="B43" s="148" t="s">
        <v>945</v>
      </c>
      <c r="C43" s="143" t="s">
        <v>2504</v>
      </c>
      <c r="D43" s="143" t="s">
        <v>2504</v>
      </c>
      <c r="E43" s="143" t="s">
        <v>2504</v>
      </c>
      <c r="F43" s="143" t="s">
        <v>2504</v>
      </c>
      <c r="G43" s="143" t="s">
        <v>2504</v>
      </c>
      <c r="H43" s="143" t="s">
        <v>2504</v>
      </c>
      <c r="I43" s="143" t="s">
        <v>2504</v>
      </c>
      <c r="J43" s="143" t="s">
        <v>2504</v>
      </c>
      <c r="K43" s="143" t="s">
        <v>2504</v>
      </c>
      <c r="L43" s="143" t="s">
        <v>2504</v>
      </c>
      <c r="M43" s="143" t="s">
        <v>2504</v>
      </c>
      <c r="N43" s="143" t="s">
        <v>2504</v>
      </c>
      <c r="O43" s="143" t="s">
        <v>2504</v>
      </c>
      <c r="P43" s="143" t="s">
        <v>2504</v>
      </c>
      <c r="Q43" s="148" t="s">
        <v>946</v>
      </c>
      <c r="R43" s="148" t="s">
        <v>606</v>
      </c>
      <c r="S43" s="148" t="s">
        <v>494</v>
      </c>
      <c r="T43" s="149">
        <v>200</v>
      </c>
      <c r="U43" s="148" t="s">
        <v>591</v>
      </c>
      <c r="V43" s="150">
        <v>100241.53</v>
      </c>
      <c r="W43" s="151">
        <f>V43*16</f>
        <v>1603864.48</v>
      </c>
    </row>
    <row r="44" spans="1:23" ht="15" customHeight="1" x14ac:dyDescent="0.25">
      <c r="A44" s="148">
        <v>766</v>
      </c>
      <c r="B44" s="148" t="s">
        <v>959</v>
      </c>
      <c r="C44" s="143" t="s">
        <v>2504</v>
      </c>
      <c r="D44" s="143" t="s">
        <v>2504</v>
      </c>
      <c r="E44" s="143" t="s">
        <v>2504</v>
      </c>
      <c r="F44" s="143" t="s">
        <v>2504</v>
      </c>
      <c r="G44" s="143" t="s">
        <v>2504</v>
      </c>
      <c r="H44" s="143" t="s">
        <v>2504</v>
      </c>
      <c r="I44" s="143" t="s">
        <v>2504</v>
      </c>
      <c r="J44" s="143" t="s">
        <v>2504</v>
      </c>
      <c r="K44" s="143" t="s">
        <v>2504</v>
      </c>
      <c r="L44" s="143" t="s">
        <v>2504</v>
      </c>
      <c r="M44" s="143" t="s">
        <v>2504</v>
      </c>
      <c r="N44" s="143" t="s">
        <v>2504</v>
      </c>
      <c r="O44" s="143" t="s">
        <v>2504</v>
      </c>
      <c r="P44" s="143" t="s">
        <v>2504</v>
      </c>
      <c r="Q44" s="148" t="s">
        <v>960</v>
      </c>
      <c r="R44" s="148" t="s">
        <v>606</v>
      </c>
      <c r="S44" s="148" t="s">
        <v>961</v>
      </c>
      <c r="T44" s="149">
        <v>200</v>
      </c>
      <c r="U44" s="148" t="s">
        <v>591</v>
      </c>
      <c r="V44" s="150">
        <v>84812.66</v>
      </c>
      <c r="W44" s="151">
        <f>V44*4</f>
        <v>339250.64</v>
      </c>
    </row>
    <row r="45" spans="1:23" ht="15" customHeight="1" x14ac:dyDescent="0.25">
      <c r="A45" s="148">
        <v>770</v>
      </c>
      <c r="B45" s="148" t="s">
        <v>963</v>
      </c>
      <c r="C45" s="143" t="s">
        <v>2504</v>
      </c>
      <c r="D45" s="143" t="s">
        <v>2504</v>
      </c>
      <c r="E45" s="143" t="s">
        <v>2504</v>
      </c>
      <c r="F45" s="143" t="s">
        <v>2504</v>
      </c>
      <c r="G45" s="143" t="s">
        <v>2504</v>
      </c>
      <c r="H45" s="143" t="s">
        <v>2504</v>
      </c>
      <c r="I45" s="143" t="s">
        <v>2504</v>
      </c>
      <c r="J45" s="143" t="s">
        <v>2504</v>
      </c>
      <c r="K45" s="143" t="s">
        <v>2504</v>
      </c>
      <c r="L45" s="143" t="s">
        <v>2504</v>
      </c>
      <c r="M45" s="143" t="s">
        <v>2504</v>
      </c>
      <c r="N45" s="143" t="s">
        <v>2504</v>
      </c>
      <c r="O45" s="143" t="s">
        <v>2504</v>
      </c>
      <c r="P45" s="143" t="s">
        <v>2504</v>
      </c>
      <c r="Q45" s="148" t="s">
        <v>964</v>
      </c>
      <c r="R45" s="148" t="s">
        <v>606</v>
      </c>
      <c r="S45" s="148" t="s">
        <v>965</v>
      </c>
      <c r="T45" s="149">
        <v>19</v>
      </c>
      <c r="U45" s="148" t="s">
        <v>591</v>
      </c>
      <c r="V45" s="150">
        <v>8350.8700000000008</v>
      </c>
      <c r="W45" s="151">
        <f>V45*16</f>
        <v>133613.92000000001</v>
      </c>
    </row>
    <row r="46" spans="1:23" ht="15" customHeight="1" x14ac:dyDescent="0.25">
      <c r="A46" s="148">
        <v>771</v>
      </c>
      <c r="B46" s="148" t="s">
        <v>966</v>
      </c>
      <c r="C46" s="143" t="s">
        <v>2504</v>
      </c>
      <c r="D46" s="143" t="s">
        <v>2504</v>
      </c>
      <c r="E46" s="143" t="s">
        <v>2504</v>
      </c>
      <c r="F46" s="143" t="s">
        <v>2504</v>
      </c>
      <c r="G46" s="143" t="s">
        <v>2504</v>
      </c>
      <c r="H46" s="143" t="s">
        <v>2504</v>
      </c>
      <c r="I46" s="143" t="s">
        <v>2504</v>
      </c>
      <c r="J46" s="143" t="s">
        <v>2504</v>
      </c>
      <c r="K46" s="143" t="s">
        <v>2504</v>
      </c>
      <c r="L46" s="143" t="s">
        <v>2504</v>
      </c>
      <c r="M46" s="143" t="s">
        <v>2504</v>
      </c>
      <c r="N46" s="143" t="s">
        <v>2504</v>
      </c>
      <c r="O46" s="143" t="s">
        <v>2504</v>
      </c>
      <c r="P46" s="143" t="s">
        <v>2504</v>
      </c>
      <c r="Q46" s="148" t="s">
        <v>967</v>
      </c>
      <c r="R46" s="148" t="s">
        <v>606</v>
      </c>
      <c r="S46" s="148" t="s">
        <v>965</v>
      </c>
      <c r="T46" s="149">
        <v>200</v>
      </c>
      <c r="U46" s="148" t="s">
        <v>591</v>
      </c>
      <c r="V46" s="150">
        <v>88030.1</v>
      </c>
      <c r="W46" s="151">
        <f>V46*4</f>
        <v>352120.4</v>
      </c>
    </row>
    <row r="47" spans="1:23" ht="15" customHeight="1" x14ac:dyDescent="0.25">
      <c r="A47" s="148">
        <v>889</v>
      </c>
      <c r="B47" s="148" t="s">
        <v>1007</v>
      </c>
      <c r="C47" s="143" t="s">
        <v>2504</v>
      </c>
      <c r="D47" s="143" t="s">
        <v>2504</v>
      </c>
      <c r="E47" s="143" t="s">
        <v>2504</v>
      </c>
      <c r="F47" s="143" t="s">
        <v>2504</v>
      </c>
      <c r="G47" s="143" t="s">
        <v>2504</v>
      </c>
      <c r="H47" s="143" t="s">
        <v>2504</v>
      </c>
      <c r="I47" s="143" t="s">
        <v>2504</v>
      </c>
      <c r="J47" s="143" t="s">
        <v>2504</v>
      </c>
      <c r="K47" s="143" t="s">
        <v>2504</v>
      </c>
      <c r="L47" s="143" t="s">
        <v>2504</v>
      </c>
      <c r="M47" s="143" t="s">
        <v>2504</v>
      </c>
      <c r="N47" s="143" t="s">
        <v>2504</v>
      </c>
      <c r="O47" s="143" t="s">
        <v>2504</v>
      </c>
      <c r="P47" s="143" t="s">
        <v>2504</v>
      </c>
      <c r="Q47" s="148" t="s">
        <v>1008</v>
      </c>
      <c r="R47" s="148" t="s">
        <v>630</v>
      </c>
      <c r="S47" s="148" t="s">
        <v>1009</v>
      </c>
      <c r="T47" s="149">
        <v>1</v>
      </c>
      <c r="U47" s="148" t="s">
        <v>591</v>
      </c>
      <c r="V47" s="150">
        <v>158.75</v>
      </c>
      <c r="W47" s="151">
        <v>1830.3</v>
      </c>
    </row>
    <row r="48" spans="1:23" ht="15" customHeight="1" x14ac:dyDescent="0.25">
      <c r="A48" s="148">
        <v>898</v>
      </c>
      <c r="B48" s="148" t="s">
        <v>1013</v>
      </c>
      <c r="C48" s="143" t="s">
        <v>2504</v>
      </c>
      <c r="D48" s="143" t="s">
        <v>2504</v>
      </c>
      <c r="E48" s="143" t="s">
        <v>2504</v>
      </c>
      <c r="F48" s="143" t="s">
        <v>2504</v>
      </c>
      <c r="G48" s="143" t="s">
        <v>2504</v>
      </c>
      <c r="H48" s="143" t="s">
        <v>2504</v>
      </c>
      <c r="I48" s="143" t="s">
        <v>2504</v>
      </c>
      <c r="J48" s="143" t="s">
        <v>2504</v>
      </c>
      <c r="K48" s="143" t="s">
        <v>2504</v>
      </c>
      <c r="L48" s="143" t="s">
        <v>2504</v>
      </c>
      <c r="M48" s="143" t="s">
        <v>2504</v>
      </c>
      <c r="N48" s="143" t="s">
        <v>2504</v>
      </c>
      <c r="O48" s="143" t="s">
        <v>2504</v>
      </c>
      <c r="P48" s="143" t="s">
        <v>2504</v>
      </c>
      <c r="Q48" s="148" t="s">
        <v>1014</v>
      </c>
      <c r="R48" s="148" t="s">
        <v>594</v>
      </c>
      <c r="S48" s="148" t="s">
        <v>1012</v>
      </c>
      <c r="T48" s="149">
        <v>19</v>
      </c>
      <c r="U48" s="148" t="s">
        <v>591</v>
      </c>
      <c r="V48" s="150">
        <v>2705.2</v>
      </c>
      <c r="W48" s="151">
        <v>19372.91</v>
      </c>
    </row>
    <row r="49" spans="1:23" ht="15" customHeight="1" x14ac:dyDescent="0.25">
      <c r="A49" s="148">
        <v>899</v>
      </c>
      <c r="B49" s="148" t="s">
        <v>1015</v>
      </c>
      <c r="C49" s="143" t="s">
        <v>2504</v>
      </c>
      <c r="D49" s="143" t="s">
        <v>2504</v>
      </c>
      <c r="E49" s="143" t="s">
        <v>2504</v>
      </c>
      <c r="F49" s="143" t="s">
        <v>2504</v>
      </c>
      <c r="G49" s="143" t="s">
        <v>2504</v>
      </c>
      <c r="H49" s="143" t="s">
        <v>2504</v>
      </c>
      <c r="I49" s="143" t="s">
        <v>2504</v>
      </c>
      <c r="J49" s="143" t="s">
        <v>2504</v>
      </c>
      <c r="K49" s="143" t="s">
        <v>2504</v>
      </c>
      <c r="L49" s="143" t="s">
        <v>2504</v>
      </c>
      <c r="M49" s="143" t="s">
        <v>2504</v>
      </c>
      <c r="N49" s="143" t="s">
        <v>2504</v>
      </c>
      <c r="O49" s="143" t="s">
        <v>2504</v>
      </c>
      <c r="P49" s="143" t="s">
        <v>2504</v>
      </c>
      <c r="Q49" s="148" t="s">
        <v>1016</v>
      </c>
      <c r="R49" s="148" t="s">
        <v>594</v>
      </c>
      <c r="S49" s="148" t="s">
        <v>1012</v>
      </c>
      <c r="T49" s="149">
        <v>200</v>
      </c>
      <c r="U49" s="148" t="s">
        <v>591</v>
      </c>
      <c r="V49" s="150">
        <v>28167.87</v>
      </c>
      <c r="W49" s="151">
        <f>V49*16</f>
        <v>450685.92</v>
      </c>
    </row>
    <row r="50" spans="1:23" ht="15" customHeight="1" x14ac:dyDescent="0.25">
      <c r="A50" s="148">
        <v>904</v>
      </c>
      <c r="B50" s="148" t="s">
        <v>1019</v>
      </c>
      <c r="C50" s="143" t="s">
        <v>2504</v>
      </c>
      <c r="D50" s="143" t="s">
        <v>2504</v>
      </c>
      <c r="E50" s="143" t="s">
        <v>2504</v>
      </c>
      <c r="F50" s="143" t="s">
        <v>2504</v>
      </c>
      <c r="G50" s="143" t="s">
        <v>2504</v>
      </c>
      <c r="H50" s="143" t="s">
        <v>2504</v>
      </c>
      <c r="I50" s="143" t="s">
        <v>2504</v>
      </c>
      <c r="J50" s="143" t="s">
        <v>2504</v>
      </c>
      <c r="K50" s="143" t="s">
        <v>2504</v>
      </c>
      <c r="L50" s="143" t="s">
        <v>2504</v>
      </c>
      <c r="M50" s="143" t="s">
        <v>2504</v>
      </c>
      <c r="N50" s="143" t="s">
        <v>2504</v>
      </c>
      <c r="O50" s="143" t="s">
        <v>2504</v>
      </c>
      <c r="P50" s="143" t="s">
        <v>2504</v>
      </c>
      <c r="Q50" s="148" t="s">
        <v>1020</v>
      </c>
      <c r="R50" s="148" t="s">
        <v>694</v>
      </c>
      <c r="S50" s="148" t="s">
        <v>698</v>
      </c>
      <c r="T50" s="149">
        <v>1</v>
      </c>
      <c r="U50" s="148" t="s">
        <v>591</v>
      </c>
      <c r="V50" s="150">
        <v>115.36</v>
      </c>
      <c r="W50" s="151">
        <f>V50*4</f>
        <v>461.44</v>
      </c>
    </row>
    <row r="51" spans="1:23" ht="15" customHeight="1" x14ac:dyDescent="0.25">
      <c r="A51" s="148">
        <v>1090</v>
      </c>
      <c r="B51" s="148" t="s">
        <v>1027</v>
      </c>
      <c r="C51" s="143" t="s">
        <v>2504</v>
      </c>
      <c r="D51" s="143" t="s">
        <v>2504</v>
      </c>
      <c r="E51" s="143" t="s">
        <v>2504</v>
      </c>
      <c r="F51" s="143" t="s">
        <v>2504</v>
      </c>
      <c r="G51" s="143" t="s">
        <v>2504</v>
      </c>
      <c r="H51" s="143" t="s">
        <v>2504</v>
      </c>
      <c r="I51" s="143" t="s">
        <v>2504</v>
      </c>
      <c r="J51" s="143" t="s">
        <v>2504</v>
      </c>
      <c r="K51" s="143" t="s">
        <v>2504</v>
      </c>
      <c r="L51" s="143" t="s">
        <v>2504</v>
      </c>
      <c r="M51" s="143" t="s">
        <v>2504</v>
      </c>
      <c r="N51" s="143" t="s">
        <v>2504</v>
      </c>
      <c r="O51" s="143" t="s">
        <v>2504</v>
      </c>
      <c r="P51" s="143" t="s">
        <v>2504</v>
      </c>
      <c r="Q51" s="148" t="s">
        <v>1028</v>
      </c>
      <c r="R51" s="148" t="s">
        <v>705</v>
      </c>
      <c r="S51" s="148" t="s">
        <v>713</v>
      </c>
      <c r="T51" s="149">
        <v>7</v>
      </c>
      <c r="U51" s="148" t="s">
        <v>591</v>
      </c>
      <c r="V51" s="150">
        <v>792.14</v>
      </c>
      <c r="W51" s="151">
        <v>1825.26</v>
      </c>
    </row>
    <row r="52" spans="1:23" ht="15" customHeight="1" x14ac:dyDescent="0.25">
      <c r="A52" s="148">
        <v>1091</v>
      </c>
      <c r="B52" s="148" t="s">
        <v>1029</v>
      </c>
      <c r="C52" s="143" t="s">
        <v>2504</v>
      </c>
      <c r="D52" s="143" t="s">
        <v>2504</v>
      </c>
      <c r="E52" s="143" t="s">
        <v>2504</v>
      </c>
      <c r="F52" s="143" t="s">
        <v>2504</v>
      </c>
      <c r="G52" s="143" t="s">
        <v>2504</v>
      </c>
      <c r="H52" s="143" t="s">
        <v>2504</v>
      </c>
      <c r="I52" s="143" t="s">
        <v>2504</v>
      </c>
      <c r="J52" s="143" t="s">
        <v>2504</v>
      </c>
      <c r="K52" s="143" t="s">
        <v>2504</v>
      </c>
      <c r="L52" s="143" t="s">
        <v>2504</v>
      </c>
      <c r="M52" s="143" t="s">
        <v>2504</v>
      </c>
      <c r="N52" s="143" t="s">
        <v>2504</v>
      </c>
      <c r="O52" s="143" t="s">
        <v>2504</v>
      </c>
      <c r="P52" s="143" t="s">
        <v>2504</v>
      </c>
      <c r="Q52" s="148" t="s">
        <v>1030</v>
      </c>
      <c r="R52" s="148" t="s">
        <v>705</v>
      </c>
      <c r="S52" s="148" t="s">
        <v>713</v>
      </c>
      <c r="T52" s="149">
        <v>7</v>
      </c>
      <c r="U52" s="148" t="s">
        <v>591</v>
      </c>
      <c r="V52" s="150">
        <v>793.04</v>
      </c>
      <c r="W52" s="151">
        <v>19318.41</v>
      </c>
    </row>
    <row r="53" spans="1:23" ht="15" customHeight="1" x14ac:dyDescent="0.25">
      <c r="A53" s="148">
        <v>1108</v>
      </c>
      <c r="B53" s="148" t="s">
        <v>1034</v>
      </c>
      <c r="C53" s="143" t="s">
        <v>2504</v>
      </c>
      <c r="D53" s="143" t="s">
        <v>2504</v>
      </c>
      <c r="E53" s="143" t="s">
        <v>2504</v>
      </c>
      <c r="F53" s="143" t="s">
        <v>2504</v>
      </c>
      <c r="G53" s="143" t="s">
        <v>2504</v>
      </c>
      <c r="H53" s="143" t="s">
        <v>2504</v>
      </c>
      <c r="I53" s="143" t="s">
        <v>2504</v>
      </c>
      <c r="J53" s="143" t="s">
        <v>2504</v>
      </c>
      <c r="K53" s="143" t="s">
        <v>2504</v>
      </c>
      <c r="L53" s="143" t="s">
        <v>2504</v>
      </c>
      <c r="M53" s="143" t="s">
        <v>2504</v>
      </c>
      <c r="N53" s="143" t="s">
        <v>2504</v>
      </c>
      <c r="O53" s="143" t="s">
        <v>2504</v>
      </c>
      <c r="P53" s="143" t="s">
        <v>2504</v>
      </c>
      <c r="Q53" s="148" t="s">
        <v>1035</v>
      </c>
      <c r="R53" s="148" t="s">
        <v>630</v>
      </c>
      <c r="S53" s="148" t="s">
        <v>812</v>
      </c>
      <c r="T53" s="149">
        <v>200</v>
      </c>
      <c r="U53" s="148" t="s">
        <v>591</v>
      </c>
      <c r="V53" s="150">
        <v>43508.17</v>
      </c>
      <c r="W53" s="151">
        <f>V53*16</f>
        <v>696130.72</v>
      </c>
    </row>
    <row r="54" spans="1:23" ht="15" customHeight="1" x14ac:dyDescent="0.25">
      <c r="A54" s="148">
        <v>1162</v>
      </c>
      <c r="B54" s="148" t="s">
        <v>1039</v>
      </c>
      <c r="C54" s="143" t="s">
        <v>2504</v>
      </c>
      <c r="D54" s="143" t="s">
        <v>2504</v>
      </c>
      <c r="E54" s="143" t="s">
        <v>2504</v>
      </c>
      <c r="F54" s="143" t="s">
        <v>2504</v>
      </c>
      <c r="G54" s="143" t="s">
        <v>2504</v>
      </c>
      <c r="H54" s="143" t="s">
        <v>2504</v>
      </c>
      <c r="I54" s="143" t="s">
        <v>2504</v>
      </c>
      <c r="J54" s="143" t="s">
        <v>2504</v>
      </c>
      <c r="K54" s="143" t="s">
        <v>2504</v>
      </c>
      <c r="L54" s="143" t="s">
        <v>2504</v>
      </c>
      <c r="M54" s="143" t="s">
        <v>2504</v>
      </c>
      <c r="N54" s="143" t="s">
        <v>2504</v>
      </c>
      <c r="O54" s="143" t="s">
        <v>2504</v>
      </c>
      <c r="P54" s="143" t="s">
        <v>2504</v>
      </c>
      <c r="Q54" s="148" t="s">
        <v>1040</v>
      </c>
      <c r="R54" s="148" t="s">
        <v>594</v>
      </c>
      <c r="S54" s="148" t="s">
        <v>1012</v>
      </c>
      <c r="T54" s="149">
        <v>1</v>
      </c>
      <c r="U54" s="148" t="s">
        <v>591</v>
      </c>
      <c r="V54" s="150">
        <v>134.65</v>
      </c>
      <c r="W54" s="151">
        <f>V54*4</f>
        <v>538.6</v>
      </c>
    </row>
    <row r="55" spans="1:23" ht="15" customHeight="1" x14ac:dyDescent="0.25">
      <c r="A55" s="148">
        <v>1170</v>
      </c>
      <c r="B55" s="148" t="s">
        <v>1044</v>
      </c>
      <c r="C55" s="143" t="s">
        <v>2504</v>
      </c>
      <c r="D55" s="143" t="s">
        <v>2504</v>
      </c>
      <c r="E55" s="143" t="s">
        <v>2504</v>
      </c>
      <c r="F55" s="143" t="s">
        <v>2504</v>
      </c>
      <c r="G55" s="143" t="s">
        <v>2504</v>
      </c>
      <c r="H55" s="143" t="s">
        <v>2504</v>
      </c>
      <c r="I55" s="143" t="s">
        <v>2504</v>
      </c>
      <c r="J55" s="143" t="s">
        <v>2504</v>
      </c>
      <c r="K55" s="143" t="s">
        <v>2504</v>
      </c>
      <c r="L55" s="143" t="s">
        <v>2504</v>
      </c>
      <c r="M55" s="143" t="s">
        <v>2504</v>
      </c>
      <c r="N55" s="143" t="s">
        <v>2504</v>
      </c>
      <c r="O55" s="143" t="s">
        <v>2504</v>
      </c>
      <c r="P55" s="143" t="s">
        <v>2504</v>
      </c>
      <c r="Q55" s="148" t="s">
        <v>1045</v>
      </c>
      <c r="R55" s="148" t="s">
        <v>606</v>
      </c>
      <c r="S55" s="148" t="s">
        <v>661</v>
      </c>
      <c r="T55" s="149">
        <v>1</v>
      </c>
      <c r="U55" s="148" t="s">
        <v>591</v>
      </c>
      <c r="V55" s="150">
        <v>97.8</v>
      </c>
      <c r="W55" s="151">
        <f>V55*16</f>
        <v>1564.8</v>
      </c>
    </row>
    <row r="56" spans="1:23" ht="15" customHeight="1" x14ac:dyDescent="0.25">
      <c r="A56" s="148">
        <v>1293</v>
      </c>
      <c r="B56" s="148" t="s">
        <v>1085</v>
      </c>
      <c r="C56" s="143" t="s">
        <v>2504</v>
      </c>
      <c r="D56" s="143" t="s">
        <v>2504</v>
      </c>
      <c r="E56" s="143" t="s">
        <v>2504</v>
      </c>
      <c r="F56" s="143" t="s">
        <v>2504</v>
      </c>
      <c r="G56" s="143" t="s">
        <v>2504</v>
      </c>
      <c r="H56" s="143" t="s">
        <v>2504</v>
      </c>
      <c r="I56" s="143" t="s">
        <v>2504</v>
      </c>
      <c r="J56" s="143" t="s">
        <v>2504</v>
      </c>
      <c r="K56" s="143" t="s">
        <v>2504</v>
      </c>
      <c r="L56" s="143" t="s">
        <v>2504</v>
      </c>
      <c r="M56" s="143" t="s">
        <v>2504</v>
      </c>
      <c r="N56" s="143" t="s">
        <v>2504</v>
      </c>
      <c r="O56" s="143" t="s">
        <v>2504</v>
      </c>
      <c r="P56" s="143" t="s">
        <v>2504</v>
      </c>
      <c r="Q56" s="148" t="s">
        <v>1086</v>
      </c>
      <c r="R56" s="148" t="s">
        <v>705</v>
      </c>
      <c r="S56" s="148" t="s">
        <v>1081</v>
      </c>
      <c r="T56" s="149">
        <v>7</v>
      </c>
      <c r="U56" s="148" t="s">
        <v>591</v>
      </c>
      <c r="V56" s="150">
        <v>822.82</v>
      </c>
      <c r="W56" s="151">
        <f>V56*4</f>
        <v>3291.28</v>
      </c>
    </row>
    <row r="57" spans="1:23" ht="15" customHeight="1" x14ac:dyDescent="0.25">
      <c r="A57" s="148">
        <v>1817</v>
      </c>
      <c r="B57" s="148" t="s">
        <v>1098</v>
      </c>
      <c r="C57" s="143" t="s">
        <v>2504</v>
      </c>
      <c r="D57" s="143" t="s">
        <v>2504</v>
      </c>
      <c r="E57" s="143" t="s">
        <v>2504</v>
      </c>
      <c r="F57" s="143" t="s">
        <v>2504</v>
      </c>
      <c r="G57" s="143" t="s">
        <v>2504</v>
      </c>
      <c r="H57" s="143" t="s">
        <v>2504</v>
      </c>
      <c r="I57" s="143" t="s">
        <v>2504</v>
      </c>
      <c r="J57" s="143" t="s">
        <v>2504</v>
      </c>
      <c r="K57" s="143" t="s">
        <v>2504</v>
      </c>
      <c r="L57" s="143" t="s">
        <v>2504</v>
      </c>
      <c r="M57" s="143" t="s">
        <v>2504</v>
      </c>
      <c r="N57" s="143" t="s">
        <v>2504</v>
      </c>
      <c r="O57" s="143" t="s">
        <v>2504</v>
      </c>
      <c r="P57" s="143" t="s">
        <v>2504</v>
      </c>
      <c r="Q57" s="148" t="s">
        <v>1099</v>
      </c>
      <c r="R57" s="148" t="s">
        <v>594</v>
      </c>
      <c r="S57" s="148" t="s">
        <v>674</v>
      </c>
      <c r="T57" s="149">
        <v>0.25</v>
      </c>
      <c r="U57" s="148" t="s">
        <v>591</v>
      </c>
      <c r="V57" s="150">
        <v>34.29</v>
      </c>
      <c r="W57" s="151">
        <v>1819.8</v>
      </c>
    </row>
    <row r="58" spans="1:23" ht="15" customHeight="1" x14ac:dyDescent="0.25">
      <c r="A58" s="148">
        <v>1967</v>
      </c>
      <c r="B58" s="148" t="s">
        <v>1110</v>
      </c>
      <c r="C58" s="143" t="s">
        <v>2504</v>
      </c>
      <c r="D58" s="143" t="s">
        <v>2504</v>
      </c>
      <c r="E58" s="143" t="s">
        <v>2504</v>
      </c>
      <c r="F58" s="143" t="s">
        <v>2504</v>
      </c>
      <c r="G58" s="143" t="s">
        <v>2504</v>
      </c>
      <c r="H58" s="143" t="s">
        <v>2504</v>
      </c>
      <c r="I58" s="143" t="s">
        <v>2504</v>
      </c>
      <c r="J58" s="143" t="s">
        <v>2504</v>
      </c>
      <c r="K58" s="143" t="s">
        <v>2504</v>
      </c>
      <c r="L58" s="143" t="s">
        <v>2504</v>
      </c>
      <c r="M58" s="143" t="s">
        <v>2504</v>
      </c>
      <c r="N58" s="143" t="s">
        <v>2504</v>
      </c>
      <c r="O58" s="143" t="s">
        <v>2504</v>
      </c>
      <c r="P58" s="143" t="s">
        <v>2504</v>
      </c>
      <c r="Q58" s="148" t="s">
        <v>1111</v>
      </c>
      <c r="R58" s="148" t="s">
        <v>600</v>
      </c>
      <c r="S58" s="148" t="s">
        <v>613</v>
      </c>
      <c r="T58" s="149">
        <v>200</v>
      </c>
      <c r="U58" s="148" t="s">
        <v>591</v>
      </c>
      <c r="V58" s="150">
        <v>12303.7</v>
      </c>
      <c r="W58" s="151">
        <v>19259.939999999999</v>
      </c>
    </row>
    <row r="59" spans="1:23" ht="15" customHeight="1" x14ac:dyDescent="0.25">
      <c r="A59" s="148">
        <v>1970</v>
      </c>
      <c r="B59" s="148" t="s">
        <v>1112</v>
      </c>
      <c r="C59" s="143" t="s">
        <v>2504</v>
      </c>
      <c r="D59" s="143" t="s">
        <v>2504</v>
      </c>
      <c r="E59" s="143" t="s">
        <v>2504</v>
      </c>
      <c r="F59" s="143" t="s">
        <v>2504</v>
      </c>
      <c r="G59" s="143" t="s">
        <v>2504</v>
      </c>
      <c r="H59" s="143" t="s">
        <v>2504</v>
      </c>
      <c r="I59" s="143" t="s">
        <v>2504</v>
      </c>
      <c r="J59" s="143" t="s">
        <v>2504</v>
      </c>
      <c r="K59" s="143" t="s">
        <v>2504</v>
      </c>
      <c r="L59" s="143" t="s">
        <v>2504</v>
      </c>
      <c r="M59" s="143" t="s">
        <v>2504</v>
      </c>
      <c r="N59" s="143" t="s">
        <v>2504</v>
      </c>
      <c r="O59" s="143" t="s">
        <v>2504</v>
      </c>
      <c r="P59" s="143" t="s">
        <v>2504</v>
      </c>
      <c r="Q59" s="148" t="s">
        <v>1113</v>
      </c>
      <c r="R59" s="148" t="s">
        <v>600</v>
      </c>
      <c r="S59" s="148" t="s">
        <v>613</v>
      </c>
      <c r="T59" s="149">
        <v>20</v>
      </c>
      <c r="U59" s="148" t="s">
        <v>591</v>
      </c>
      <c r="V59" s="150">
        <v>1651.4</v>
      </c>
      <c r="W59" s="151">
        <v>2555.48</v>
      </c>
    </row>
    <row r="60" spans="1:23" ht="15" customHeight="1" x14ac:dyDescent="0.25">
      <c r="A60" s="148">
        <v>1971</v>
      </c>
      <c r="B60" s="148" t="s">
        <v>1114</v>
      </c>
      <c r="C60" s="143" t="s">
        <v>2504</v>
      </c>
      <c r="D60" s="143" t="s">
        <v>2504</v>
      </c>
      <c r="E60" s="143" t="s">
        <v>2504</v>
      </c>
      <c r="F60" s="143" t="s">
        <v>2504</v>
      </c>
      <c r="G60" s="143" t="s">
        <v>2504</v>
      </c>
      <c r="H60" s="143" t="s">
        <v>2504</v>
      </c>
      <c r="I60" s="143" t="s">
        <v>2504</v>
      </c>
      <c r="J60" s="143" t="s">
        <v>2504</v>
      </c>
      <c r="K60" s="143" t="s">
        <v>2504</v>
      </c>
      <c r="L60" s="143" t="s">
        <v>2504</v>
      </c>
      <c r="M60" s="143" t="s">
        <v>2504</v>
      </c>
      <c r="N60" s="143" t="s">
        <v>2504</v>
      </c>
      <c r="O60" s="143" t="s">
        <v>2504</v>
      </c>
      <c r="P60" s="143" t="s">
        <v>2504</v>
      </c>
      <c r="Q60" s="148" t="s">
        <v>1115</v>
      </c>
      <c r="R60" s="148" t="s">
        <v>600</v>
      </c>
      <c r="S60" s="148" t="s">
        <v>613</v>
      </c>
      <c r="T60" s="149">
        <v>20</v>
      </c>
      <c r="U60" s="148" t="s">
        <v>591</v>
      </c>
      <c r="V60" s="150">
        <v>1931.92</v>
      </c>
      <c r="W60" s="151">
        <f>V60*1000</f>
        <v>1931920</v>
      </c>
    </row>
    <row r="61" spans="1:23" ht="15" customHeight="1" x14ac:dyDescent="0.25">
      <c r="A61" s="148">
        <v>1972</v>
      </c>
      <c r="B61" s="148" t="s">
        <v>1116</v>
      </c>
      <c r="C61" s="143" t="s">
        <v>2504</v>
      </c>
      <c r="D61" s="143" t="s">
        <v>2504</v>
      </c>
      <c r="E61" s="143" t="s">
        <v>2504</v>
      </c>
      <c r="F61" s="143" t="s">
        <v>2504</v>
      </c>
      <c r="G61" s="143" t="s">
        <v>2504</v>
      </c>
      <c r="H61" s="143" t="s">
        <v>2504</v>
      </c>
      <c r="I61" s="143" t="s">
        <v>2504</v>
      </c>
      <c r="J61" s="143" t="s">
        <v>2504</v>
      </c>
      <c r="K61" s="143" t="s">
        <v>2504</v>
      </c>
      <c r="L61" s="143" t="s">
        <v>2504</v>
      </c>
      <c r="M61" s="143" t="s">
        <v>2504</v>
      </c>
      <c r="N61" s="143" t="s">
        <v>2504</v>
      </c>
      <c r="O61" s="143" t="s">
        <v>2504</v>
      </c>
      <c r="P61" s="143" t="s">
        <v>2504</v>
      </c>
      <c r="Q61" s="148" t="s">
        <v>1117</v>
      </c>
      <c r="R61" s="148" t="s">
        <v>600</v>
      </c>
      <c r="S61" s="148" t="s">
        <v>613</v>
      </c>
      <c r="T61" s="149">
        <v>20</v>
      </c>
      <c r="U61" s="148" t="s">
        <v>591</v>
      </c>
      <c r="V61" s="150">
        <v>1189.6099999999999</v>
      </c>
      <c r="W61" s="151">
        <v>27038.639999999999</v>
      </c>
    </row>
    <row r="62" spans="1:23" ht="15" customHeight="1" x14ac:dyDescent="0.25">
      <c r="A62" s="148">
        <v>1973</v>
      </c>
      <c r="B62" s="148" t="s">
        <v>1118</v>
      </c>
      <c r="C62" s="143" t="s">
        <v>2504</v>
      </c>
      <c r="D62" s="143" t="s">
        <v>2504</v>
      </c>
      <c r="E62" s="143" t="s">
        <v>2504</v>
      </c>
      <c r="F62" s="143" t="s">
        <v>2504</v>
      </c>
      <c r="G62" s="143" t="s">
        <v>2504</v>
      </c>
      <c r="H62" s="143" t="s">
        <v>2504</v>
      </c>
      <c r="I62" s="143" t="s">
        <v>2504</v>
      </c>
      <c r="J62" s="143" t="s">
        <v>2504</v>
      </c>
      <c r="K62" s="143" t="s">
        <v>2504</v>
      </c>
      <c r="L62" s="143" t="s">
        <v>2504</v>
      </c>
      <c r="M62" s="143" t="s">
        <v>2504</v>
      </c>
      <c r="N62" s="143" t="s">
        <v>2504</v>
      </c>
      <c r="O62" s="143" t="s">
        <v>2504</v>
      </c>
      <c r="P62" s="143" t="s">
        <v>2504</v>
      </c>
      <c r="Q62" s="148" t="s">
        <v>1119</v>
      </c>
      <c r="R62" s="148" t="s">
        <v>600</v>
      </c>
      <c r="S62" s="148" t="s">
        <v>613</v>
      </c>
      <c r="T62" s="149">
        <v>20</v>
      </c>
      <c r="U62" s="148" t="s">
        <v>591</v>
      </c>
      <c r="V62" s="150">
        <v>2417.38</v>
      </c>
      <c r="W62" s="151">
        <v>16163.94</v>
      </c>
    </row>
    <row r="63" spans="1:23" ht="15" customHeight="1" x14ac:dyDescent="0.25">
      <c r="A63" s="148">
        <v>10004</v>
      </c>
      <c r="B63" s="148" t="s">
        <v>1122</v>
      </c>
      <c r="C63" s="143" t="s">
        <v>2504</v>
      </c>
      <c r="D63" s="143" t="s">
        <v>2504</v>
      </c>
      <c r="E63" s="143" t="s">
        <v>2504</v>
      </c>
      <c r="F63" s="143" t="s">
        <v>2504</v>
      </c>
      <c r="G63" s="143" t="s">
        <v>2504</v>
      </c>
      <c r="H63" s="143" t="s">
        <v>2504</v>
      </c>
      <c r="I63" s="143" t="s">
        <v>2504</v>
      </c>
      <c r="J63" s="143" t="s">
        <v>2504</v>
      </c>
      <c r="K63" s="143" t="s">
        <v>2504</v>
      </c>
      <c r="L63" s="143" t="s">
        <v>2504</v>
      </c>
      <c r="M63" s="143" t="s">
        <v>2504</v>
      </c>
      <c r="N63" s="143" t="s">
        <v>2504</v>
      </c>
      <c r="O63" s="143" t="s">
        <v>2504</v>
      </c>
      <c r="P63" s="143" t="s">
        <v>2504</v>
      </c>
      <c r="Q63" s="148" t="s">
        <v>1123</v>
      </c>
      <c r="R63" s="148" t="s">
        <v>1025</v>
      </c>
      <c r="S63" s="148" t="s">
        <v>1121</v>
      </c>
      <c r="T63" s="149">
        <v>1</v>
      </c>
      <c r="U63" s="148" t="s">
        <v>591</v>
      </c>
      <c r="V63" s="150">
        <v>95.47</v>
      </c>
      <c r="W63" s="151">
        <f>V63*24</f>
        <v>2291.2799999999997</v>
      </c>
    </row>
    <row r="64" spans="1:23" ht="15" customHeight="1" x14ac:dyDescent="0.25">
      <c r="A64" s="148">
        <v>10005</v>
      </c>
      <c r="B64" s="148" t="s">
        <v>1124</v>
      </c>
      <c r="C64" s="143" t="s">
        <v>2504</v>
      </c>
      <c r="D64" s="143" t="s">
        <v>2504</v>
      </c>
      <c r="E64" s="143" t="s">
        <v>2504</v>
      </c>
      <c r="F64" s="143" t="s">
        <v>2504</v>
      </c>
      <c r="G64" s="143" t="s">
        <v>2504</v>
      </c>
      <c r="H64" s="143" t="s">
        <v>2504</v>
      </c>
      <c r="I64" s="143" t="s">
        <v>2504</v>
      </c>
      <c r="J64" s="143" t="s">
        <v>2504</v>
      </c>
      <c r="K64" s="143" t="s">
        <v>2504</v>
      </c>
      <c r="L64" s="143" t="s">
        <v>2504</v>
      </c>
      <c r="M64" s="143" t="s">
        <v>2504</v>
      </c>
      <c r="N64" s="143" t="s">
        <v>2504</v>
      </c>
      <c r="O64" s="143" t="s">
        <v>2504</v>
      </c>
      <c r="P64" s="143" t="s">
        <v>2504</v>
      </c>
      <c r="Q64" s="148" t="s">
        <v>1125</v>
      </c>
      <c r="R64" s="148" t="s">
        <v>1025</v>
      </c>
      <c r="S64" s="148" t="s">
        <v>1121</v>
      </c>
      <c r="T64" s="149">
        <v>1</v>
      </c>
      <c r="U64" s="148" t="s">
        <v>591</v>
      </c>
      <c r="V64" s="150">
        <v>96.42</v>
      </c>
      <c r="W64" s="151">
        <f>V64*24</f>
        <v>2314.08</v>
      </c>
    </row>
    <row r="65" spans="1:23" ht="15" customHeight="1" x14ac:dyDescent="0.25">
      <c r="A65" s="148">
        <v>10006</v>
      </c>
      <c r="B65" s="148" t="s">
        <v>1126</v>
      </c>
      <c r="C65" s="143" t="s">
        <v>2504</v>
      </c>
      <c r="D65" s="143" t="s">
        <v>2504</v>
      </c>
      <c r="E65" s="143" t="s">
        <v>2504</v>
      </c>
      <c r="F65" s="143" t="s">
        <v>2504</v>
      </c>
      <c r="G65" s="143" t="s">
        <v>2504</v>
      </c>
      <c r="H65" s="143" t="s">
        <v>2504</v>
      </c>
      <c r="I65" s="143" t="s">
        <v>2504</v>
      </c>
      <c r="J65" s="143" t="s">
        <v>2504</v>
      </c>
      <c r="K65" s="143" t="s">
        <v>2504</v>
      </c>
      <c r="L65" s="143" t="s">
        <v>2504</v>
      </c>
      <c r="M65" s="143" t="s">
        <v>2504</v>
      </c>
      <c r="N65" s="143" t="s">
        <v>2504</v>
      </c>
      <c r="O65" s="143" t="s">
        <v>2504</v>
      </c>
      <c r="P65" s="143" t="s">
        <v>2504</v>
      </c>
      <c r="Q65" s="148" t="s">
        <v>1127</v>
      </c>
      <c r="R65" s="148" t="s">
        <v>1025</v>
      </c>
      <c r="S65" s="148" t="s">
        <v>1121</v>
      </c>
      <c r="T65" s="149">
        <v>1</v>
      </c>
      <c r="U65" s="148" t="s">
        <v>591</v>
      </c>
      <c r="V65" s="150">
        <v>97.16</v>
      </c>
      <c r="W65" s="151">
        <f>V65*12</f>
        <v>1165.92</v>
      </c>
    </row>
    <row r="66" spans="1:23" ht="15" customHeight="1" x14ac:dyDescent="0.25">
      <c r="A66" s="148">
        <v>10007</v>
      </c>
      <c r="B66" s="148" t="s">
        <v>1128</v>
      </c>
      <c r="C66" s="143" t="s">
        <v>2504</v>
      </c>
      <c r="D66" s="143" t="s">
        <v>2504</v>
      </c>
      <c r="E66" s="143" t="s">
        <v>2504</v>
      </c>
      <c r="F66" s="143" t="s">
        <v>2504</v>
      </c>
      <c r="G66" s="143" t="s">
        <v>2504</v>
      </c>
      <c r="H66" s="143" t="s">
        <v>2504</v>
      </c>
      <c r="I66" s="143" t="s">
        <v>2504</v>
      </c>
      <c r="J66" s="143" t="s">
        <v>2504</v>
      </c>
      <c r="K66" s="143" t="s">
        <v>2504</v>
      </c>
      <c r="L66" s="143" t="s">
        <v>2504</v>
      </c>
      <c r="M66" s="143" t="s">
        <v>2504</v>
      </c>
      <c r="N66" s="143" t="s">
        <v>2504</v>
      </c>
      <c r="O66" s="143" t="s">
        <v>2504</v>
      </c>
      <c r="P66" s="143" t="s">
        <v>2504</v>
      </c>
      <c r="Q66" s="148" t="s">
        <v>1129</v>
      </c>
      <c r="R66" s="148" t="s">
        <v>1025</v>
      </c>
      <c r="S66" s="148" t="s">
        <v>1121</v>
      </c>
      <c r="T66" s="149">
        <v>1</v>
      </c>
      <c r="U66" s="148" t="s">
        <v>591</v>
      </c>
      <c r="V66" s="150">
        <v>97.51</v>
      </c>
      <c r="W66" s="151">
        <v>1740.67</v>
      </c>
    </row>
    <row r="67" spans="1:23" ht="15" customHeight="1" x14ac:dyDescent="0.25">
      <c r="A67" s="148">
        <v>10008</v>
      </c>
      <c r="B67" s="148" t="s">
        <v>1130</v>
      </c>
      <c r="C67" s="143" t="s">
        <v>2504</v>
      </c>
      <c r="D67" s="143" t="s">
        <v>2504</v>
      </c>
      <c r="E67" s="143" t="s">
        <v>2504</v>
      </c>
      <c r="F67" s="143" t="s">
        <v>2504</v>
      </c>
      <c r="G67" s="143" t="s">
        <v>2504</v>
      </c>
      <c r="H67" s="143" t="s">
        <v>2504</v>
      </c>
      <c r="I67" s="143" t="s">
        <v>2504</v>
      </c>
      <c r="J67" s="143" t="s">
        <v>2504</v>
      </c>
      <c r="K67" s="143" t="s">
        <v>2504</v>
      </c>
      <c r="L67" s="143" t="s">
        <v>2504</v>
      </c>
      <c r="M67" s="143" t="s">
        <v>2504</v>
      </c>
      <c r="N67" s="143" t="s">
        <v>2504</v>
      </c>
      <c r="O67" s="143" t="s">
        <v>2504</v>
      </c>
      <c r="P67" s="143" t="s">
        <v>2504</v>
      </c>
      <c r="Q67" s="148" t="s">
        <v>1131</v>
      </c>
      <c r="R67" s="148" t="s">
        <v>1025</v>
      </c>
      <c r="S67" s="148" t="s">
        <v>1121</v>
      </c>
      <c r="T67" s="149">
        <v>1</v>
      </c>
      <c r="U67" s="148" t="s">
        <v>591</v>
      </c>
      <c r="V67" s="150">
        <v>97.46</v>
      </c>
      <c r="W67" s="151">
        <v>18765.650000000001</v>
      </c>
    </row>
    <row r="68" spans="1:23" ht="15" customHeight="1" x14ac:dyDescent="0.25">
      <c r="A68" s="148">
        <v>10015</v>
      </c>
      <c r="B68" s="148" t="s">
        <v>1132</v>
      </c>
      <c r="C68" s="143" t="s">
        <v>2504</v>
      </c>
      <c r="D68" s="143" t="s">
        <v>2504</v>
      </c>
      <c r="E68" s="143" t="s">
        <v>2504</v>
      </c>
      <c r="F68" s="143" t="s">
        <v>2504</v>
      </c>
      <c r="G68" s="143" t="s">
        <v>2504</v>
      </c>
      <c r="H68" s="143" t="s">
        <v>2504</v>
      </c>
      <c r="I68" s="143" t="s">
        <v>2504</v>
      </c>
      <c r="J68" s="143" t="s">
        <v>2504</v>
      </c>
      <c r="K68" s="143" t="s">
        <v>2504</v>
      </c>
      <c r="L68" s="143" t="s">
        <v>2504</v>
      </c>
      <c r="M68" s="143" t="s">
        <v>2504</v>
      </c>
      <c r="N68" s="143" t="s">
        <v>2504</v>
      </c>
      <c r="O68" s="143" t="s">
        <v>2504</v>
      </c>
      <c r="P68" s="143" t="s">
        <v>2504</v>
      </c>
      <c r="Q68" s="148" t="s">
        <v>1133</v>
      </c>
      <c r="R68" s="148" t="s">
        <v>1025</v>
      </c>
      <c r="S68" s="148" t="s">
        <v>1134</v>
      </c>
      <c r="T68" s="149">
        <v>1</v>
      </c>
      <c r="U68" s="148" t="s">
        <v>591</v>
      </c>
      <c r="V68" s="150">
        <v>115.15</v>
      </c>
      <c r="W68" s="151">
        <v>1736.68</v>
      </c>
    </row>
    <row r="69" spans="1:23" ht="15" customHeight="1" x14ac:dyDescent="0.25">
      <c r="A69" s="148">
        <v>10016</v>
      </c>
      <c r="B69" s="148" t="s">
        <v>1135</v>
      </c>
      <c r="C69" s="143" t="s">
        <v>2504</v>
      </c>
      <c r="D69" s="143" t="s">
        <v>2504</v>
      </c>
      <c r="E69" s="143" t="s">
        <v>2504</v>
      </c>
      <c r="F69" s="143" t="s">
        <v>2504</v>
      </c>
      <c r="G69" s="143" t="s">
        <v>2504</v>
      </c>
      <c r="H69" s="143" t="s">
        <v>2504</v>
      </c>
      <c r="I69" s="143" t="s">
        <v>2504</v>
      </c>
      <c r="J69" s="143" t="s">
        <v>2504</v>
      </c>
      <c r="K69" s="143" t="s">
        <v>2504</v>
      </c>
      <c r="L69" s="143" t="s">
        <v>2504</v>
      </c>
      <c r="M69" s="143" t="s">
        <v>2504</v>
      </c>
      <c r="N69" s="143" t="s">
        <v>2504</v>
      </c>
      <c r="O69" s="143" t="s">
        <v>2504</v>
      </c>
      <c r="P69" s="143" t="s">
        <v>2504</v>
      </c>
      <c r="Q69" s="148" t="s">
        <v>1136</v>
      </c>
      <c r="R69" s="148" t="s">
        <v>1025</v>
      </c>
      <c r="S69" s="148" t="s">
        <v>1134</v>
      </c>
      <c r="T69" s="149">
        <v>1</v>
      </c>
      <c r="U69" s="148" t="s">
        <v>591</v>
      </c>
      <c r="V69" s="150">
        <v>128.46</v>
      </c>
      <c r="W69" s="151">
        <v>1735.21</v>
      </c>
    </row>
    <row r="70" spans="1:23" ht="15" customHeight="1" x14ac:dyDescent="0.25">
      <c r="A70" s="148">
        <v>10019</v>
      </c>
      <c r="B70" s="148" t="s">
        <v>1137</v>
      </c>
      <c r="C70" s="143" t="s">
        <v>2504</v>
      </c>
      <c r="D70" s="143" t="s">
        <v>2504</v>
      </c>
      <c r="E70" s="143" t="s">
        <v>2504</v>
      </c>
      <c r="F70" s="143" t="s">
        <v>2504</v>
      </c>
      <c r="G70" s="143" t="s">
        <v>2504</v>
      </c>
      <c r="H70" s="143" t="s">
        <v>2504</v>
      </c>
      <c r="I70" s="143" t="s">
        <v>2504</v>
      </c>
      <c r="J70" s="143" t="s">
        <v>2504</v>
      </c>
      <c r="K70" s="143" t="s">
        <v>2504</v>
      </c>
      <c r="L70" s="143" t="s">
        <v>2504</v>
      </c>
      <c r="M70" s="143" t="s">
        <v>2504</v>
      </c>
      <c r="N70" s="143" t="s">
        <v>2504</v>
      </c>
      <c r="O70" s="143" t="s">
        <v>2504</v>
      </c>
      <c r="P70" s="143" t="s">
        <v>2504</v>
      </c>
      <c r="Q70" s="148" t="s">
        <v>1138</v>
      </c>
      <c r="R70" s="148" t="s">
        <v>1025</v>
      </c>
      <c r="S70" s="148" t="s">
        <v>1139</v>
      </c>
      <c r="T70" s="149">
        <v>1</v>
      </c>
      <c r="U70" s="148" t="s">
        <v>591</v>
      </c>
      <c r="V70" s="150">
        <v>101.15</v>
      </c>
      <c r="W70" s="151">
        <v>1738.73</v>
      </c>
    </row>
    <row r="71" spans="1:23" ht="15" customHeight="1" x14ac:dyDescent="0.25">
      <c r="A71" s="148">
        <v>10022</v>
      </c>
      <c r="B71" s="148" t="s">
        <v>1140</v>
      </c>
      <c r="C71" s="143" t="s">
        <v>2504</v>
      </c>
      <c r="D71" s="143" t="s">
        <v>2504</v>
      </c>
      <c r="E71" s="143" t="s">
        <v>2504</v>
      </c>
      <c r="F71" s="143" t="s">
        <v>2504</v>
      </c>
      <c r="G71" s="143" t="s">
        <v>2504</v>
      </c>
      <c r="H71" s="143" t="s">
        <v>2504</v>
      </c>
      <c r="I71" s="143" t="s">
        <v>2504</v>
      </c>
      <c r="J71" s="143" t="s">
        <v>2504</v>
      </c>
      <c r="K71" s="143" t="s">
        <v>2504</v>
      </c>
      <c r="L71" s="143" t="s">
        <v>2504</v>
      </c>
      <c r="M71" s="143" t="s">
        <v>2504</v>
      </c>
      <c r="N71" s="143" t="s">
        <v>2504</v>
      </c>
      <c r="O71" s="143" t="s">
        <v>2504</v>
      </c>
      <c r="P71" s="143" t="s">
        <v>2504</v>
      </c>
      <c r="Q71" s="148" t="s">
        <v>1141</v>
      </c>
      <c r="R71" s="148" t="s">
        <v>1025</v>
      </c>
      <c r="S71" s="148" t="s">
        <v>1142</v>
      </c>
      <c r="T71" s="149">
        <v>1</v>
      </c>
      <c r="U71" s="148" t="s">
        <v>591</v>
      </c>
      <c r="V71" s="150">
        <v>176.43</v>
      </c>
      <c r="W71" s="151">
        <v>18718.46</v>
      </c>
    </row>
    <row r="72" spans="1:23" ht="15" customHeight="1" x14ac:dyDescent="0.25">
      <c r="A72" s="148">
        <v>10024</v>
      </c>
      <c r="B72" s="148" t="s">
        <v>1143</v>
      </c>
      <c r="C72" s="143" t="s">
        <v>2504</v>
      </c>
      <c r="D72" s="143" t="s">
        <v>2504</v>
      </c>
      <c r="E72" s="143" t="s">
        <v>2504</v>
      </c>
      <c r="F72" s="143" t="s">
        <v>2504</v>
      </c>
      <c r="G72" s="143" t="s">
        <v>2504</v>
      </c>
      <c r="H72" s="143" t="s">
        <v>2504</v>
      </c>
      <c r="I72" s="143" t="s">
        <v>2504</v>
      </c>
      <c r="J72" s="143" t="s">
        <v>2504</v>
      </c>
      <c r="K72" s="143" t="s">
        <v>2504</v>
      </c>
      <c r="L72" s="143" t="s">
        <v>2504</v>
      </c>
      <c r="M72" s="143" t="s">
        <v>2504</v>
      </c>
      <c r="N72" s="143" t="s">
        <v>2504</v>
      </c>
      <c r="O72" s="143" t="s">
        <v>2504</v>
      </c>
      <c r="P72" s="143" t="s">
        <v>2504</v>
      </c>
      <c r="Q72" s="148" t="s">
        <v>1144</v>
      </c>
      <c r="R72" s="148" t="s">
        <v>1025</v>
      </c>
      <c r="S72" s="148" t="s">
        <v>1142</v>
      </c>
      <c r="T72" s="149">
        <v>1</v>
      </c>
      <c r="U72" s="148" t="s">
        <v>591</v>
      </c>
      <c r="V72" s="150">
        <v>197.98</v>
      </c>
      <c r="W72" s="151">
        <v>18702.88</v>
      </c>
    </row>
    <row r="73" spans="1:23" ht="15" customHeight="1" x14ac:dyDescent="0.25">
      <c r="A73" s="148">
        <v>10027</v>
      </c>
      <c r="B73" s="148" t="s">
        <v>1145</v>
      </c>
      <c r="C73" s="143" t="s">
        <v>2504</v>
      </c>
      <c r="D73" s="143" t="s">
        <v>2504</v>
      </c>
      <c r="E73" s="143" t="s">
        <v>2504</v>
      </c>
      <c r="F73" s="143" t="s">
        <v>2504</v>
      </c>
      <c r="G73" s="143" t="s">
        <v>2504</v>
      </c>
      <c r="H73" s="143" t="s">
        <v>2504</v>
      </c>
      <c r="I73" s="143" t="s">
        <v>2504</v>
      </c>
      <c r="J73" s="143" t="s">
        <v>2504</v>
      </c>
      <c r="K73" s="143" t="s">
        <v>2504</v>
      </c>
      <c r="L73" s="143" t="s">
        <v>2504</v>
      </c>
      <c r="M73" s="143" t="s">
        <v>2504</v>
      </c>
      <c r="N73" s="143" t="s">
        <v>2504</v>
      </c>
      <c r="O73" s="143" t="s">
        <v>2504</v>
      </c>
      <c r="P73" s="143" t="s">
        <v>2504</v>
      </c>
      <c r="Q73" s="148" t="s">
        <v>1146</v>
      </c>
      <c r="R73" s="148" t="s">
        <v>1025</v>
      </c>
      <c r="S73" s="148" t="s">
        <v>1147</v>
      </c>
      <c r="T73" s="149">
        <v>1</v>
      </c>
      <c r="U73" s="148" t="s">
        <v>591</v>
      </c>
      <c r="V73" s="150">
        <v>99.95</v>
      </c>
      <c r="W73" s="151">
        <v>18740.310000000001</v>
      </c>
    </row>
    <row r="74" spans="1:23" ht="15" customHeight="1" x14ac:dyDescent="0.25">
      <c r="A74" s="148">
        <v>10037</v>
      </c>
      <c r="B74" s="148" t="s">
        <v>1148</v>
      </c>
      <c r="C74" s="143" t="s">
        <v>2504</v>
      </c>
      <c r="D74" s="143" t="s">
        <v>2504</v>
      </c>
      <c r="E74" s="143" t="s">
        <v>2504</v>
      </c>
      <c r="F74" s="143" t="s">
        <v>2504</v>
      </c>
      <c r="G74" s="143" t="s">
        <v>2504</v>
      </c>
      <c r="H74" s="143" t="s">
        <v>2504</v>
      </c>
      <c r="I74" s="143" t="s">
        <v>2504</v>
      </c>
      <c r="J74" s="143" t="s">
        <v>2504</v>
      </c>
      <c r="K74" s="143" t="s">
        <v>2504</v>
      </c>
      <c r="L74" s="143" t="s">
        <v>2504</v>
      </c>
      <c r="M74" s="143" t="s">
        <v>2504</v>
      </c>
      <c r="N74" s="143" t="s">
        <v>2504</v>
      </c>
      <c r="O74" s="143" t="s">
        <v>2504</v>
      </c>
      <c r="P74" s="143" t="s">
        <v>2504</v>
      </c>
      <c r="Q74" s="148" t="s">
        <v>1149</v>
      </c>
      <c r="R74" s="148" t="s">
        <v>1025</v>
      </c>
      <c r="S74" s="148" t="s">
        <v>1150</v>
      </c>
      <c r="T74" s="149">
        <v>1</v>
      </c>
      <c r="U74" s="148" t="s">
        <v>591</v>
      </c>
      <c r="V74" s="150">
        <v>98.87</v>
      </c>
      <c r="W74" s="151">
        <f>V74*24</f>
        <v>2372.88</v>
      </c>
    </row>
    <row r="75" spans="1:23" ht="15" customHeight="1" x14ac:dyDescent="0.25">
      <c r="A75" s="148">
        <v>10040</v>
      </c>
      <c r="B75" s="148" t="s">
        <v>1151</v>
      </c>
      <c r="C75" s="143" t="s">
        <v>2504</v>
      </c>
      <c r="D75" s="143" t="s">
        <v>2504</v>
      </c>
      <c r="E75" s="143" t="s">
        <v>2504</v>
      </c>
      <c r="F75" s="143" t="s">
        <v>2504</v>
      </c>
      <c r="G75" s="143" t="s">
        <v>2504</v>
      </c>
      <c r="H75" s="143" t="s">
        <v>2504</v>
      </c>
      <c r="I75" s="143" t="s">
        <v>2504</v>
      </c>
      <c r="J75" s="143" t="s">
        <v>2504</v>
      </c>
      <c r="K75" s="143" t="s">
        <v>2504</v>
      </c>
      <c r="L75" s="143" t="s">
        <v>2504</v>
      </c>
      <c r="M75" s="143" t="s">
        <v>2504</v>
      </c>
      <c r="N75" s="143" t="s">
        <v>2504</v>
      </c>
      <c r="O75" s="143" t="s">
        <v>2504</v>
      </c>
      <c r="P75" s="143" t="s">
        <v>2504</v>
      </c>
      <c r="Q75" s="148" t="s">
        <v>1152</v>
      </c>
      <c r="R75" s="148" t="s">
        <v>1025</v>
      </c>
      <c r="S75" s="148" t="s">
        <v>1150</v>
      </c>
      <c r="T75" s="149">
        <v>1</v>
      </c>
      <c r="U75" s="148" t="s">
        <v>591</v>
      </c>
      <c r="V75" s="150">
        <v>99.43</v>
      </c>
      <c r="W75" s="151">
        <f>V75*24</f>
        <v>2386.3200000000002</v>
      </c>
    </row>
    <row r="76" spans="1:23" ht="15" customHeight="1" x14ac:dyDescent="0.25">
      <c r="A76" s="148">
        <v>10047</v>
      </c>
      <c r="B76" s="148" t="s">
        <v>1153</v>
      </c>
      <c r="C76" s="143" t="s">
        <v>2504</v>
      </c>
      <c r="D76" s="143" t="s">
        <v>2504</v>
      </c>
      <c r="E76" s="143" t="s">
        <v>2504</v>
      </c>
      <c r="F76" s="143" t="s">
        <v>2504</v>
      </c>
      <c r="G76" s="143" t="s">
        <v>2504</v>
      </c>
      <c r="H76" s="143" t="s">
        <v>2504</v>
      </c>
      <c r="I76" s="143" t="s">
        <v>2504</v>
      </c>
      <c r="J76" s="143" t="s">
        <v>2504</v>
      </c>
      <c r="K76" s="143" t="s">
        <v>2504</v>
      </c>
      <c r="L76" s="143" t="s">
        <v>2504</v>
      </c>
      <c r="M76" s="143" t="s">
        <v>2504</v>
      </c>
      <c r="N76" s="143" t="s">
        <v>2504</v>
      </c>
      <c r="O76" s="143" t="s">
        <v>2504</v>
      </c>
      <c r="P76" s="143" t="s">
        <v>2504</v>
      </c>
      <c r="Q76" s="148" t="s">
        <v>1154</v>
      </c>
      <c r="R76" s="148" t="s">
        <v>1025</v>
      </c>
      <c r="S76" s="148" t="s">
        <v>1155</v>
      </c>
      <c r="T76" s="149">
        <v>1</v>
      </c>
      <c r="U76" s="148" t="s">
        <v>591</v>
      </c>
      <c r="V76" s="150">
        <v>87.62</v>
      </c>
      <c r="W76" s="151">
        <f>V76*12</f>
        <v>1051.44</v>
      </c>
    </row>
    <row r="77" spans="1:23" ht="15" customHeight="1" x14ac:dyDescent="0.25">
      <c r="A77" s="148">
        <v>10049</v>
      </c>
      <c r="B77" s="148" t="s">
        <v>1156</v>
      </c>
      <c r="C77" s="143" t="s">
        <v>2504</v>
      </c>
      <c r="D77" s="143" t="s">
        <v>2504</v>
      </c>
      <c r="E77" s="143" t="s">
        <v>2504</v>
      </c>
      <c r="F77" s="143" t="s">
        <v>2504</v>
      </c>
      <c r="G77" s="143" t="s">
        <v>2504</v>
      </c>
      <c r="H77" s="143" t="s">
        <v>2504</v>
      </c>
      <c r="I77" s="143" t="s">
        <v>2504</v>
      </c>
      <c r="J77" s="143" t="s">
        <v>2504</v>
      </c>
      <c r="K77" s="143" t="s">
        <v>2504</v>
      </c>
      <c r="L77" s="143" t="s">
        <v>2504</v>
      </c>
      <c r="M77" s="143" t="s">
        <v>2504</v>
      </c>
      <c r="N77" s="143" t="s">
        <v>2504</v>
      </c>
      <c r="O77" s="143" t="s">
        <v>2504</v>
      </c>
      <c r="P77" s="143" t="s">
        <v>2504</v>
      </c>
      <c r="Q77" s="148" t="s">
        <v>1157</v>
      </c>
      <c r="R77" s="148" t="s">
        <v>1025</v>
      </c>
      <c r="S77" s="148" t="s">
        <v>1155</v>
      </c>
      <c r="T77" s="149">
        <v>1</v>
      </c>
      <c r="U77" s="148" t="s">
        <v>591</v>
      </c>
      <c r="V77" s="150">
        <v>94.24</v>
      </c>
      <c r="W77" s="151">
        <v>2262.4699999999998</v>
      </c>
    </row>
    <row r="78" spans="1:23" ht="15" customHeight="1" x14ac:dyDescent="0.25">
      <c r="A78" s="148">
        <v>10050</v>
      </c>
      <c r="B78" s="148" t="s">
        <v>1158</v>
      </c>
      <c r="C78" s="143" t="s">
        <v>2504</v>
      </c>
      <c r="D78" s="143" t="s">
        <v>2504</v>
      </c>
      <c r="E78" s="143" t="s">
        <v>2504</v>
      </c>
      <c r="F78" s="143" t="s">
        <v>2504</v>
      </c>
      <c r="G78" s="143" t="s">
        <v>2504</v>
      </c>
      <c r="H78" s="143" t="s">
        <v>2504</v>
      </c>
      <c r="I78" s="143" t="s">
        <v>2504</v>
      </c>
      <c r="J78" s="143" t="s">
        <v>2504</v>
      </c>
      <c r="K78" s="143" t="s">
        <v>2504</v>
      </c>
      <c r="L78" s="143" t="s">
        <v>2504</v>
      </c>
      <c r="M78" s="143" t="s">
        <v>2504</v>
      </c>
      <c r="N78" s="143" t="s">
        <v>2504</v>
      </c>
      <c r="O78" s="143" t="s">
        <v>2504</v>
      </c>
      <c r="P78" s="143" t="s">
        <v>2504</v>
      </c>
      <c r="Q78" s="148" t="s">
        <v>1159</v>
      </c>
      <c r="R78" s="148" t="s">
        <v>1025</v>
      </c>
      <c r="S78" s="148" t="s">
        <v>1155</v>
      </c>
      <c r="T78" s="149">
        <v>1</v>
      </c>
      <c r="U78" s="148" t="s">
        <v>591</v>
      </c>
      <c r="V78" s="150">
        <v>95.83</v>
      </c>
      <c r="W78" s="151">
        <v>24304.97</v>
      </c>
    </row>
    <row r="79" spans="1:23" ht="15" customHeight="1" x14ac:dyDescent="0.25">
      <c r="A79" s="148">
        <v>10062</v>
      </c>
      <c r="B79" s="148" t="s">
        <v>1162</v>
      </c>
      <c r="C79" s="143" t="s">
        <v>2504</v>
      </c>
      <c r="D79" s="143" t="s">
        <v>2504</v>
      </c>
      <c r="E79" s="143" t="s">
        <v>2504</v>
      </c>
      <c r="F79" s="143" t="s">
        <v>2504</v>
      </c>
      <c r="G79" s="143" t="s">
        <v>2504</v>
      </c>
      <c r="H79" s="143" t="s">
        <v>2504</v>
      </c>
      <c r="I79" s="143" t="s">
        <v>2504</v>
      </c>
      <c r="J79" s="143" t="s">
        <v>2504</v>
      </c>
      <c r="K79" s="143" t="s">
        <v>2504</v>
      </c>
      <c r="L79" s="143" t="s">
        <v>2504</v>
      </c>
      <c r="M79" s="143" t="s">
        <v>2504</v>
      </c>
      <c r="N79" s="143" t="s">
        <v>2504</v>
      </c>
      <c r="O79" s="143" t="s">
        <v>2504</v>
      </c>
      <c r="P79" s="143" t="s">
        <v>2504</v>
      </c>
      <c r="Q79" s="148" t="s">
        <v>1163</v>
      </c>
      <c r="R79" s="148" t="s">
        <v>1025</v>
      </c>
      <c r="S79" s="148" t="s">
        <v>1164</v>
      </c>
      <c r="T79" s="149">
        <v>1</v>
      </c>
      <c r="U79" s="148" t="s">
        <v>591</v>
      </c>
      <c r="V79" s="150">
        <v>127.51</v>
      </c>
      <c r="W79" s="151">
        <v>2050.04</v>
      </c>
    </row>
    <row r="80" spans="1:23" ht="15" customHeight="1" x14ac:dyDescent="0.25">
      <c r="A80" s="148">
        <v>10063</v>
      </c>
      <c r="B80" s="148" t="s">
        <v>1165</v>
      </c>
      <c r="C80" s="143" t="s">
        <v>2504</v>
      </c>
      <c r="D80" s="143" t="s">
        <v>2504</v>
      </c>
      <c r="E80" s="143" t="s">
        <v>2504</v>
      </c>
      <c r="F80" s="143" t="s">
        <v>2504</v>
      </c>
      <c r="G80" s="143" t="s">
        <v>2504</v>
      </c>
      <c r="H80" s="143" t="s">
        <v>2504</v>
      </c>
      <c r="I80" s="143" t="s">
        <v>2504</v>
      </c>
      <c r="J80" s="143" t="s">
        <v>2504</v>
      </c>
      <c r="K80" s="143" t="s">
        <v>2504</v>
      </c>
      <c r="L80" s="143" t="s">
        <v>2504</v>
      </c>
      <c r="M80" s="143" t="s">
        <v>2504</v>
      </c>
      <c r="N80" s="143" t="s">
        <v>2504</v>
      </c>
      <c r="O80" s="143" t="s">
        <v>2504</v>
      </c>
      <c r="P80" s="143" t="s">
        <v>2504</v>
      </c>
      <c r="Q80" s="148" t="s">
        <v>1166</v>
      </c>
      <c r="R80" s="148" t="s">
        <v>1025</v>
      </c>
      <c r="S80" s="148" t="s">
        <v>1164</v>
      </c>
      <c r="T80" s="149">
        <v>1</v>
      </c>
      <c r="U80" s="148" t="s">
        <v>591</v>
      </c>
      <c r="V80" s="150">
        <v>131.03</v>
      </c>
      <c r="W80" s="151">
        <v>22052.73</v>
      </c>
    </row>
    <row r="81" spans="1:23" ht="15" customHeight="1" x14ac:dyDescent="0.25">
      <c r="A81" s="148">
        <v>10065</v>
      </c>
      <c r="B81" s="148" t="s">
        <v>1167</v>
      </c>
      <c r="C81" s="143" t="s">
        <v>2504</v>
      </c>
      <c r="D81" s="143" t="s">
        <v>2504</v>
      </c>
      <c r="E81" s="143" t="s">
        <v>2504</v>
      </c>
      <c r="F81" s="143" t="s">
        <v>2504</v>
      </c>
      <c r="G81" s="143" t="s">
        <v>2504</v>
      </c>
      <c r="H81" s="143" t="s">
        <v>2504</v>
      </c>
      <c r="I81" s="143" t="s">
        <v>2504</v>
      </c>
      <c r="J81" s="143" t="s">
        <v>2504</v>
      </c>
      <c r="K81" s="143" t="s">
        <v>2504</v>
      </c>
      <c r="L81" s="143" t="s">
        <v>2504</v>
      </c>
      <c r="M81" s="143" t="s">
        <v>2504</v>
      </c>
      <c r="N81" s="143" t="s">
        <v>2504</v>
      </c>
      <c r="O81" s="143" t="s">
        <v>2504</v>
      </c>
      <c r="P81" s="143" t="s">
        <v>2504</v>
      </c>
      <c r="Q81" s="148" t="s">
        <v>1168</v>
      </c>
      <c r="R81" s="148" t="s">
        <v>1025</v>
      </c>
      <c r="S81" s="148" t="s">
        <v>1164</v>
      </c>
      <c r="T81" s="149">
        <v>1</v>
      </c>
      <c r="U81" s="148" t="s">
        <v>591</v>
      </c>
      <c r="V81" s="150">
        <v>133.54</v>
      </c>
      <c r="W81" s="151">
        <v>413.6</v>
      </c>
    </row>
    <row r="82" spans="1:23" ht="15" customHeight="1" x14ac:dyDescent="0.25">
      <c r="A82" s="148">
        <v>10077</v>
      </c>
      <c r="B82" s="148" t="s">
        <v>1169</v>
      </c>
      <c r="C82" s="143" t="s">
        <v>2504</v>
      </c>
      <c r="D82" s="143" t="s">
        <v>2504</v>
      </c>
      <c r="E82" s="143" t="s">
        <v>2504</v>
      </c>
      <c r="F82" s="143" t="s">
        <v>2504</v>
      </c>
      <c r="G82" s="143" t="s">
        <v>2504</v>
      </c>
      <c r="H82" s="143" t="s">
        <v>2504</v>
      </c>
      <c r="I82" s="143" t="s">
        <v>2504</v>
      </c>
      <c r="J82" s="143" t="s">
        <v>2504</v>
      </c>
      <c r="K82" s="143" t="s">
        <v>2504</v>
      </c>
      <c r="L82" s="143" t="s">
        <v>2504</v>
      </c>
      <c r="M82" s="143" t="s">
        <v>2504</v>
      </c>
      <c r="N82" s="143" t="s">
        <v>2504</v>
      </c>
      <c r="O82" s="143" t="s">
        <v>2504</v>
      </c>
      <c r="P82" s="143" t="s">
        <v>2504</v>
      </c>
      <c r="Q82" s="148" t="s">
        <v>1170</v>
      </c>
      <c r="R82" s="148" t="s">
        <v>1025</v>
      </c>
      <c r="S82" s="148" t="s">
        <v>1171</v>
      </c>
      <c r="T82" s="149">
        <v>1</v>
      </c>
      <c r="U82" s="148" t="s">
        <v>591</v>
      </c>
      <c r="V82" s="150">
        <v>97.1</v>
      </c>
      <c r="W82" s="151">
        <v>820.63</v>
      </c>
    </row>
    <row r="83" spans="1:23" ht="15" customHeight="1" x14ac:dyDescent="0.25">
      <c r="A83" s="148">
        <v>10078</v>
      </c>
      <c r="B83" s="148" t="s">
        <v>1172</v>
      </c>
      <c r="C83" s="143" t="s">
        <v>2504</v>
      </c>
      <c r="D83" s="143" t="s">
        <v>2504</v>
      </c>
      <c r="E83" s="143" t="s">
        <v>2504</v>
      </c>
      <c r="F83" s="143" t="s">
        <v>2504</v>
      </c>
      <c r="G83" s="143" t="s">
        <v>2504</v>
      </c>
      <c r="H83" s="143" t="s">
        <v>2504</v>
      </c>
      <c r="I83" s="143" t="s">
        <v>2504</v>
      </c>
      <c r="J83" s="143" t="s">
        <v>2504</v>
      </c>
      <c r="K83" s="143" t="s">
        <v>2504</v>
      </c>
      <c r="L83" s="143" t="s">
        <v>2504</v>
      </c>
      <c r="M83" s="143" t="s">
        <v>2504</v>
      </c>
      <c r="N83" s="143" t="s">
        <v>2504</v>
      </c>
      <c r="O83" s="143" t="s">
        <v>2504</v>
      </c>
      <c r="P83" s="143" t="s">
        <v>2504</v>
      </c>
      <c r="Q83" s="148" t="s">
        <v>1173</v>
      </c>
      <c r="R83" s="148" t="s">
        <v>1025</v>
      </c>
      <c r="S83" s="148" t="s">
        <v>1171</v>
      </c>
      <c r="T83" s="149">
        <v>1</v>
      </c>
      <c r="U83" s="148" t="s">
        <v>591</v>
      </c>
      <c r="V83" s="150">
        <v>98.26</v>
      </c>
      <c r="W83" s="151">
        <v>1801.37</v>
      </c>
    </row>
    <row r="84" spans="1:23" ht="15" customHeight="1" x14ac:dyDescent="0.25">
      <c r="A84" s="148">
        <v>10081</v>
      </c>
      <c r="B84" s="148" t="s">
        <v>1174</v>
      </c>
      <c r="C84" s="143" t="s">
        <v>2504</v>
      </c>
      <c r="D84" s="143" t="s">
        <v>2504</v>
      </c>
      <c r="E84" s="143" t="s">
        <v>2504</v>
      </c>
      <c r="F84" s="143" t="s">
        <v>2504</v>
      </c>
      <c r="G84" s="143" t="s">
        <v>2504</v>
      </c>
      <c r="H84" s="143" t="s">
        <v>2504</v>
      </c>
      <c r="I84" s="143" t="s">
        <v>2504</v>
      </c>
      <c r="J84" s="143" t="s">
        <v>2504</v>
      </c>
      <c r="K84" s="143" t="s">
        <v>2504</v>
      </c>
      <c r="L84" s="143" t="s">
        <v>2504</v>
      </c>
      <c r="M84" s="143" t="s">
        <v>2504</v>
      </c>
      <c r="N84" s="143" t="s">
        <v>2504</v>
      </c>
      <c r="O84" s="143" t="s">
        <v>2504</v>
      </c>
      <c r="P84" s="143" t="s">
        <v>2504</v>
      </c>
      <c r="Q84" s="148" t="s">
        <v>1175</v>
      </c>
      <c r="R84" s="148" t="s">
        <v>1025</v>
      </c>
      <c r="S84" s="148" t="s">
        <v>1176</v>
      </c>
      <c r="T84" s="149">
        <v>1</v>
      </c>
      <c r="U84" s="148" t="s">
        <v>591</v>
      </c>
      <c r="V84" s="150">
        <v>98.76</v>
      </c>
      <c r="W84" s="151">
        <v>19410.560000000001</v>
      </c>
    </row>
    <row r="85" spans="1:23" ht="15" customHeight="1" x14ac:dyDescent="0.25">
      <c r="A85" s="148">
        <v>10084</v>
      </c>
      <c r="B85" s="148" t="s">
        <v>1177</v>
      </c>
      <c r="C85" s="143" t="s">
        <v>2504</v>
      </c>
      <c r="D85" s="143" t="s">
        <v>2504</v>
      </c>
      <c r="E85" s="143" t="s">
        <v>2504</v>
      </c>
      <c r="F85" s="143" t="s">
        <v>2504</v>
      </c>
      <c r="G85" s="143" t="s">
        <v>2504</v>
      </c>
      <c r="H85" s="143" t="s">
        <v>2504</v>
      </c>
      <c r="I85" s="143" t="s">
        <v>2504</v>
      </c>
      <c r="J85" s="143" t="s">
        <v>2504</v>
      </c>
      <c r="K85" s="143" t="s">
        <v>2504</v>
      </c>
      <c r="L85" s="143" t="s">
        <v>2504</v>
      </c>
      <c r="M85" s="143" t="s">
        <v>2504</v>
      </c>
      <c r="N85" s="143" t="s">
        <v>2504</v>
      </c>
      <c r="O85" s="143" t="s">
        <v>2504</v>
      </c>
      <c r="P85" s="143" t="s">
        <v>2504</v>
      </c>
      <c r="Q85" s="148" t="s">
        <v>1178</v>
      </c>
      <c r="R85" s="148" t="s">
        <v>1025</v>
      </c>
      <c r="S85" s="148" t="s">
        <v>1176</v>
      </c>
      <c r="T85" s="149">
        <v>1</v>
      </c>
      <c r="U85" s="148" t="s">
        <v>591</v>
      </c>
      <c r="V85" s="150">
        <v>99.88</v>
      </c>
      <c r="W85" s="151">
        <v>2461.81</v>
      </c>
    </row>
    <row r="86" spans="1:23" ht="15" customHeight="1" x14ac:dyDescent="0.25">
      <c r="A86" s="148">
        <v>10086</v>
      </c>
      <c r="B86" s="148" t="s">
        <v>1179</v>
      </c>
      <c r="C86" s="143" t="s">
        <v>2504</v>
      </c>
      <c r="D86" s="143" t="s">
        <v>2504</v>
      </c>
      <c r="E86" s="143" t="s">
        <v>2504</v>
      </c>
      <c r="F86" s="143" t="s">
        <v>2504</v>
      </c>
      <c r="G86" s="143" t="s">
        <v>2504</v>
      </c>
      <c r="H86" s="143" t="s">
        <v>2504</v>
      </c>
      <c r="I86" s="143" t="s">
        <v>2504</v>
      </c>
      <c r="J86" s="143" t="s">
        <v>2504</v>
      </c>
      <c r="K86" s="143" t="s">
        <v>2504</v>
      </c>
      <c r="L86" s="143" t="s">
        <v>2504</v>
      </c>
      <c r="M86" s="143" t="s">
        <v>2504</v>
      </c>
      <c r="N86" s="143" t="s">
        <v>2504</v>
      </c>
      <c r="O86" s="143" t="s">
        <v>2504</v>
      </c>
      <c r="P86" s="143" t="s">
        <v>2504</v>
      </c>
      <c r="Q86" s="148" t="s">
        <v>1180</v>
      </c>
      <c r="R86" s="148" t="s">
        <v>1025</v>
      </c>
      <c r="S86" s="148" t="s">
        <v>1176</v>
      </c>
      <c r="T86" s="149">
        <v>1</v>
      </c>
      <c r="U86" s="148" t="s">
        <v>591</v>
      </c>
      <c r="V86" s="150">
        <v>99.87</v>
      </c>
      <c r="W86" s="151">
        <v>26427.73</v>
      </c>
    </row>
    <row r="87" spans="1:23" ht="15" customHeight="1" x14ac:dyDescent="0.25">
      <c r="A87" s="148">
        <v>10107</v>
      </c>
      <c r="B87" s="148" t="s">
        <v>1181</v>
      </c>
      <c r="C87" s="143" t="s">
        <v>2504</v>
      </c>
      <c r="D87" s="143" t="s">
        <v>2504</v>
      </c>
      <c r="E87" s="143" t="s">
        <v>2504</v>
      </c>
      <c r="F87" s="143" t="s">
        <v>2504</v>
      </c>
      <c r="G87" s="143" t="s">
        <v>2504</v>
      </c>
      <c r="H87" s="143" t="s">
        <v>2504</v>
      </c>
      <c r="I87" s="143" t="s">
        <v>2504</v>
      </c>
      <c r="J87" s="143" t="s">
        <v>2504</v>
      </c>
      <c r="K87" s="143" t="s">
        <v>2504</v>
      </c>
      <c r="L87" s="143" t="s">
        <v>2504</v>
      </c>
      <c r="M87" s="143" t="s">
        <v>2504</v>
      </c>
      <c r="N87" s="143" t="s">
        <v>2504</v>
      </c>
      <c r="O87" s="143" t="s">
        <v>2504</v>
      </c>
      <c r="P87" s="143" t="s">
        <v>2504</v>
      </c>
      <c r="Q87" s="148" t="s">
        <v>1182</v>
      </c>
      <c r="R87" s="148" t="s">
        <v>1025</v>
      </c>
      <c r="S87" s="148" t="s">
        <v>1183</v>
      </c>
      <c r="T87" s="149">
        <v>1</v>
      </c>
      <c r="U87" s="148" t="s">
        <v>591</v>
      </c>
      <c r="V87" s="150">
        <v>105.38</v>
      </c>
      <c r="W87" s="151">
        <f>V87*15</f>
        <v>1580.6999999999998</v>
      </c>
    </row>
    <row r="88" spans="1:23" ht="15" customHeight="1" x14ac:dyDescent="0.25">
      <c r="A88" s="148">
        <v>10108</v>
      </c>
      <c r="B88" s="148" t="s">
        <v>1184</v>
      </c>
      <c r="C88" s="143" t="s">
        <v>2504</v>
      </c>
      <c r="D88" s="143" t="s">
        <v>2504</v>
      </c>
      <c r="E88" s="143" t="s">
        <v>2504</v>
      </c>
      <c r="F88" s="143" t="s">
        <v>2504</v>
      </c>
      <c r="G88" s="143" t="s">
        <v>2504</v>
      </c>
      <c r="H88" s="143" t="s">
        <v>2504</v>
      </c>
      <c r="I88" s="143" t="s">
        <v>2504</v>
      </c>
      <c r="J88" s="143" t="s">
        <v>2504</v>
      </c>
      <c r="K88" s="143" t="s">
        <v>2504</v>
      </c>
      <c r="L88" s="143" t="s">
        <v>2504</v>
      </c>
      <c r="M88" s="143" t="s">
        <v>2504</v>
      </c>
      <c r="N88" s="143" t="s">
        <v>2504</v>
      </c>
      <c r="O88" s="143" t="s">
        <v>2504</v>
      </c>
      <c r="P88" s="143" t="s">
        <v>2504</v>
      </c>
      <c r="Q88" s="148" t="s">
        <v>1185</v>
      </c>
      <c r="R88" s="148" t="s">
        <v>1025</v>
      </c>
      <c r="S88" s="148" t="s">
        <v>1183</v>
      </c>
      <c r="T88" s="149">
        <v>1</v>
      </c>
      <c r="U88" s="148" t="s">
        <v>591</v>
      </c>
      <c r="V88" s="150">
        <v>115.35</v>
      </c>
      <c r="W88" s="151">
        <f>V88*1000</f>
        <v>115350</v>
      </c>
    </row>
    <row r="89" spans="1:23" ht="15" customHeight="1" x14ac:dyDescent="0.25">
      <c r="A89" s="148">
        <v>10110</v>
      </c>
      <c r="B89" s="148" t="s">
        <v>1186</v>
      </c>
      <c r="C89" s="143" t="s">
        <v>2504</v>
      </c>
      <c r="D89" s="143" t="s">
        <v>2504</v>
      </c>
      <c r="E89" s="143" t="s">
        <v>2504</v>
      </c>
      <c r="F89" s="143" t="s">
        <v>2504</v>
      </c>
      <c r="G89" s="143" t="s">
        <v>2504</v>
      </c>
      <c r="H89" s="143" t="s">
        <v>2504</v>
      </c>
      <c r="I89" s="143" t="s">
        <v>2504</v>
      </c>
      <c r="J89" s="143" t="s">
        <v>2504</v>
      </c>
      <c r="K89" s="143" t="s">
        <v>2504</v>
      </c>
      <c r="L89" s="143" t="s">
        <v>2504</v>
      </c>
      <c r="M89" s="143" t="s">
        <v>2504</v>
      </c>
      <c r="N89" s="143" t="s">
        <v>2504</v>
      </c>
      <c r="O89" s="143" t="s">
        <v>2504</v>
      </c>
      <c r="P89" s="143" t="s">
        <v>2504</v>
      </c>
      <c r="Q89" s="148" t="s">
        <v>1187</v>
      </c>
      <c r="R89" s="148" t="s">
        <v>1025</v>
      </c>
      <c r="S89" s="148" t="s">
        <v>1183</v>
      </c>
      <c r="T89" s="149">
        <v>1</v>
      </c>
      <c r="U89" s="148" t="s">
        <v>591</v>
      </c>
      <c r="V89" s="150">
        <v>136.22</v>
      </c>
      <c r="W89" s="151">
        <v>35156.54</v>
      </c>
    </row>
    <row r="90" spans="1:23" ht="15" customHeight="1" x14ac:dyDescent="0.25">
      <c r="A90" s="148">
        <v>10130</v>
      </c>
      <c r="B90" s="148" t="s">
        <v>1190</v>
      </c>
      <c r="C90" s="143" t="s">
        <v>2504</v>
      </c>
      <c r="D90" s="143" t="s">
        <v>2504</v>
      </c>
      <c r="E90" s="143" t="s">
        <v>2504</v>
      </c>
      <c r="F90" s="143" t="s">
        <v>2504</v>
      </c>
      <c r="G90" s="143" t="s">
        <v>2504</v>
      </c>
      <c r="H90" s="143" t="s">
        <v>2504</v>
      </c>
      <c r="I90" s="143" t="s">
        <v>2504</v>
      </c>
      <c r="J90" s="143" t="s">
        <v>2504</v>
      </c>
      <c r="K90" s="143" t="s">
        <v>2504</v>
      </c>
      <c r="L90" s="143" t="s">
        <v>2504</v>
      </c>
      <c r="M90" s="143" t="s">
        <v>2504</v>
      </c>
      <c r="N90" s="143" t="s">
        <v>2504</v>
      </c>
      <c r="O90" s="143" t="s">
        <v>2504</v>
      </c>
      <c r="P90" s="143" t="s">
        <v>2504</v>
      </c>
      <c r="Q90" s="148" t="s">
        <v>1191</v>
      </c>
      <c r="R90" s="148" t="s">
        <v>1025</v>
      </c>
      <c r="S90" s="148" t="s">
        <v>1192</v>
      </c>
      <c r="T90" s="149">
        <v>1</v>
      </c>
      <c r="U90" s="148" t="s">
        <v>591</v>
      </c>
      <c r="V90" s="150">
        <v>212.62</v>
      </c>
      <c r="W90" s="151">
        <f>V90*4</f>
        <v>850.48</v>
      </c>
    </row>
    <row r="91" spans="1:23" ht="15" customHeight="1" x14ac:dyDescent="0.25">
      <c r="A91" s="148">
        <v>10134</v>
      </c>
      <c r="B91" s="148" t="s">
        <v>1193</v>
      </c>
      <c r="C91" s="143" t="s">
        <v>2504</v>
      </c>
      <c r="D91" s="143" t="s">
        <v>2504</v>
      </c>
      <c r="E91" s="143" t="s">
        <v>2504</v>
      </c>
      <c r="F91" s="143" t="s">
        <v>2504</v>
      </c>
      <c r="G91" s="143" t="s">
        <v>2504</v>
      </c>
      <c r="H91" s="143" t="s">
        <v>2504</v>
      </c>
      <c r="I91" s="143" t="s">
        <v>2504</v>
      </c>
      <c r="J91" s="143" t="s">
        <v>2504</v>
      </c>
      <c r="K91" s="143" t="s">
        <v>2504</v>
      </c>
      <c r="L91" s="143" t="s">
        <v>2504</v>
      </c>
      <c r="M91" s="143" t="s">
        <v>2504</v>
      </c>
      <c r="N91" s="143" t="s">
        <v>2504</v>
      </c>
      <c r="O91" s="143" t="s">
        <v>2504</v>
      </c>
      <c r="P91" s="143" t="s">
        <v>2504</v>
      </c>
      <c r="Q91" s="148" t="s">
        <v>1194</v>
      </c>
      <c r="R91" s="148" t="s">
        <v>1025</v>
      </c>
      <c r="S91" s="148" t="s">
        <v>1195</v>
      </c>
      <c r="T91" s="149">
        <v>1</v>
      </c>
      <c r="U91" s="148" t="s">
        <v>591</v>
      </c>
      <c r="V91" s="150">
        <v>101.05</v>
      </c>
      <c r="W91" s="151">
        <v>2169.71</v>
      </c>
    </row>
    <row r="92" spans="1:23" ht="15" customHeight="1" x14ac:dyDescent="0.25">
      <c r="A92" s="148">
        <v>10135</v>
      </c>
      <c r="B92" s="148" t="s">
        <v>1196</v>
      </c>
      <c r="C92" s="143" t="s">
        <v>2504</v>
      </c>
      <c r="D92" s="143" t="s">
        <v>2504</v>
      </c>
      <c r="E92" s="143" t="s">
        <v>2504</v>
      </c>
      <c r="F92" s="143" t="s">
        <v>2504</v>
      </c>
      <c r="G92" s="143" t="s">
        <v>2504</v>
      </c>
      <c r="H92" s="143" t="s">
        <v>2504</v>
      </c>
      <c r="I92" s="143" t="s">
        <v>2504</v>
      </c>
      <c r="J92" s="143" t="s">
        <v>2504</v>
      </c>
      <c r="K92" s="143" t="s">
        <v>2504</v>
      </c>
      <c r="L92" s="143" t="s">
        <v>2504</v>
      </c>
      <c r="M92" s="143" t="s">
        <v>2504</v>
      </c>
      <c r="N92" s="143" t="s">
        <v>2504</v>
      </c>
      <c r="O92" s="143" t="s">
        <v>2504</v>
      </c>
      <c r="P92" s="143" t="s">
        <v>2504</v>
      </c>
      <c r="Q92" s="148" t="s">
        <v>1197</v>
      </c>
      <c r="R92" s="148" t="s">
        <v>1025</v>
      </c>
      <c r="S92" s="148" t="s">
        <v>1198</v>
      </c>
      <c r="T92" s="149">
        <v>1</v>
      </c>
      <c r="U92" s="148" t="s">
        <v>591</v>
      </c>
      <c r="V92" s="150">
        <v>102.93</v>
      </c>
      <c r="W92" s="151">
        <v>2335.2800000000002</v>
      </c>
    </row>
    <row r="93" spans="1:23" ht="15" customHeight="1" x14ac:dyDescent="0.25">
      <c r="A93" s="148">
        <v>10136</v>
      </c>
      <c r="B93" s="148" t="s">
        <v>1199</v>
      </c>
      <c r="C93" s="143" t="s">
        <v>2504</v>
      </c>
      <c r="D93" s="143" t="s">
        <v>2504</v>
      </c>
      <c r="E93" s="143" t="s">
        <v>2504</v>
      </c>
      <c r="F93" s="143" t="s">
        <v>2504</v>
      </c>
      <c r="G93" s="143" t="s">
        <v>2504</v>
      </c>
      <c r="H93" s="143" t="s">
        <v>2504</v>
      </c>
      <c r="I93" s="143" t="s">
        <v>2504</v>
      </c>
      <c r="J93" s="143" t="s">
        <v>2504</v>
      </c>
      <c r="K93" s="143" t="s">
        <v>2504</v>
      </c>
      <c r="L93" s="143" t="s">
        <v>2504</v>
      </c>
      <c r="M93" s="143" t="s">
        <v>2504</v>
      </c>
      <c r="N93" s="143" t="s">
        <v>2504</v>
      </c>
      <c r="O93" s="143" t="s">
        <v>2504</v>
      </c>
      <c r="P93" s="143" t="s">
        <v>2504</v>
      </c>
      <c r="Q93" s="148" t="s">
        <v>1200</v>
      </c>
      <c r="R93" s="148" t="s">
        <v>1025</v>
      </c>
      <c r="S93" s="148" t="s">
        <v>1201</v>
      </c>
      <c r="T93" s="149">
        <v>1</v>
      </c>
      <c r="U93" s="148" t="s">
        <v>591</v>
      </c>
      <c r="V93" s="150">
        <v>124.23</v>
      </c>
      <c r="W93" s="151">
        <v>24257.18</v>
      </c>
    </row>
    <row r="94" spans="1:23" ht="15" customHeight="1" x14ac:dyDescent="0.25">
      <c r="A94" s="148">
        <v>10137</v>
      </c>
      <c r="B94" s="148" t="s">
        <v>1202</v>
      </c>
      <c r="C94" s="143" t="s">
        <v>2504</v>
      </c>
      <c r="D94" s="143" t="s">
        <v>2504</v>
      </c>
      <c r="E94" s="143" t="s">
        <v>2504</v>
      </c>
      <c r="F94" s="143" t="s">
        <v>2504</v>
      </c>
      <c r="G94" s="143" t="s">
        <v>2504</v>
      </c>
      <c r="H94" s="143" t="s">
        <v>2504</v>
      </c>
      <c r="I94" s="143" t="s">
        <v>2504</v>
      </c>
      <c r="J94" s="143" t="s">
        <v>2504</v>
      </c>
      <c r="K94" s="143" t="s">
        <v>2504</v>
      </c>
      <c r="L94" s="143" t="s">
        <v>2504</v>
      </c>
      <c r="M94" s="143" t="s">
        <v>2504</v>
      </c>
      <c r="N94" s="143" t="s">
        <v>2504</v>
      </c>
      <c r="O94" s="143" t="s">
        <v>2504</v>
      </c>
      <c r="P94" s="143" t="s">
        <v>2504</v>
      </c>
      <c r="Q94" s="148" t="s">
        <v>1203</v>
      </c>
      <c r="R94" s="148" t="s">
        <v>1025</v>
      </c>
      <c r="S94" s="148" t="s">
        <v>1201</v>
      </c>
      <c r="T94" s="149">
        <v>1</v>
      </c>
      <c r="U94" s="148" t="s">
        <v>591</v>
      </c>
      <c r="V94" s="150">
        <v>124.62</v>
      </c>
      <c r="W94" s="151">
        <f>V94*15</f>
        <v>1869.3000000000002</v>
      </c>
    </row>
    <row r="95" spans="1:23" ht="15" customHeight="1" x14ac:dyDescent="0.25">
      <c r="A95" s="148">
        <v>10139</v>
      </c>
      <c r="B95" s="148" t="s">
        <v>1204</v>
      </c>
      <c r="C95" s="143" t="s">
        <v>2504</v>
      </c>
      <c r="D95" s="143" t="s">
        <v>2504</v>
      </c>
      <c r="E95" s="143" t="s">
        <v>2504</v>
      </c>
      <c r="F95" s="143" t="s">
        <v>2504</v>
      </c>
      <c r="G95" s="143" t="s">
        <v>2504</v>
      </c>
      <c r="H95" s="143" t="s">
        <v>2504</v>
      </c>
      <c r="I95" s="143" t="s">
        <v>2504</v>
      </c>
      <c r="J95" s="143" t="s">
        <v>2504</v>
      </c>
      <c r="K95" s="143" t="s">
        <v>2504</v>
      </c>
      <c r="L95" s="143" t="s">
        <v>2504</v>
      </c>
      <c r="M95" s="143" t="s">
        <v>2504</v>
      </c>
      <c r="N95" s="143" t="s">
        <v>2504</v>
      </c>
      <c r="O95" s="143" t="s">
        <v>2504</v>
      </c>
      <c r="P95" s="143" t="s">
        <v>2504</v>
      </c>
      <c r="Q95" s="148" t="s">
        <v>1205</v>
      </c>
      <c r="R95" s="148" t="s">
        <v>1025</v>
      </c>
      <c r="S95" s="148" t="s">
        <v>1206</v>
      </c>
      <c r="T95" s="149">
        <v>1</v>
      </c>
      <c r="U95" s="148" t="s">
        <v>591</v>
      </c>
      <c r="V95" s="150">
        <v>119.62</v>
      </c>
      <c r="W95" s="151">
        <v>3360.66</v>
      </c>
    </row>
    <row r="96" spans="1:23" ht="15" customHeight="1" x14ac:dyDescent="0.25">
      <c r="A96" s="148">
        <v>10141</v>
      </c>
      <c r="B96" s="148" t="s">
        <v>1207</v>
      </c>
      <c r="C96" s="143" t="s">
        <v>2504</v>
      </c>
      <c r="D96" s="143" t="s">
        <v>2504</v>
      </c>
      <c r="E96" s="143" t="s">
        <v>2504</v>
      </c>
      <c r="F96" s="143" t="s">
        <v>2504</v>
      </c>
      <c r="G96" s="143" t="s">
        <v>2504</v>
      </c>
      <c r="H96" s="143" t="s">
        <v>2504</v>
      </c>
      <c r="I96" s="143" t="s">
        <v>2504</v>
      </c>
      <c r="J96" s="143" t="s">
        <v>2504</v>
      </c>
      <c r="K96" s="143" t="s">
        <v>2504</v>
      </c>
      <c r="L96" s="143" t="s">
        <v>2504</v>
      </c>
      <c r="M96" s="143" t="s">
        <v>2504</v>
      </c>
      <c r="N96" s="143" t="s">
        <v>2504</v>
      </c>
      <c r="O96" s="143" t="s">
        <v>2504</v>
      </c>
      <c r="P96" s="143" t="s">
        <v>2504</v>
      </c>
      <c r="Q96" s="148" t="s">
        <v>1208</v>
      </c>
      <c r="R96" s="148" t="s">
        <v>1025</v>
      </c>
      <c r="S96" s="148" t="s">
        <v>1209</v>
      </c>
      <c r="T96" s="149">
        <v>1</v>
      </c>
      <c r="U96" s="148" t="s">
        <v>591</v>
      </c>
      <c r="V96" s="150">
        <v>88.09</v>
      </c>
      <c r="W96" s="151">
        <v>27851.02</v>
      </c>
    </row>
    <row r="97" spans="1:23" ht="15" customHeight="1" x14ac:dyDescent="0.25">
      <c r="A97" s="148">
        <v>10144</v>
      </c>
      <c r="B97" s="148" t="s">
        <v>1210</v>
      </c>
      <c r="C97" s="143" t="s">
        <v>2504</v>
      </c>
      <c r="D97" s="143" t="s">
        <v>2504</v>
      </c>
      <c r="E97" s="143" t="s">
        <v>2504</v>
      </c>
      <c r="F97" s="143" t="s">
        <v>2504</v>
      </c>
      <c r="G97" s="143" t="s">
        <v>2504</v>
      </c>
      <c r="H97" s="143" t="s">
        <v>2504</v>
      </c>
      <c r="I97" s="143" t="s">
        <v>2504</v>
      </c>
      <c r="J97" s="143" t="s">
        <v>2504</v>
      </c>
      <c r="K97" s="143" t="s">
        <v>2504</v>
      </c>
      <c r="L97" s="143" t="s">
        <v>2504</v>
      </c>
      <c r="M97" s="143" t="s">
        <v>2504</v>
      </c>
      <c r="N97" s="143" t="s">
        <v>2504</v>
      </c>
      <c r="O97" s="143" t="s">
        <v>2504</v>
      </c>
      <c r="P97" s="143" t="s">
        <v>2504</v>
      </c>
      <c r="Q97" s="148" t="s">
        <v>1211</v>
      </c>
      <c r="R97" s="148" t="s">
        <v>1025</v>
      </c>
      <c r="S97" s="148" t="s">
        <v>1212</v>
      </c>
      <c r="T97" s="149">
        <v>1</v>
      </c>
      <c r="U97" s="148" t="s">
        <v>591</v>
      </c>
      <c r="V97" s="150">
        <v>100.09</v>
      </c>
      <c r="W97" s="151">
        <v>5319.69</v>
      </c>
    </row>
    <row r="98" spans="1:23" ht="15" customHeight="1" x14ac:dyDescent="0.25">
      <c r="A98" s="148">
        <v>10148</v>
      </c>
      <c r="B98" s="148" t="s">
        <v>1213</v>
      </c>
      <c r="C98" s="143" t="s">
        <v>2504</v>
      </c>
      <c r="D98" s="143" t="s">
        <v>2504</v>
      </c>
      <c r="E98" s="143" t="s">
        <v>2504</v>
      </c>
      <c r="F98" s="143" t="s">
        <v>2504</v>
      </c>
      <c r="G98" s="143" t="s">
        <v>2504</v>
      </c>
      <c r="H98" s="143" t="s">
        <v>2504</v>
      </c>
      <c r="I98" s="143" t="s">
        <v>2504</v>
      </c>
      <c r="J98" s="143" t="s">
        <v>2504</v>
      </c>
      <c r="K98" s="143" t="s">
        <v>2504</v>
      </c>
      <c r="L98" s="143" t="s">
        <v>2504</v>
      </c>
      <c r="M98" s="143" t="s">
        <v>2504</v>
      </c>
      <c r="N98" s="143" t="s">
        <v>2504</v>
      </c>
      <c r="O98" s="143" t="s">
        <v>2504</v>
      </c>
      <c r="P98" s="143" t="s">
        <v>2504</v>
      </c>
      <c r="Q98" s="148" t="s">
        <v>1214</v>
      </c>
      <c r="R98" s="148" t="s">
        <v>1025</v>
      </c>
      <c r="S98" s="148" t="s">
        <v>1212</v>
      </c>
      <c r="T98" s="149">
        <v>1</v>
      </c>
      <c r="U98" s="148" t="s">
        <v>591</v>
      </c>
      <c r="V98" s="150">
        <v>108.12</v>
      </c>
      <c r="W98" s="151">
        <f>V98*16</f>
        <v>1729.92</v>
      </c>
    </row>
    <row r="99" spans="1:23" ht="15" customHeight="1" x14ac:dyDescent="0.25">
      <c r="A99" s="148">
        <v>10149</v>
      </c>
      <c r="B99" s="148" t="s">
        <v>1215</v>
      </c>
      <c r="C99" s="143" t="s">
        <v>2504</v>
      </c>
      <c r="D99" s="143" t="s">
        <v>2504</v>
      </c>
      <c r="E99" s="143" t="s">
        <v>2504</v>
      </c>
      <c r="F99" s="143" t="s">
        <v>2504</v>
      </c>
      <c r="G99" s="143" t="s">
        <v>2504</v>
      </c>
      <c r="H99" s="143" t="s">
        <v>2504</v>
      </c>
      <c r="I99" s="143" t="s">
        <v>2504</v>
      </c>
      <c r="J99" s="143" t="s">
        <v>2504</v>
      </c>
      <c r="K99" s="143" t="s">
        <v>2504</v>
      </c>
      <c r="L99" s="143" t="s">
        <v>2504</v>
      </c>
      <c r="M99" s="143" t="s">
        <v>2504</v>
      </c>
      <c r="N99" s="143" t="s">
        <v>2504</v>
      </c>
      <c r="O99" s="143" t="s">
        <v>2504</v>
      </c>
      <c r="P99" s="143" t="s">
        <v>2504</v>
      </c>
      <c r="Q99" s="148" t="s">
        <v>1216</v>
      </c>
      <c r="R99" s="148" t="s">
        <v>1025</v>
      </c>
      <c r="S99" s="148" t="s">
        <v>1212</v>
      </c>
      <c r="T99" s="149">
        <v>1</v>
      </c>
      <c r="U99" s="148" t="s">
        <v>591</v>
      </c>
      <c r="V99" s="150">
        <v>110.88</v>
      </c>
      <c r="W99" s="151">
        <f>V99*24</f>
        <v>2661.12</v>
      </c>
    </row>
    <row r="100" spans="1:23" ht="15" customHeight="1" x14ac:dyDescent="0.25">
      <c r="A100" s="148">
        <v>10152</v>
      </c>
      <c r="B100" s="148" t="s">
        <v>1217</v>
      </c>
      <c r="C100" s="143" t="s">
        <v>2504</v>
      </c>
      <c r="D100" s="143" t="s">
        <v>2504</v>
      </c>
      <c r="E100" s="143" t="s">
        <v>2504</v>
      </c>
      <c r="F100" s="143" t="s">
        <v>2504</v>
      </c>
      <c r="G100" s="143" t="s">
        <v>2504</v>
      </c>
      <c r="H100" s="143" t="s">
        <v>2504</v>
      </c>
      <c r="I100" s="143" t="s">
        <v>2504</v>
      </c>
      <c r="J100" s="143" t="s">
        <v>2504</v>
      </c>
      <c r="K100" s="143" t="s">
        <v>2504</v>
      </c>
      <c r="L100" s="143" t="s">
        <v>2504</v>
      </c>
      <c r="M100" s="143" t="s">
        <v>2504</v>
      </c>
      <c r="N100" s="143" t="s">
        <v>2504</v>
      </c>
      <c r="O100" s="143" t="s">
        <v>2504</v>
      </c>
      <c r="P100" s="143" t="s">
        <v>2504</v>
      </c>
      <c r="Q100" s="148" t="s">
        <v>1218</v>
      </c>
      <c r="R100" s="148" t="s">
        <v>1025</v>
      </c>
      <c r="S100" s="148" t="s">
        <v>1212</v>
      </c>
      <c r="T100" s="149">
        <v>1</v>
      </c>
      <c r="U100" s="148" t="s">
        <v>591</v>
      </c>
      <c r="V100" s="150">
        <v>118.53</v>
      </c>
      <c r="W100" s="151">
        <f>V100*6</f>
        <v>711.18000000000006</v>
      </c>
    </row>
    <row r="101" spans="1:23" ht="15" customHeight="1" x14ac:dyDescent="0.25">
      <c r="A101" s="148">
        <v>10154</v>
      </c>
      <c r="B101" s="148" t="s">
        <v>1219</v>
      </c>
      <c r="C101" s="143" t="s">
        <v>2504</v>
      </c>
      <c r="D101" s="143" t="s">
        <v>2504</v>
      </c>
      <c r="E101" s="143" t="s">
        <v>2504</v>
      </c>
      <c r="F101" s="143" t="s">
        <v>2504</v>
      </c>
      <c r="G101" s="143" t="s">
        <v>2504</v>
      </c>
      <c r="H101" s="143" t="s">
        <v>2504</v>
      </c>
      <c r="I101" s="143" t="s">
        <v>2504</v>
      </c>
      <c r="J101" s="143" t="s">
        <v>2504</v>
      </c>
      <c r="K101" s="143" t="s">
        <v>2504</v>
      </c>
      <c r="L101" s="143" t="s">
        <v>2504</v>
      </c>
      <c r="M101" s="143" t="s">
        <v>2504</v>
      </c>
      <c r="N101" s="143" t="s">
        <v>2504</v>
      </c>
      <c r="O101" s="143" t="s">
        <v>2504</v>
      </c>
      <c r="P101" s="143" t="s">
        <v>2504</v>
      </c>
      <c r="Q101" s="148" t="s">
        <v>1220</v>
      </c>
      <c r="R101" s="148" t="s">
        <v>1025</v>
      </c>
      <c r="S101" s="148" t="s">
        <v>1212</v>
      </c>
      <c r="T101" s="149">
        <v>1</v>
      </c>
      <c r="U101" s="148" t="s">
        <v>591</v>
      </c>
      <c r="V101" s="150">
        <v>103.3</v>
      </c>
      <c r="W101" s="151">
        <f>V101*24</f>
        <v>2479.1999999999998</v>
      </c>
    </row>
    <row r="102" spans="1:23" ht="15" customHeight="1" x14ac:dyDescent="0.25">
      <c r="A102" s="148">
        <v>10167</v>
      </c>
      <c r="B102" s="148" t="s">
        <v>1221</v>
      </c>
      <c r="C102" s="143" t="s">
        <v>2504</v>
      </c>
      <c r="D102" s="143" t="s">
        <v>2504</v>
      </c>
      <c r="E102" s="143" t="s">
        <v>2504</v>
      </c>
      <c r="F102" s="143" t="s">
        <v>2504</v>
      </c>
      <c r="G102" s="143" t="s">
        <v>2504</v>
      </c>
      <c r="H102" s="143" t="s">
        <v>2504</v>
      </c>
      <c r="I102" s="143" t="s">
        <v>2504</v>
      </c>
      <c r="J102" s="143" t="s">
        <v>2504</v>
      </c>
      <c r="K102" s="143" t="s">
        <v>2504</v>
      </c>
      <c r="L102" s="143" t="s">
        <v>2504</v>
      </c>
      <c r="M102" s="143" t="s">
        <v>2504</v>
      </c>
      <c r="N102" s="143" t="s">
        <v>2504</v>
      </c>
      <c r="O102" s="143" t="s">
        <v>2504</v>
      </c>
      <c r="P102" s="143" t="s">
        <v>2504</v>
      </c>
      <c r="Q102" s="148" t="s">
        <v>1222</v>
      </c>
      <c r="R102" s="148" t="s">
        <v>1025</v>
      </c>
      <c r="S102" s="148" t="s">
        <v>1189</v>
      </c>
      <c r="T102" s="149">
        <v>1</v>
      </c>
      <c r="U102" s="148" t="s">
        <v>591</v>
      </c>
      <c r="V102" s="150">
        <v>178.11</v>
      </c>
      <c r="W102" s="151">
        <v>2069.69</v>
      </c>
    </row>
    <row r="103" spans="1:23" ht="15" customHeight="1" x14ac:dyDescent="0.25">
      <c r="A103" s="148">
        <v>10168</v>
      </c>
      <c r="B103" s="148" t="s">
        <v>1223</v>
      </c>
      <c r="C103" s="143" t="s">
        <v>2504</v>
      </c>
      <c r="D103" s="143" t="s">
        <v>2504</v>
      </c>
      <c r="E103" s="143" t="s">
        <v>2504</v>
      </c>
      <c r="F103" s="143" t="s">
        <v>2504</v>
      </c>
      <c r="G103" s="143" t="s">
        <v>2504</v>
      </c>
      <c r="H103" s="143" t="s">
        <v>2504</v>
      </c>
      <c r="I103" s="143" t="s">
        <v>2504</v>
      </c>
      <c r="J103" s="143" t="s">
        <v>2504</v>
      </c>
      <c r="K103" s="143" t="s">
        <v>2504</v>
      </c>
      <c r="L103" s="143" t="s">
        <v>2504</v>
      </c>
      <c r="M103" s="143" t="s">
        <v>2504</v>
      </c>
      <c r="N103" s="143" t="s">
        <v>2504</v>
      </c>
      <c r="O103" s="143" t="s">
        <v>2504</v>
      </c>
      <c r="P103" s="143" t="s">
        <v>2504</v>
      </c>
      <c r="Q103" s="148" t="s">
        <v>1224</v>
      </c>
      <c r="R103" s="148" t="s">
        <v>1025</v>
      </c>
      <c r="S103" s="148" t="s">
        <v>1059</v>
      </c>
      <c r="T103" s="149">
        <v>1</v>
      </c>
      <c r="U103" s="148" t="s">
        <v>591</v>
      </c>
      <c r="V103" s="150">
        <v>106.68</v>
      </c>
      <c r="W103" s="151">
        <v>2080.5500000000002</v>
      </c>
    </row>
    <row r="104" spans="1:23" ht="15" customHeight="1" x14ac:dyDescent="0.25">
      <c r="A104" s="148">
        <v>10181</v>
      </c>
      <c r="B104" s="148" t="s">
        <v>1225</v>
      </c>
      <c r="C104" s="143" t="s">
        <v>2504</v>
      </c>
      <c r="D104" s="143" t="s">
        <v>2504</v>
      </c>
      <c r="E104" s="143" t="s">
        <v>2504</v>
      </c>
      <c r="F104" s="143" t="s">
        <v>2504</v>
      </c>
      <c r="G104" s="143" t="s">
        <v>2504</v>
      </c>
      <c r="H104" s="143" t="s">
        <v>2504</v>
      </c>
      <c r="I104" s="143" t="s">
        <v>2504</v>
      </c>
      <c r="J104" s="143" t="s">
        <v>2504</v>
      </c>
      <c r="K104" s="143" t="s">
        <v>2504</v>
      </c>
      <c r="L104" s="143" t="s">
        <v>2504</v>
      </c>
      <c r="M104" s="143" t="s">
        <v>2504</v>
      </c>
      <c r="N104" s="143" t="s">
        <v>2504</v>
      </c>
      <c r="O104" s="143" t="s">
        <v>2504</v>
      </c>
      <c r="P104" s="143" t="s">
        <v>2504</v>
      </c>
      <c r="Q104" s="148" t="s">
        <v>1226</v>
      </c>
      <c r="R104" s="148" t="s">
        <v>1025</v>
      </c>
      <c r="S104" s="148" t="s">
        <v>1227</v>
      </c>
      <c r="T104" s="149">
        <v>1</v>
      </c>
      <c r="U104" s="148" t="s">
        <v>591</v>
      </c>
      <c r="V104" s="150">
        <v>111.29</v>
      </c>
      <c r="W104" s="151">
        <f>V104*15</f>
        <v>1669.3500000000001</v>
      </c>
    </row>
    <row r="105" spans="1:23" ht="15" customHeight="1" x14ac:dyDescent="0.25">
      <c r="A105" s="148">
        <v>10183</v>
      </c>
      <c r="B105" s="148" t="s">
        <v>1228</v>
      </c>
      <c r="C105" s="143" t="s">
        <v>2504</v>
      </c>
      <c r="D105" s="143" t="s">
        <v>2504</v>
      </c>
      <c r="E105" s="143" t="s">
        <v>2504</v>
      </c>
      <c r="F105" s="143" t="s">
        <v>2504</v>
      </c>
      <c r="G105" s="143" t="s">
        <v>2504</v>
      </c>
      <c r="H105" s="143" t="s">
        <v>2504</v>
      </c>
      <c r="I105" s="143" t="s">
        <v>2504</v>
      </c>
      <c r="J105" s="143" t="s">
        <v>2504</v>
      </c>
      <c r="K105" s="143" t="s">
        <v>2504</v>
      </c>
      <c r="L105" s="143" t="s">
        <v>2504</v>
      </c>
      <c r="M105" s="143" t="s">
        <v>2504</v>
      </c>
      <c r="N105" s="143" t="s">
        <v>2504</v>
      </c>
      <c r="O105" s="143" t="s">
        <v>2504</v>
      </c>
      <c r="P105" s="143" t="s">
        <v>2504</v>
      </c>
      <c r="Q105" s="148" t="s">
        <v>1229</v>
      </c>
      <c r="R105" s="148" t="s">
        <v>1025</v>
      </c>
      <c r="S105" s="148" t="s">
        <v>1227</v>
      </c>
      <c r="T105" s="149">
        <v>1</v>
      </c>
      <c r="U105" s="148" t="s">
        <v>591</v>
      </c>
      <c r="V105" s="150">
        <v>111.98</v>
      </c>
      <c r="W105" s="151">
        <v>21225.919999999998</v>
      </c>
    </row>
    <row r="106" spans="1:23" ht="15" customHeight="1" x14ac:dyDescent="0.25">
      <c r="A106" s="148">
        <v>10184</v>
      </c>
      <c r="B106" s="148" t="s">
        <v>1230</v>
      </c>
      <c r="C106" s="143" t="s">
        <v>2504</v>
      </c>
      <c r="D106" s="143" t="s">
        <v>2504</v>
      </c>
      <c r="E106" s="143" t="s">
        <v>2504</v>
      </c>
      <c r="F106" s="143" t="s">
        <v>2504</v>
      </c>
      <c r="G106" s="143" t="s">
        <v>2504</v>
      </c>
      <c r="H106" s="143" t="s">
        <v>2504</v>
      </c>
      <c r="I106" s="143" t="s">
        <v>2504</v>
      </c>
      <c r="J106" s="143" t="s">
        <v>2504</v>
      </c>
      <c r="K106" s="143" t="s">
        <v>2504</v>
      </c>
      <c r="L106" s="143" t="s">
        <v>2504</v>
      </c>
      <c r="M106" s="143" t="s">
        <v>2504</v>
      </c>
      <c r="N106" s="143" t="s">
        <v>2504</v>
      </c>
      <c r="O106" s="143" t="s">
        <v>2504</v>
      </c>
      <c r="P106" s="143" t="s">
        <v>2504</v>
      </c>
      <c r="Q106" s="148" t="s">
        <v>1231</v>
      </c>
      <c r="R106" s="148" t="s">
        <v>1025</v>
      </c>
      <c r="S106" s="148" t="s">
        <v>1164</v>
      </c>
      <c r="T106" s="149">
        <v>1</v>
      </c>
      <c r="U106" s="148" t="s">
        <v>591</v>
      </c>
      <c r="V106" s="150">
        <v>114.1</v>
      </c>
      <c r="W106" s="151">
        <f>V106*24</f>
        <v>2738.3999999999996</v>
      </c>
    </row>
    <row r="107" spans="1:23" ht="15" customHeight="1" x14ac:dyDescent="0.25">
      <c r="A107" s="148">
        <v>10441</v>
      </c>
      <c r="B107" s="148" t="s">
        <v>1530</v>
      </c>
      <c r="C107" s="143" t="s">
        <v>2504</v>
      </c>
      <c r="D107" s="143" t="s">
        <v>2504</v>
      </c>
      <c r="E107" s="143" t="s">
        <v>2504</v>
      </c>
      <c r="F107" s="143" t="s">
        <v>2504</v>
      </c>
      <c r="G107" s="143" t="s">
        <v>2504</v>
      </c>
      <c r="H107" s="143" t="s">
        <v>2504</v>
      </c>
      <c r="I107" s="143" t="s">
        <v>2504</v>
      </c>
      <c r="J107" s="143" t="s">
        <v>2504</v>
      </c>
      <c r="K107" s="143" t="s">
        <v>2504</v>
      </c>
      <c r="L107" s="143" t="s">
        <v>2504</v>
      </c>
      <c r="M107" s="143" t="s">
        <v>2504</v>
      </c>
      <c r="N107" s="143" t="s">
        <v>2504</v>
      </c>
      <c r="O107" s="143" t="s">
        <v>2504</v>
      </c>
      <c r="P107" s="143" t="s">
        <v>2504</v>
      </c>
      <c r="Q107" s="148" t="s">
        <v>1531</v>
      </c>
      <c r="R107" s="148" t="s">
        <v>1025</v>
      </c>
      <c r="S107" s="148" t="s">
        <v>1209</v>
      </c>
      <c r="T107" s="149">
        <v>19</v>
      </c>
      <c r="U107" s="148" t="s">
        <v>591</v>
      </c>
      <c r="V107" s="150">
        <v>1783.2</v>
      </c>
      <c r="W107" s="151">
        <f>V107*24</f>
        <v>42796.800000000003</v>
      </c>
    </row>
    <row r="108" spans="1:23" ht="15" customHeight="1" x14ac:dyDescent="0.25">
      <c r="A108" s="148">
        <v>10442</v>
      </c>
      <c r="B108" s="148" t="s">
        <v>1532</v>
      </c>
      <c r="C108" s="143" t="s">
        <v>2504</v>
      </c>
      <c r="D108" s="143" t="s">
        <v>2504</v>
      </c>
      <c r="E108" s="143" t="s">
        <v>2504</v>
      </c>
      <c r="F108" s="143" t="s">
        <v>2504</v>
      </c>
      <c r="G108" s="143" t="s">
        <v>2504</v>
      </c>
      <c r="H108" s="143" t="s">
        <v>2504</v>
      </c>
      <c r="I108" s="143" t="s">
        <v>2504</v>
      </c>
      <c r="J108" s="143" t="s">
        <v>2504</v>
      </c>
      <c r="K108" s="143" t="s">
        <v>2504</v>
      </c>
      <c r="L108" s="143" t="s">
        <v>2504</v>
      </c>
      <c r="M108" s="143" t="s">
        <v>2504</v>
      </c>
      <c r="N108" s="143" t="s">
        <v>2504</v>
      </c>
      <c r="O108" s="143" t="s">
        <v>2504</v>
      </c>
      <c r="P108" s="143" t="s">
        <v>2504</v>
      </c>
      <c r="Q108" s="148" t="s">
        <v>1533</v>
      </c>
      <c r="R108" s="148" t="s">
        <v>1025</v>
      </c>
      <c r="S108" s="148" t="s">
        <v>1513</v>
      </c>
      <c r="T108" s="149">
        <v>19</v>
      </c>
      <c r="U108" s="148" t="s">
        <v>591</v>
      </c>
      <c r="V108" s="150">
        <v>2890.97</v>
      </c>
      <c r="W108" s="151">
        <v>3134.64</v>
      </c>
    </row>
    <row r="109" spans="1:23" ht="15" customHeight="1" x14ac:dyDescent="0.25">
      <c r="A109" s="148">
        <v>10443</v>
      </c>
      <c r="B109" s="148" t="s">
        <v>1534</v>
      </c>
      <c r="C109" s="143" t="s">
        <v>2504</v>
      </c>
      <c r="D109" s="143" t="s">
        <v>2504</v>
      </c>
      <c r="E109" s="143" t="s">
        <v>2504</v>
      </c>
      <c r="F109" s="143" t="s">
        <v>2504</v>
      </c>
      <c r="G109" s="143" t="s">
        <v>2504</v>
      </c>
      <c r="H109" s="143" t="s">
        <v>2504</v>
      </c>
      <c r="I109" s="143" t="s">
        <v>2504</v>
      </c>
      <c r="J109" s="143" t="s">
        <v>2504</v>
      </c>
      <c r="K109" s="143" t="s">
        <v>2504</v>
      </c>
      <c r="L109" s="143" t="s">
        <v>2504</v>
      </c>
      <c r="M109" s="143" t="s">
        <v>2504</v>
      </c>
      <c r="N109" s="143" t="s">
        <v>2504</v>
      </c>
      <c r="O109" s="143" t="s">
        <v>2504</v>
      </c>
      <c r="P109" s="143" t="s">
        <v>2504</v>
      </c>
      <c r="Q109" s="148" t="s">
        <v>1535</v>
      </c>
      <c r="R109" s="148" t="s">
        <v>1025</v>
      </c>
      <c r="S109" s="148" t="s">
        <v>1527</v>
      </c>
      <c r="T109" s="149">
        <v>19</v>
      </c>
      <c r="U109" s="148" t="s">
        <v>591</v>
      </c>
      <c r="V109" s="150">
        <v>1878.98</v>
      </c>
      <c r="W109" s="151">
        <v>18951.82</v>
      </c>
    </row>
    <row r="110" spans="1:23" ht="15" customHeight="1" x14ac:dyDescent="0.25">
      <c r="A110" s="148">
        <v>10444</v>
      </c>
      <c r="B110" s="148" t="s">
        <v>1536</v>
      </c>
      <c r="C110" s="143" t="s">
        <v>2504</v>
      </c>
      <c r="D110" s="143" t="s">
        <v>2504</v>
      </c>
      <c r="E110" s="143" t="s">
        <v>2504</v>
      </c>
      <c r="F110" s="143" t="s">
        <v>2504</v>
      </c>
      <c r="G110" s="143" t="s">
        <v>2504</v>
      </c>
      <c r="H110" s="143" t="s">
        <v>2504</v>
      </c>
      <c r="I110" s="143" t="s">
        <v>2504</v>
      </c>
      <c r="J110" s="143" t="s">
        <v>2504</v>
      </c>
      <c r="K110" s="143" t="s">
        <v>2504</v>
      </c>
      <c r="L110" s="143" t="s">
        <v>2504</v>
      </c>
      <c r="M110" s="143" t="s">
        <v>2504</v>
      </c>
      <c r="N110" s="143" t="s">
        <v>2504</v>
      </c>
      <c r="O110" s="143" t="s">
        <v>2504</v>
      </c>
      <c r="P110" s="143" t="s">
        <v>2504</v>
      </c>
      <c r="Q110" s="148" t="s">
        <v>1537</v>
      </c>
      <c r="R110" s="148" t="s">
        <v>1025</v>
      </c>
      <c r="S110" s="148" t="s">
        <v>1212</v>
      </c>
      <c r="T110" s="149">
        <v>19</v>
      </c>
      <c r="U110" s="148" t="s">
        <v>591</v>
      </c>
      <c r="V110" s="150">
        <v>2034.61</v>
      </c>
      <c r="W110" s="151">
        <f>V110*12</f>
        <v>24415.32</v>
      </c>
    </row>
    <row r="111" spans="1:23" ht="15" customHeight="1" x14ac:dyDescent="0.25">
      <c r="A111" s="148">
        <v>10449</v>
      </c>
      <c r="B111" s="148" t="s">
        <v>1538</v>
      </c>
      <c r="C111" s="143" t="s">
        <v>2504</v>
      </c>
      <c r="D111" s="143" t="s">
        <v>2504</v>
      </c>
      <c r="E111" s="143" t="s">
        <v>2504</v>
      </c>
      <c r="F111" s="143" t="s">
        <v>2504</v>
      </c>
      <c r="G111" s="143" t="s">
        <v>2504</v>
      </c>
      <c r="H111" s="143" t="s">
        <v>2504</v>
      </c>
      <c r="I111" s="143" t="s">
        <v>2504</v>
      </c>
      <c r="J111" s="143" t="s">
        <v>2504</v>
      </c>
      <c r="K111" s="143" t="s">
        <v>2504</v>
      </c>
      <c r="L111" s="143" t="s">
        <v>2504</v>
      </c>
      <c r="M111" s="143" t="s">
        <v>2504</v>
      </c>
      <c r="N111" s="143" t="s">
        <v>2504</v>
      </c>
      <c r="O111" s="143" t="s">
        <v>2504</v>
      </c>
      <c r="P111" s="143" t="s">
        <v>2504</v>
      </c>
      <c r="Q111" s="148" t="s">
        <v>1539</v>
      </c>
      <c r="R111" s="148" t="s">
        <v>1025</v>
      </c>
      <c r="S111" s="148" t="s">
        <v>1212</v>
      </c>
      <c r="T111" s="149">
        <v>19</v>
      </c>
      <c r="U111" s="148" t="s">
        <v>591</v>
      </c>
      <c r="V111" s="150">
        <v>2239.59</v>
      </c>
      <c r="W111" s="151">
        <f>V111*1000</f>
        <v>2239590</v>
      </c>
    </row>
    <row r="112" spans="1:23" ht="15" customHeight="1" x14ac:dyDescent="0.25">
      <c r="A112" s="148">
        <v>10452</v>
      </c>
      <c r="B112" s="148" t="s">
        <v>1540</v>
      </c>
      <c r="C112" s="143" t="s">
        <v>2504</v>
      </c>
      <c r="D112" s="143" t="s">
        <v>2504</v>
      </c>
      <c r="E112" s="143" t="s">
        <v>2504</v>
      </c>
      <c r="F112" s="143" t="s">
        <v>2504</v>
      </c>
      <c r="G112" s="143" t="s">
        <v>2504</v>
      </c>
      <c r="H112" s="143" t="s">
        <v>2504</v>
      </c>
      <c r="I112" s="143" t="s">
        <v>2504</v>
      </c>
      <c r="J112" s="143" t="s">
        <v>2504</v>
      </c>
      <c r="K112" s="143" t="s">
        <v>2504</v>
      </c>
      <c r="L112" s="143" t="s">
        <v>2504</v>
      </c>
      <c r="M112" s="143" t="s">
        <v>2504</v>
      </c>
      <c r="N112" s="143" t="s">
        <v>2504</v>
      </c>
      <c r="O112" s="143" t="s">
        <v>2504</v>
      </c>
      <c r="P112" s="143" t="s">
        <v>2504</v>
      </c>
      <c r="Q112" s="148" t="s">
        <v>1541</v>
      </c>
      <c r="R112" s="148" t="s">
        <v>1025</v>
      </c>
      <c r="S112" s="148" t="s">
        <v>1212</v>
      </c>
      <c r="T112" s="149">
        <v>19</v>
      </c>
      <c r="U112" s="148" t="s">
        <v>591</v>
      </c>
      <c r="V112" s="150">
        <v>2384.92</v>
      </c>
      <c r="W112" s="151">
        <f>V112*1000</f>
        <v>2384920</v>
      </c>
    </row>
    <row r="113" spans="1:23" ht="15" customHeight="1" x14ac:dyDescent="0.25">
      <c r="A113" s="148">
        <v>10453</v>
      </c>
      <c r="B113" s="148" t="s">
        <v>1542</v>
      </c>
      <c r="C113" s="143" t="s">
        <v>2504</v>
      </c>
      <c r="D113" s="143" t="s">
        <v>2504</v>
      </c>
      <c r="E113" s="143" t="s">
        <v>2504</v>
      </c>
      <c r="F113" s="143" t="s">
        <v>2504</v>
      </c>
      <c r="G113" s="143" t="s">
        <v>2504</v>
      </c>
      <c r="H113" s="143" t="s">
        <v>2504</v>
      </c>
      <c r="I113" s="143" t="s">
        <v>2504</v>
      </c>
      <c r="J113" s="143" t="s">
        <v>2504</v>
      </c>
      <c r="K113" s="143" t="s">
        <v>2504</v>
      </c>
      <c r="L113" s="143" t="s">
        <v>2504</v>
      </c>
      <c r="M113" s="143" t="s">
        <v>2504</v>
      </c>
      <c r="N113" s="143" t="s">
        <v>2504</v>
      </c>
      <c r="O113" s="143" t="s">
        <v>2504</v>
      </c>
      <c r="P113" s="143" t="s">
        <v>2504</v>
      </c>
      <c r="Q113" s="148" t="s">
        <v>1543</v>
      </c>
      <c r="R113" s="148" t="s">
        <v>1025</v>
      </c>
      <c r="S113" s="148" t="s">
        <v>1212</v>
      </c>
      <c r="T113" s="149">
        <v>19</v>
      </c>
      <c r="U113" s="148" t="s">
        <v>591</v>
      </c>
      <c r="V113" s="150">
        <v>2064.5300000000002</v>
      </c>
      <c r="W113" s="151">
        <v>11259.49</v>
      </c>
    </row>
    <row r="114" spans="1:23" ht="15" customHeight="1" x14ac:dyDescent="0.25">
      <c r="A114" s="148">
        <v>10454</v>
      </c>
      <c r="B114" s="148" t="s">
        <v>1544</v>
      </c>
      <c r="C114" s="143" t="s">
        <v>2504</v>
      </c>
      <c r="D114" s="143" t="s">
        <v>2504</v>
      </c>
      <c r="E114" s="143" t="s">
        <v>2504</v>
      </c>
      <c r="F114" s="143" t="s">
        <v>2504</v>
      </c>
      <c r="G114" s="143" t="s">
        <v>2504</v>
      </c>
      <c r="H114" s="143" t="s">
        <v>2504</v>
      </c>
      <c r="I114" s="143" t="s">
        <v>2504</v>
      </c>
      <c r="J114" s="143" t="s">
        <v>2504</v>
      </c>
      <c r="K114" s="143" t="s">
        <v>2504</v>
      </c>
      <c r="L114" s="143" t="s">
        <v>2504</v>
      </c>
      <c r="M114" s="143" t="s">
        <v>2504</v>
      </c>
      <c r="N114" s="143" t="s">
        <v>2504</v>
      </c>
      <c r="O114" s="143" t="s">
        <v>2504</v>
      </c>
      <c r="P114" s="143" t="s">
        <v>2504</v>
      </c>
      <c r="Q114" s="148" t="s">
        <v>1545</v>
      </c>
      <c r="R114" s="148" t="s">
        <v>1025</v>
      </c>
      <c r="S114" s="148" t="s">
        <v>1212</v>
      </c>
      <c r="T114" s="149">
        <v>19</v>
      </c>
      <c r="U114" s="148" t="s">
        <v>591</v>
      </c>
      <c r="V114" s="150">
        <v>2095.5700000000002</v>
      </c>
      <c r="W114" s="151">
        <v>1123.6400000000001</v>
      </c>
    </row>
    <row r="115" spans="1:23" ht="15" customHeight="1" x14ac:dyDescent="0.25">
      <c r="A115" s="148">
        <v>10460</v>
      </c>
      <c r="B115" s="148" t="s">
        <v>1546</v>
      </c>
      <c r="C115" s="143" t="s">
        <v>2504</v>
      </c>
      <c r="D115" s="143" t="s">
        <v>2504</v>
      </c>
      <c r="E115" s="143" t="s">
        <v>2504</v>
      </c>
      <c r="F115" s="143" t="s">
        <v>2504</v>
      </c>
      <c r="G115" s="143" t="s">
        <v>2504</v>
      </c>
      <c r="H115" s="143" t="s">
        <v>2504</v>
      </c>
      <c r="I115" s="143" t="s">
        <v>2504</v>
      </c>
      <c r="J115" s="143" t="s">
        <v>2504</v>
      </c>
      <c r="K115" s="143" t="s">
        <v>2504</v>
      </c>
      <c r="L115" s="143" t="s">
        <v>2504</v>
      </c>
      <c r="M115" s="143" t="s">
        <v>2504</v>
      </c>
      <c r="N115" s="143" t="s">
        <v>2504</v>
      </c>
      <c r="O115" s="143" t="s">
        <v>2504</v>
      </c>
      <c r="P115" s="143" t="s">
        <v>2504</v>
      </c>
      <c r="Q115" s="148" t="s">
        <v>1547</v>
      </c>
      <c r="R115" s="148" t="s">
        <v>1025</v>
      </c>
      <c r="S115" s="148" t="s">
        <v>1548</v>
      </c>
      <c r="T115" s="149">
        <v>19</v>
      </c>
      <c r="U115" s="148" t="s">
        <v>591</v>
      </c>
      <c r="V115" s="150">
        <v>2092.73</v>
      </c>
      <c r="W115" s="151">
        <f>V115*4</f>
        <v>8370.92</v>
      </c>
    </row>
    <row r="116" spans="1:23" ht="15" customHeight="1" x14ac:dyDescent="0.25">
      <c r="A116" s="148">
        <v>10462</v>
      </c>
      <c r="B116" s="148" t="s">
        <v>1549</v>
      </c>
      <c r="C116" s="143" t="s">
        <v>2504</v>
      </c>
      <c r="D116" s="143" t="s">
        <v>2504</v>
      </c>
      <c r="E116" s="143" t="s">
        <v>2504</v>
      </c>
      <c r="F116" s="143" t="s">
        <v>2504</v>
      </c>
      <c r="G116" s="143" t="s">
        <v>2504</v>
      </c>
      <c r="H116" s="143" t="s">
        <v>2504</v>
      </c>
      <c r="I116" s="143" t="s">
        <v>2504</v>
      </c>
      <c r="J116" s="143" t="s">
        <v>2504</v>
      </c>
      <c r="K116" s="143" t="s">
        <v>2504</v>
      </c>
      <c r="L116" s="143" t="s">
        <v>2504</v>
      </c>
      <c r="M116" s="143" t="s">
        <v>2504</v>
      </c>
      <c r="N116" s="143" t="s">
        <v>2504</v>
      </c>
      <c r="O116" s="143" t="s">
        <v>2504</v>
      </c>
      <c r="P116" s="143" t="s">
        <v>2504</v>
      </c>
      <c r="Q116" s="148" t="s">
        <v>1550</v>
      </c>
      <c r="R116" s="148" t="s">
        <v>1025</v>
      </c>
      <c r="S116" s="148" t="s">
        <v>1548</v>
      </c>
      <c r="T116" s="149">
        <v>19</v>
      </c>
      <c r="U116" s="148" t="s">
        <v>591</v>
      </c>
      <c r="V116" s="150">
        <v>2222.65</v>
      </c>
      <c r="W116" s="151">
        <f>V116*15</f>
        <v>33339.75</v>
      </c>
    </row>
    <row r="117" spans="1:23" ht="15" customHeight="1" x14ac:dyDescent="0.25">
      <c r="A117" s="148">
        <v>10463</v>
      </c>
      <c r="B117" s="148" t="s">
        <v>1551</v>
      </c>
      <c r="C117" s="143" t="s">
        <v>2504</v>
      </c>
      <c r="D117" s="143" t="s">
        <v>2504</v>
      </c>
      <c r="E117" s="143" t="s">
        <v>2504</v>
      </c>
      <c r="F117" s="143" t="s">
        <v>2504</v>
      </c>
      <c r="G117" s="143" t="s">
        <v>2504</v>
      </c>
      <c r="H117" s="143" t="s">
        <v>2504</v>
      </c>
      <c r="I117" s="143" t="s">
        <v>2504</v>
      </c>
      <c r="J117" s="143" t="s">
        <v>2504</v>
      </c>
      <c r="K117" s="143" t="s">
        <v>2504</v>
      </c>
      <c r="L117" s="143" t="s">
        <v>2504</v>
      </c>
      <c r="M117" s="143" t="s">
        <v>2504</v>
      </c>
      <c r="N117" s="143" t="s">
        <v>2504</v>
      </c>
      <c r="O117" s="143" t="s">
        <v>2504</v>
      </c>
      <c r="P117" s="143" t="s">
        <v>2504</v>
      </c>
      <c r="Q117" s="148" t="s">
        <v>1552</v>
      </c>
      <c r="R117" s="148" t="s">
        <v>1025</v>
      </c>
      <c r="S117" s="148" t="s">
        <v>1548</v>
      </c>
      <c r="T117" s="149">
        <v>19</v>
      </c>
      <c r="U117" s="148" t="s">
        <v>591</v>
      </c>
      <c r="V117" s="150">
        <v>3016.7</v>
      </c>
      <c r="W117" s="151">
        <v>17313.86</v>
      </c>
    </row>
    <row r="118" spans="1:23" ht="15" customHeight="1" x14ac:dyDescent="0.25">
      <c r="A118" s="148">
        <v>10464</v>
      </c>
      <c r="B118" s="148" t="s">
        <v>1553</v>
      </c>
      <c r="C118" s="143" t="s">
        <v>2504</v>
      </c>
      <c r="D118" s="143" t="s">
        <v>2504</v>
      </c>
      <c r="E118" s="143" t="s">
        <v>2504</v>
      </c>
      <c r="F118" s="143" t="s">
        <v>2504</v>
      </c>
      <c r="G118" s="143" t="s">
        <v>2504</v>
      </c>
      <c r="H118" s="143" t="s">
        <v>2504</v>
      </c>
      <c r="I118" s="143" t="s">
        <v>2504</v>
      </c>
      <c r="J118" s="143" t="s">
        <v>2504</v>
      </c>
      <c r="K118" s="143" t="s">
        <v>2504</v>
      </c>
      <c r="L118" s="143" t="s">
        <v>2504</v>
      </c>
      <c r="M118" s="143" t="s">
        <v>2504</v>
      </c>
      <c r="N118" s="143" t="s">
        <v>2504</v>
      </c>
      <c r="O118" s="143" t="s">
        <v>2504</v>
      </c>
      <c r="P118" s="143" t="s">
        <v>2504</v>
      </c>
      <c r="Q118" s="148" t="s">
        <v>1554</v>
      </c>
      <c r="R118" s="148" t="s">
        <v>1025</v>
      </c>
      <c r="S118" s="148" t="s">
        <v>1548</v>
      </c>
      <c r="T118" s="149">
        <v>19</v>
      </c>
      <c r="U118" s="148" t="s">
        <v>591</v>
      </c>
      <c r="V118" s="150">
        <v>3312.74</v>
      </c>
      <c r="W118" s="151">
        <f>V118*4</f>
        <v>13250.96</v>
      </c>
    </row>
    <row r="119" spans="1:23" ht="15" customHeight="1" x14ac:dyDescent="0.25">
      <c r="A119" s="148">
        <v>10465</v>
      </c>
      <c r="B119" s="148" t="s">
        <v>1555</v>
      </c>
      <c r="C119" s="143" t="s">
        <v>2504</v>
      </c>
      <c r="D119" s="143" t="s">
        <v>2504</v>
      </c>
      <c r="E119" s="143" t="s">
        <v>2504</v>
      </c>
      <c r="F119" s="143" t="s">
        <v>2504</v>
      </c>
      <c r="G119" s="143" t="s">
        <v>2504</v>
      </c>
      <c r="H119" s="143" t="s">
        <v>2504</v>
      </c>
      <c r="I119" s="143" t="s">
        <v>2504</v>
      </c>
      <c r="J119" s="143" t="s">
        <v>2504</v>
      </c>
      <c r="K119" s="143" t="s">
        <v>2504</v>
      </c>
      <c r="L119" s="143" t="s">
        <v>2504</v>
      </c>
      <c r="M119" s="143" t="s">
        <v>2504</v>
      </c>
      <c r="N119" s="143" t="s">
        <v>2504</v>
      </c>
      <c r="O119" s="143" t="s">
        <v>2504</v>
      </c>
      <c r="P119" s="143" t="s">
        <v>2504</v>
      </c>
      <c r="Q119" s="148" t="s">
        <v>1556</v>
      </c>
      <c r="R119" s="148" t="s">
        <v>1025</v>
      </c>
      <c r="S119" s="148" t="s">
        <v>1548</v>
      </c>
      <c r="T119" s="149">
        <v>19</v>
      </c>
      <c r="U119" s="148" t="s">
        <v>591</v>
      </c>
      <c r="V119" s="150">
        <v>3514.55</v>
      </c>
      <c r="W119" s="151">
        <f>V119*4</f>
        <v>14058.2</v>
      </c>
    </row>
    <row r="120" spans="1:23" ht="15" customHeight="1" x14ac:dyDescent="0.25">
      <c r="A120" s="148">
        <v>10466</v>
      </c>
      <c r="B120" s="148" t="s">
        <v>1557</v>
      </c>
      <c r="C120" s="143" t="s">
        <v>2504</v>
      </c>
      <c r="D120" s="143" t="s">
        <v>2504</v>
      </c>
      <c r="E120" s="143" t="s">
        <v>2504</v>
      </c>
      <c r="F120" s="143" t="s">
        <v>2504</v>
      </c>
      <c r="G120" s="143" t="s">
        <v>2504</v>
      </c>
      <c r="H120" s="143" t="s">
        <v>2504</v>
      </c>
      <c r="I120" s="143" t="s">
        <v>2504</v>
      </c>
      <c r="J120" s="143" t="s">
        <v>2504</v>
      </c>
      <c r="K120" s="143" t="s">
        <v>2504</v>
      </c>
      <c r="L120" s="143" t="s">
        <v>2504</v>
      </c>
      <c r="M120" s="143" t="s">
        <v>2504</v>
      </c>
      <c r="N120" s="143" t="s">
        <v>2504</v>
      </c>
      <c r="O120" s="143" t="s">
        <v>2504</v>
      </c>
      <c r="P120" s="143" t="s">
        <v>2504</v>
      </c>
      <c r="Q120" s="148" t="s">
        <v>1558</v>
      </c>
      <c r="R120" s="148" t="s">
        <v>1025</v>
      </c>
      <c r="S120" s="148" t="s">
        <v>1548</v>
      </c>
      <c r="T120" s="149">
        <v>19</v>
      </c>
      <c r="U120" s="148" t="s">
        <v>591</v>
      </c>
      <c r="V120" s="150">
        <v>3106.28</v>
      </c>
      <c r="W120" s="151">
        <f>V120*1000</f>
        <v>3106280</v>
      </c>
    </row>
    <row r="121" spans="1:23" ht="15" customHeight="1" x14ac:dyDescent="0.25">
      <c r="A121" s="148">
        <v>10741</v>
      </c>
      <c r="B121" s="148" t="s">
        <v>1818</v>
      </c>
      <c r="C121" s="143" t="s">
        <v>2504</v>
      </c>
      <c r="D121" s="143" t="s">
        <v>2504</v>
      </c>
      <c r="E121" s="143" t="s">
        <v>2504</v>
      </c>
      <c r="F121" s="143" t="s">
        <v>2504</v>
      </c>
      <c r="G121" s="143" t="s">
        <v>2504</v>
      </c>
      <c r="H121" s="143" t="s">
        <v>2504</v>
      </c>
      <c r="I121" s="143" t="s">
        <v>2504</v>
      </c>
      <c r="J121" s="143" t="s">
        <v>2504</v>
      </c>
      <c r="K121" s="143" t="s">
        <v>2504</v>
      </c>
      <c r="L121" s="143" t="s">
        <v>2504</v>
      </c>
      <c r="M121" s="143" t="s">
        <v>2504</v>
      </c>
      <c r="N121" s="143" t="s">
        <v>2504</v>
      </c>
      <c r="O121" s="143" t="s">
        <v>2504</v>
      </c>
      <c r="P121" s="143" t="s">
        <v>2504</v>
      </c>
      <c r="Q121" s="148" t="s">
        <v>1819</v>
      </c>
      <c r="R121" s="148" t="s">
        <v>1025</v>
      </c>
      <c r="S121" s="148" t="s">
        <v>1209</v>
      </c>
      <c r="T121" s="149">
        <v>200</v>
      </c>
      <c r="U121" s="148" t="s">
        <v>591</v>
      </c>
      <c r="V121" s="150">
        <v>18681.54</v>
      </c>
      <c r="W121" s="151">
        <v>32743.94</v>
      </c>
    </row>
    <row r="122" spans="1:23" ht="15" customHeight="1" x14ac:dyDescent="0.25">
      <c r="A122" s="148">
        <v>10744</v>
      </c>
      <c r="B122" s="148" t="s">
        <v>1820</v>
      </c>
      <c r="C122" s="143" t="s">
        <v>2504</v>
      </c>
      <c r="D122" s="143" t="s">
        <v>2504</v>
      </c>
      <c r="E122" s="143" t="s">
        <v>2504</v>
      </c>
      <c r="F122" s="143" t="s">
        <v>2504</v>
      </c>
      <c r="G122" s="143" t="s">
        <v>2504</v>
      </c>
      <c r="H122" s="143" t="s">
        <v>2504</v>
      </c>
      <c r="I122" s="143" t="s">
        <v>2504</v>
      </c>
      <c r="J122" s="143" t="s">
        <v>2504</v>
      </c>
      <c r="K122" s="143" t="s">
        <v>2504</v>
      </c>
      <c r="L122" s="143" t="s">
        <v>2504</v>
      </c>
      <c r="M122" s="143" t="s">
        <v>2504</v>
      </c>
      <c r="N122" s="143" t="s">
        <v>2504</v>
      </c>
      <c r="O122" s="143" t="s">
        <v>2504</v>
      </c>
      <c r="P122" s="143" t="s">
        <v>2504</v>
      </c>
      <c r="Q122" s="148" t="s">
        <v>1821</v>
      </c>
      <c r="R122" s="148" t="s">
        <v>1025</v>
      </c>
      <c r="S122" s="148" t="s">
        <v>1212</v>
      </c>
      <c r="T122" s="149">
        <v>200</v>
      </c>
      <c r="U122" s="148" t="s">
        <v>591</v>
      </c>
      <c r="V122" s="150">
        <v>21387.17</v>
      </c>
      <c r="W122" s="151">
        <f>V122*1000</f>
        <v>21387170</v>
      </c>
    </row>
    <row r="123" spans="1:23" ht="15" customHeight="1" x14ac:dyDescent="0.25">
      <c r="A123" s="148">
        <v>10745</v>
      </c>
      <c r="B123" s="148" t="s">
        <v>1822</v>
      </c>
      <c r="C123" s="143" t="s">
        <v>2504</v>
      </c>
      <c r="D123" s="143" t="s">
        <v>2504</v>
      </c>
      <c r="E123" s="143" t="s">
        <v>2504</v>
      </c>
      <c r="F123" s="143" t="s">
        <v>2504</v>
      </c>
      <c r="G123" s="143" t="s">
        <v>2504</v>
      </c>
      <c r="H123" s="143" t="s">
        <v>2504</v>
      </c>
      <c r="I123" s="143" t="s">
        <v>2504</v>
      </c>
      <c r="J123" s="143" t="s">
        <v>2504</v>
      </c>
      <c r="K123" s="143" t="s">
        <v>2504</v>
      </c>
      <c r="L123" s="143" t="s">
        <v>2504</v>
      </c>
      <c r="M123" s="143" t="s">
        <v>2504</v>
      </c>
      <c r="N123" s="143" t="s">
        <v>2504</v>
      </c>
      <c r="O123" s="143" t="s">
        <v>2504</v>
      </c>
      <c r="P123" s="143" t="s">
        <v>2504</v>
      </c>
      <c r="Q123" s="148" t="s">
        <v>1823</v>
      </c>
      <c r="R123" s="148" t="s">
        <v>1025</v>
      </c>
      <c r="S123" s="148" t="s">
        <v>1212</v>
      </c>
      <c r="T123" s="149">
        <v>200</v>
      </c>
      <c r="U123" s="148" t="s">
        <v>591</v>
      </c>
      <c r="V123" s="150">
        <v>22751.54</v>
      </c>
      <c r="W123" s="151">
        <v>4136.51</v>
      </c>
    </row>
    <row r="124" spans="1:23" ht="15" customHeight="1" x14ac:dyDescent="0.25">
      <c r="A124" s="148">
        <v>10749</v>
      </c>
      <c r="B124" s="148" t="s">
        <v>1824</v>
      </c>
      <c r="C124" s="143" t="s">
        <v>2504</v>
      </c>
      <c r="D124" s="143" t="s">
        <v>2504</v>
      </c>
      <c r="E124" s="143" t="s">
        <v>2504</v>
      </c>
      <c r="F124" s="143" t="s">
        <v>2504</v>
      </c>
      <c r="G124" s="143" t="s">
        <v>2504</v>
      </c>
      <c r="H124" s="143" t="s">
        <v>2504</v>
      </c>
      <c r="I124" s="143" t="s">
        <v>2504</v>
      </c>
      <c r="J124" s="143" t="s">
        <v>2504</v>
      </c>
      <c r="K124" s="143" t="s">
        <v>2504</v>
      </c>
      <c r="L124" s="143" t="s">
        <v>2504</v>
      </c>
      <c r="M124" s="143" t="s">
        <v>2504</v>
      </c>
      <c r="N124" s="143" t="s">
        <v>2504</v>
      </c>
      <c r="O124" s="143" t="s">
        <v>2504</v>
      </c>
      <c r="P124" s="143" t="s">
        <v>2504</v>
      </c>
      <c r="Q124" s="148" t="s">
        <v>1825</v>
      </c>
      <c r="R124" s="148" t="s">
        <v>1025</v>
      </c>
      <c r="S124" s="148" t="s">
        <v>1212</v>
      </c>
      <c r="T124" s="149">
        <v>200</v>
      </c>
      <c r="U124" s="148" t="s">
        <v>591</v>
      </c>
      <c r="V124" s="150">
        <v>23546.38</v>
      </c>
      <c r="W124" s="151">
        <v>43642.54</v>
      </c>
    </row>
    <row r="125" spans="1:23" ht="15" customHeight="1" x14ac:dyDescent="0.25">
      <c r="A125" s="148">
        <v>10751</v>
      </c>
      <c r="B125" s="148" t="s">
        <v>1826</v>
      </c>
      <c r="C125" s="143" t="s">
        <v>2504</v>
      </c>
      <c r="D125" s="143" t="s">
        <v>2504</v>
      </c>
      <c r="E125" s="143" t="s">
        <v>2504</v>
      </c>
      <c r="F125" s="143" t="s">
        <v>2504</v>
      </c>
      <c r="G125" s="143" t="s">
        <v>2504</v>
      </c>
      <c r="H125" s="143" t="s">
        <v>2504</v>
      </c>
      <c r="I125" s="143" t="s">
        <v>2504</v>
      </c>
      <c r="J125" s="143" t="s">
        <v>2504</v>
      </c>
      <c r="K125" s="143" t="s">
        <v>2504</v>
      </c>
      <c r="L125" s="143" t="s">
        <v>2504</v>
      </c>
      <c r="M125" s="143" t="s">
        <v>2504</v>
      </c>
      <c r="N125" s="143" t="s">
        <v>2504</v>
      </c>
      <c r="O125" s="143" t="s">
        <v>2504</v>
      </c>
      <c r="P125" s="143" t="s">
        <v>2504</v>
      </c>
      <c r="Q125" s="148" t="s">
        <v>1827</v>
      </c>
      <c r="R125" s="148" t="s">
        <v>1025</v>
      </c>
      <c r="S125" s="148" t="s">
        <v>1212</v>
      </c>
      <c r="T125" s="149">
        <v>200</v>
      </c>
      <c r="U125" s="148" t="s">
        <v>591</v>
      </c>
      <c r="V125" s="150">
        <v>19367.46</v>
      </c>
      <c r="W125" s="151">
        <f>V125*1000</f>
        <v>19367460</v>
      </c>
    </row>
    <row r="126" spans="1:23" ht="15" customHeight="1" x14ac:dyDescent="0.25">
      <c r="A126" s="148">
        <v>10752</v>
      </c>
      <c r="B126" s="148" t="s">
        <v>1828</v>
      </c>
      <c r="C126" s="143" t="s">
        <v>2504</v>
      </c>
      <c r="D126" s="143" t="s">
        <v>2504</v>
      </c>
      <c r="E126" s="143" t="s">
        <v>2504</v>
      </c>
      <c r="F126" s="143" t="s">
        <v>2504</v>
      </c>
      <c r="G126" s="143" t="s">
        <v>2504</v>
      </c>
      <c r="H126" s="143" t="s">
        <v>2504</v>
      </c>
      <c r="I126" s="143" t="s">
        <v>2504</v>
      </c>
      <c r="J126" s="143" t="s">
        <v>2504</v>
      </c>
      <c r="K126" s="143" t="s">
        <v>2504</v>
      </c>
      <c r="L126" s="143" t="s">
        <v>2504</v>
      </c>
      <c r="M126" s="143" t="s">
        <v>2504</v>
      </c>
      <c r="N126" s="143" t="s">
        <v>2504</v>
      </c>
      <c r="O126" s="143" t="s">
        <v>2504</v>
      </c>
      <c r="P126" s="143" t="s">
        <v>2504</v>
      </c>
      <c r="Q126" s="148" t="s">
        <v>1829</v>
      </c>
      <c r="R126" s="148" t="s">
        <v>1025</v>
      </c>
      <c r="S126" s="148" t="s">
        <v>1212</v>
      </c>
      <c r="T126" s="149">
        <v>200</v>
      </c>
      <c r="U126" s="148" t="s">
        <v>591</v>
      </c>
      <c r="V126" s="150">
        <v>25071.37</v>
      </c>
      <c r="W126" s="151">
        <v>3926.95</v>
      </c>
    </row>
    <row r="127" spans="1:23" ht="15" customHeight="1" x14ac:dyDescent="0.25">
      <c r="A127" s="148">
        <v>10753</v>
      </c>
      <c r="B127" s="148" t="s">
        <v>1830</v>
      </c>
      <c r="C127" s="143" t="s">
        <v>2504</v>
      </c>
      <c r="D127" s="143" t="s">
        <v>2504</v>
      </c>
      <c r="E127" s="143" t="s">
        <v>2504</v>
      </c>
      <c r="F127" s="143" t="s">
        <v>2504</v>
      </c>
      <c r="G127" s="143" t="s">
        <v>2504</v>
      </c>
      <c r="H127" s="143" t="s">
        <v>2504</v>
      </c>
      <c r="I127" s="143" t="s">
        <v>2504</v>
      </c>
      <c r="J127" s="143" t="s">
        <v>2504</v>
      </c>
      <c r="K127" s="143" t="s">
        <v>2504</v>
      </c>
      <c r="L127" s="143" t="s">
        <v>2504</v>
      </c>
      <c r="M127" s="143" t="s">
        <v>2504</v>
      </c>
      <c r="N127" s="143" t="s">
        <v>2504</v>
      </c>
      <c r="O127" s="143" t="s">
        <v>2504</v>
      </c>
      <c r="P127" s="143" t="s">
        <v>2504</v>
      </c>
      <c r="Q127" s="148" t="s">
        <v>1831</v>
      </c>
      <c r="R127" s="148" t="s">
        <v>1025</v>
      </c>
      <c r="S127" s="148" t="s">
        <v>1212</v>
      </c>
      <c r="T127" s="149">
        <v>200</v>
      </c>
      <c r="U127" s="148" t="s">
        <v>591</v>
      </c>
      <c r="V127" s="150">
        <v>21696.82</v>
      </c>
      <c r="W127" s="151">
        <v>41239.230000000003</v>
      </c>
    </row>
    <row r="128" spans="1:23" ht="15" customHeight="1" x14ac:dyDescent="0.25">
      <c r="A128" s="148">
        <v>10754</v>
      </c>
      <c r="B128" s="148" t="s">
        <v>1832</v>
      </c>
      <c r="C128" s="143" t="s">
        <v>2504</v>
      </c>
      <c r="D128" s="143" t="s">
        <v>2504</v>
      </c>
      <c r="E128" s="143" t="s">
        <v>2504</v>
      </c>
      <c r="F128" s="143" t="s">
        <v>2504</v>
      </c>
      <c r="G128" s="143" t="s">
        <v>2504</v>
      </c>
      <c r="H128" s="143" t="s">
        <v>2504</v>
      </c>
      <c r="I128" s="143" t="s">
        <v>2504</v>
      </c>
      <c r="J128" s="143" t="s">
        <v>2504</v>
      </c>
      <c r="K128" s="143" t="s">
        <v>2504</v>
      </c>
      <c r="L128" s="143" t="s">
        <v>2504</v>
      </c>
      <c r="M128" s="143" t="s">
        <v>2504</v>
      </c>
      <c r="N128" s="143" t="s">
        <v>2504</v>
      </c>
      <c r="O128" s="143" t="s">
        <v>2504</v>
      </c>
      <c r="P128" s="143" t="s">
        <v>2504</v>
      </c>
      <c r="Q128" s="148" t="s">
        <v>1833</v>
      </c>
      <c r="R128" s="148" t="s">
        <v>1025</v>
      </c>
      <c r="S128" s="148" t="s">
        <v>1212</v>
      </c>
      <c r="T128" s="149">
        <v>200</v>
      </c>
      <c r="U128" s="148" t="s">
        <v>591</v>
      </c>
      <c r="V128" s="150">
        <v>22028.84</v>
      </c>
      <c r="W128" s="151">
        <v>769.39</v>
      </c>
    </row>
    <row r="129" spans="1:23" ht="15" customHeight="1" x14ac:dyDescent="0.25">
      <c r="A129" s="148">
        <v>10755</v>
      </c>
      <c r="B129" s="148" t="s">
        <v>1834</v>
      </c>
      <c r="C129" s="143" t="s">
        <v>2504</v>
      </c>
      <c r="D129" s="143" t="s">
        <v>2504</v>
      </c>
      <c r="E129" s="143" t="s">
        <v>2504</v>
      </c>
      <c r="F129" s="143" t="s">
        <v>2504</v>
      </c>
      <c r="G129" s="143" t="s">
        <v>2504</v>
      </c>
      <c r="H129" s="143" t="s">
        <v>2504</v>
      </c>
      <c r="I129" s="143" t="s">
        <v>2504</v>
      </c>
      <c r="J129" s="143" t="s">
        <v>2504</v>
      </c>
      <c r="K129" s="143" t="s">
        <v>2504</v>
      </c>
      <c r="L129" s="143" t="s">
        <v>2504</v>
      </c>
      <c r="M129" s="143" t="s">
        <v>2504</v>
      </c>
      <c r="N129" s="143" t="s">
        <v>2504</v>
      </c>
      <c r="O129" s="143" t="s">
        <v>2504</v>
      </c>
      <c r="P129" s="143" t="s">
        <v>2504</v>
      </c>
      <c r="Q129" s="148" t="s">
        <v>1835</v>
      </c>
      <c r="R129" s="148" t="s">
        <v>1025</v>
      </c>
      <c r="S129" s="148" t="s">
        <v>1212</v>
      </c>
      <c r="T129" s="149">
        <v>200</v>
      </c>
      <c r="U129" s="148" t="s">
        <v>591</v>
      </c>
      <c r="V129" s="150">
        <v>21873.54</v>
      </c>
      <c r="W129" s="151">
        <v>791.5</v>
      </c>
    </row>
    <row r="130" spans="1:23" ht="15" customHeight="1" x14ac:dyDescent="0.25">
      <c r="A130" s="148">
        <v>10757</v>
      </c>
      <c r="B130" s="148" t="s">
        <v>1836</v>
      </c>
      <c r="C130" s="143" t="s">
        <v>2504</v>
      </c>
      <c r="D130" s="143" t="s">
        <v>2504</v>
      </c>
      <c r="E130" s="143" t="s">
        <v>2504</v>
      </c>
      <c r="F130" s="143" t="s">
        <v>2504</v>
      </c>
      <c r="G130" s="143" t="s">
        <v>2504</v>
      </c>
      <c r="H130" s="143" t="s">
        <v>2504</v>
      </c>
      <c r="I130" s="143" t="s">
        <v>2504</v>
      </c>
      <c r="J130" s="143" t="s">
        <v>2504</v>
      </c>
      <c r="K130" s="143" t="s">
        <v>2504</v>
      </c>
      <c r="L130" s="143" t="s">
        <v>2504</v>
      </c>
      <c r="M130" s="143" t="s">
        <v>2504</v>
      </c>
      <c r="N130" s="143" t="s">
        <v>2504</v>
      </c>
      <c r="O130" s="143" t="s">
        <v>2504</v>
      </c>
      <c r="P130" s="143" t="s">
        <v>2504</v>
      </c>
      <c r="Q130" s="148" t="s">
        <v>1837</v>
      </c>
      <c r="R130" s="148" t="s">
        <v>1025</v>
      </c>
      <c r="S130" s="148" t="s">
        <v>1212</v>
      </c>
      <c r="T130" s="149">
        <v>200</v>
      </c>
      <c r="U130" s="148" t="s">
        <v>591</v>
      </c>
      <c r="V130" s="150">
        <v>22211.74</v>
      </c>
      <c r="W130" s="151">
        <v>1022.17</v>
      </c>
    </row>
    <row r="131" spans="1:23" ht="15" customHeight="1" x14ac:dyDescent="0.25">
      <c r="A131" s="148">
        <v>10758</v>
      </c>
      <c r="B131" s="148" t="s">
        <v>1838</v>
      </c>
      <c r="C131" s="143" t="s">
        <v>2504</v>
      </c>
      <c r="D131" s="143" t="s">
        <v>2504</v>
      </c>
      <c r="E131" s="143" t="s">
        <v>2504</v>
      </c>
      <c r="F131" s="143" t="s">
        <v>2504</v>
      </c>
      <c r="G131" s="143" t="s">
        <v>2504</v>
      </c>
      <c r="H131" s="143" t="s">
        <v>2504</v>
      </c>
      <c r="I131" s="143" t="s">
        <v>2504</v>
      </c>
      <c r="J131" s="143" t="s">
        <v>2504</v>
      </c>
      <c r="K131" s="143" t="s">
        <v>2504</v>
      </c>
      <c r="L131" s="143" t="s">
        <v>2504</v>
      </c>
      <c r="M131" s="143" t="s">
        <v>2504</v>
      </c>
      <c r="N131" s="143" t="s">
        <v>2504</v>
      </c>
      <c r="O131" s="143" t="s">
        <v>2504</v>
      </c>
      <c r="P131" s="143" t="s">
        <v>2504</v>
      </c>
      <c r="Q131" s="148" t="s">
        <v>1839</v>
      </c>
      <c r="R131" s="148" t="s">
        <v>1025</v>
      </c>
      <c r="S131" s="148" t="s">
        <v>1212</v>
      </c>
      <c r="T131" s="149">
        <v>200</v>
      </c>
      <c r="U131" s="148" t="s">
        <v>591</v>
      </c>
      <c r="V131" s="150">
        <v>22476.49</v>
      </c>
      <c r="W131" s="151">
        <f>V131*4</f>
        <v>89905.96</v>
      </c>
    </row>
    <row r="132" spans="1:23" ht="15" customHeight="1" x14ac:dyDescent="0.25">
      <c r="A132" s="148">
        <v>10762</v>
      </c>
      <c r="B132" s="148" t="s">
        <v>1840</v>
      </c>
      <c r="C132" s="143" t="s">
        <v>2504</v>
      </c>
      <c r="D132" s="143" t="s">
        <v>2504</v>
      </c>
      <c r="E132" s="143" t="s">
        <v>2504</v>
      </c>
      <c r="F132" s="143" t="s">
        <v>2504</v>
      </c>
      <c r="G132" s="143" t="s">
        <v>2504</v>
      </c>
      <c r="H132" s="143" t="s">
        <v>2504</v>
      </c>
      <c r="I132" s="143" t="s">
        <v>2504</v>
      </c>
      <c r="J132" s="143" t="s">
        <v>2504</v>
      </c>
      <c r="K132" s="143" t="s">
        <v>2504</v>
      </c>
      <c r="L132" s="143" t="s">
        <v>2504</v>
      </c>
      <c r="M132" s="143" t="s">
        <v>2504</v>
      </c>
      <c r="N132" s="143" t="s">
        <v>2504</v>
      </c>
      <c r="O132" s="143" t="s">
        <v>2504</v>
      </c>
      <c r="P132" s="143" t="s">
        <v>2504</v>
      </c>
      <c r="Q132" s="148" t="s">
        <v>1841</v>
      </c>
      <c r="R132" s="148" t="s">
        <v>1025</v>
      </c>
      <c r="S132" s="148" t="s">
        <v>1548</v>
      </c>
      <c r="T132" s="149">
        <v>200</v>
      </c>
      <c r="U132" s="148" t="s">
        <v>591</v>
      </c>
      <c r="V132" s="150">
        <v>30279.919999999998</v>
      </c>
      <c r="W132" s="151">
        <v>18085.96</v>
      </c>
    </row>
    <row r="133" spans="1:23" ht="15" customHeight="1" x14ac:dyDescent="0.25">
      <c r="A133" s="148">
        <v>10763</v>
      </c>
      <c r="B133" s="148" t="s">
        <v>1842</v>
      </c>
      <c r="C133" s="143" t="s">
        <v>2504</v>
      </c>
      <c r="D133" s="143" t="s">
        <v>2504</v>
      </c>
      <c r="E133" s="143" t="s">
        <v>2504</v>
      </c>
      <c r="F133" s="143" t="s">
        <v>2504</v>
      </c>
      <c r="G133" s="143" t="s">
        <v>2504</v>
      </c>
      <c r="H133" s="143" t="s">
        <v>2504</v>
      </c>
      <c r="I133" s="143" t="s">
        <v>2504</v>
      </c>
      <c r="J133" s="143" t="s">
        <v>2504</v>
      </c>
      <c r="K133" s="143" t="s">
        <v>2504</v>
      </c>
      <c r="L133" s="143" t="s">
        <v>2504</v>
      </c>
      <c r="M133" s="143" t="s">
        <v>2504</v>
      </c>
      <c r="N133" s="143" t="s">
        <v>2504</v>
      </c>
      <c r="O133" s="143" t="s">
        <v>2504</v>
      </c>
      <c r="P133" s="143" t="s">
        <v>2504</v>
      </c>
      <c r="Q133" s="148" t="s">
        <v>1843</v>
      </c>
      <c r="R133" s="148" t="s">
        <v>1025</v>
      </c>
      <c r="S133" s="148" t="s">
        <v>1548</v>
      </c>
      <c r="T133" s="149">
        <v>200</v>
      </c>
      <c r="U133" s="148" t="s">
        <v>591</v>
      </c>
      <c r="V133" s="150">
        <v>31665.59</v>
      </c>
      <c r="W133" s="151">
        <f>V133*1000</f>
        <v>31665590</v>
      </c>
    </row>
    <row r="134" spans="1:23" ht="15" customHeight="1" x14ac:dyDescent="0.25">
      <c r="A134" s="148">
        <v>10764</v>
      </c>
      <c r="B134" s="148" t="s">
        <v>1844</v>
      </c>
      <c r="C134" s="143" t="s">
        <v>2504</v>
      </c>
      <c r="D134" s="143" t="s">
        <v>2504</v>
      </c>
      <c r="E134" s="143" t="s">
        <v>2504</v>
      </c>
      <c r="F134" s="143" t="s">
        <v>2504</v>
      </c>
      <c r="G134" s="143" t="s">
        <v>2504</v>
      </c>
      <c r="H134" s="143" t="s">
        <v>2504</v>
      </c>
      <c r="I134" s="143" t="s">
        <v>2504</v>
      </c>
      <c r="J134" s="143" t="s">
        <v>2504</v>
      </c>
      <c r="K134" s="143" t="s">
        <v>2504</v>
      </c>
      <c r="L134" s="143" t="s">
        <v>2504</v>
      </c>
      <c r="M134" s="143" t="s">
        <v>2504</v>
      </c>
      <c r="N134" s="143" t="s">
        <v>2504</v>
      </c>
      <c r="O134" s="143" t="s">
        <v>2504</v>
      </c>
      <c r="P134" s="143" t="s">
        <v>2504</v>
      </c>
      <c r="Q134" s="148" t="s">
        <v>1845</v>
      </c>
      <c r="R134" s="148" t="s">
        <v>1025</v>
      </c>
      <c r="S134" s="148" t="s">
        <v>1548</v>
      </c>
      <c r="T134" s="149">
        <v>200</v>
      </c>
      <c r="U134" s="148" t="s">
        <v>591</v>
      </c>
      <c r="V134" s="150">
        <v>34781.9</v>
      </c>
      <c r="W134" s="151">
        <v>18786.150000000001</v>
      </c>
    </row>
    <row r="135" spans="1:23" ht="15" customHeight="1" x14ac:dyDescent="0.25">
      <c r="A135" s="148">
        <v>10766</v>
      </c>
      <c r="B135" s="148" t="s">
        <v>1846</v>
      </c>
      <c r="C135" s="143" t="s">
        <v>2504</v>
      </c>
      <c r="D135" s="143" t="s">
        <v>2504</v>
      </c>
      <c r="E135" s="143" t="s">
        <v>2504</v>
      </c>
      <c r="F135" s="143" t="s">
        <v>2504</v>
      </c>
      <c r="G135" s="143" t="s">
        <v>2504</v>
      </c>
      <c r="H135" s="143" t="s">
        <v>2504</v>
      </c>
      <c r="I135" s="143" t="s">
        <v>2504</v>
      </c>
      <c r="J135" s="143" t="s">
        <v>2504</v>
      </c>
      <c r="K135" s="143" t="s">
        <v>2504</v>
      </c>
      <c r="L135" s="143" t="s">
        <v>2504</v>
      </c>
      <c r="M135" s="143" t="s">
        <v>2504</v>
      </c>
      <c r="N135" s="143" t="s">
        <v>2504</v>
      </c>
      <c r="O135" s="143" t="s">
        <v>2504</v>
      </c>
      <c r="P135" s="143" t="s">
        <v>2504</v>
      </c>
      <c r="Q135" s="148" t="s">
        <v>1847</v>
      </c>
      <c r="R135" s="148" t="s">
        <v>1025</v>
      </c>
      <c r="S135" s="148" t="s">
        <v>1548</v>
      </c>
      <c r="T135" s="149">
        <v>200</v>
      </c>
      <c r="U135" s="148" t="s">
        <v>591</v>
      </c>
      <c r="V135" s="150">
        <v>39581.279999999999</v>
      </c>
      <c r="W135" s="151">
        <v>25205.42</v>
      </c>
    </row>
    <row r="136" spans="1:23" ht="15" customHeight="1" x14ac:dyDescent="0.25">
      <c r="A136" s="148">
        <v>10768</v>
      </c>
      <c r="B136" s="148" t="s">
        <v>1848</v>
      </c>
      <c r="C136" s="143" t="s">
        <v>2504</v>
      </c>
      <c r="D136" s="143" t="s">
        <v>2504</v>
      </c>
      <c r="E136" s="143" t="s">
        <v>2504</v>
      </c>
      <c r="F136" s="143" t="s">
        <v>2504</v>
      </c>
      <c r="G136" s="143" t="s">
        <v>2504</v>
      </c>
      <c r="H136" s="143" t="s">
        <v>2504</v>
      </c>
      <c r="I136" s="143" t="s">
        <v>2504</v>
      </c>
      <c r="J136" s="143" t="s">
        <v>2504</v>
      </c>
      <c r="K136" s="143" t="s">
        <v>2504</v>
      </c>
      <c r="L136" s="143" t="s">
        <v>2504</v>
      </c>
      <c r="M136" s="143" t="s">
        <v>2504</v>
      </c>
      <c r="N136" s="143" t="s">
        <v>2504</v>
      </c>
      <c r="O136" s="143" t="s">
        <v>2504</v>
      </c>
      <c r="P136" s="143" t="s">
        <v>2504</v>
      </c>
      <c r="Q136" s="148" t="s">
        <v>1849</v>
      </c>
      <c r="R136" s="148" t="s">
        <v>1025</v>
      </c>
      <c r="S136" s="148" t="s">
        <v>1227</v>
      </c>
      <c r="T136" s="149">
        <v>200</v>
      </c>
      <c r="U136" s="148" t="s">
        <v>591</v>
      </c>
      <c r="V136" s="150">
        <v>22696.720000000001</v>
      </c>
      <c r="W136" s="151">
        <v>890.25</v>
      </c>
    </row>
    <row r="137" spans="1:23" ht="15" customHeight="1" x14ac:dyDescent="0.25">
      <c r="A137" s="148">
        <v>11146</v>
      </c>
      <c r="B137" s="148" t="s">
        <v>2024</v>
      </c>
      <c r="C137" s="143" t="s">
        <v>2504</v>
      </c>
      <c r="D137" s="143" t="s">
        <v>2504</v>
      </c>
      <c r="E137" s="143" t="s">
        <v>2504</v>
      </c>
      <c r="F137" s="143" t="s">
        <v>2504</v>
      </c>
      <c r="G137" s="143" t="s">
        <v>2504</v>
      </c>
      <c r="H137" s="143" t="s">
        <v>2504</v>
      </c>
      <c r="I137" s="143" t="s">
        <v>2504</v>
      </c>
      <c r="J137" s="143" t="s">
        <v>2504</v>
      </c>
      <c r="K137" s="143" t="s">
        <v>2504</v>
      </c>
      <c r="L137" s="143" t="s">
        <v>2504</v>
      </c>
      <c r="M137" s="143" t="s">
        <v>2504</v>
      </c>
      <c r="N137" s="143" t="s">
        <v>2504</v>
      </c>
      <c r="O137" s="143" t="s">
        <v>2504</v>
      </c>
      <c r="P137" s="143" t="s">
        <v>2504</v>
      </c>
      <c r="Q137" s="148" t="s">
        <v>2025</v>
      </c>
      <c r="R137" s="148" t="s">
        <v>705</v>
      </c>
      <c r="S137" s="148" t="s">
        <v>2026</v>
      </c>
      <c r="T137" s="149">
        <v>170</v>
      </c>
      <c r="U137" s="148" t="s">
        <v>591</v>
      </c>
      <c r="V137" s="150">
        <v>41229.58</v>
      </c>
      <c r="W137" s="151">
        <v>3306.87</v>
      </c>
    </row>
    <row r="138" spans="1:23" ht="15" customHeight="1" x14ac:dyDescent="0.25">
      <c r="A138" s="148">
        <v>11345</v>
      </c>
      <c r="B138" s="148" t="s">
        <v>2027</v>
      </c>
      <c r="C138" s="143" t="s">
        <v>2504</v>
      </c>
      <c r="D138" s="143" t="s">
        <v>2504</v>
      </c>
      <c r="E138" s="143" t="s">
        <v>2504</v>
      </c>
      <c r="F138" s="143" t="s">
        <v>2504</v>
      </c>
      <c r="G138" s="143" t="s">
        <v>2504</v>
      </c>
      <c r="H138" s="143" t="s">
        <v>2504</v>
      </c>
      <c r="I138" s="143" t="s">
        <v>2504</v>
      </c>
      <c r="J138" s="143" t="s">
        <v>2504</v>
      </c>
      <c r="K138" s="143" t="s">
        <v>2504</v>
      </c>
      <c r="L138" s="143" t="s">
        <v>2504</v>
      </c>
      <c r="M138" s="143" t="s">
        <v>2504</v>
      </c>
      <c r="N138" s="143" t="s">
        <v>2504</v>
      </c>
      <c r="O138" s="143" t="s">
        <v>2504</v>
      </c>
      <c r="P138" s="143" t="s">
        <v>2504</v>
      </c>
      <c r="Q138" s="148" t="s">
        <v>2028</v>
      </c>
      <c r="R138" s="148" t="s">
        <v>600</v>
      </c>
      <c r="S138" s="148" t="s">
        <v>2029</v>
      </c>
      <c r="T138" s="149">
        <v>200</v>
      </c>
      <c r="U138" s="148" t="s">
        <v>591</v>
      </c>
      <c r="V138" s="150">
        <v>9660.76</v>
      </c>
      <c r="W138" s="151">
        <v>19381.71</v>
      </c>
    </row>
    <row r="139" spans="1:23" ht="15" customHeight="1" x14ac:dyDescent="0.25">
      <c r="A139" s="148">
        <v>11346</v>
      </c>
      <c r="B139" s="148" t="s">
        <v>2030</v>
      </c>
      <c r="C139" s="143" t="s">
        <v>2504</v>
      </c>
      <c r="D139" s="143" t="s">
        <v>2504</v>
      </c>
      <c r="E139" s="143" t="s">
        <v>2504</v>
      </c>
      <c r="F139" s="143" t="s">
        <v>2504</v>
      </c>
      <c r="G139" s="143" t="s">
        <v>2504</v>
      </c>
      <c r="H139" s="143" t="s">
        <v>2504</v>
      </c>
      <c r="I139" s="143" t="s">
        <v>2504</v>
      </c>
      <c r="J139" s="143" t="s">
        <v>2504</v>
      </c>
      <c r="K139" s="143" t="s">
        <v>2504</v>
      </c>
      <c r="L139" s="143" t="s">
        <v>2504</v>
      </c>
      <c r="M139" s="143" t="s">
        <v>2504</v>
      </c>
      <c r="N139" s="143" t="s">
        <v>2504</v>
      </c>
      <c r="O139" s="143" t="s">
        <v>2504</v>
      </c>
      <c r="P139" s="143" t="s">
        <v>2504</v>
      </c>
      <c r="Q139" s="148" t="s">
        <v>2031</v>
      </c>
      <c r="R139" s="148" t="s">
        <v>2032</v>
      </c>
      <c r="S139" s="148" t="s">
        <v>2033</v>
      </c>
      <c r="T139" s="149">
        <v>200</v>
      </c>
      <c r="U139" s="148" t="s">
        <v>591</v>
      </c>
      <c r="V139" s="150">
        <v>12793.34</v>
      </c>
      <c r="W139" s="151">
        <f>V139*4</f>
        <v>51173.36</v>
      </c>
    </row>
    <row r="140" spans="1:23" ht="15" customHeight="1" x14ac:dyDescent="0.25">
      <c r="A140" s="148">
        <v>16010</v>
      </c>
      <c r="B140" s="148" t="s">
        <v>2047</v>
      </c>
      <c r="C140" s="143" t="s">
        <v>2504</v>
      </c>
      <c r="D140" s="143" t="s">
        <v>2504</v>
      </c>
      <c r="E140" s="143" t="s">
        <v>2504</v>
      </c>
      <c r="F140" s="143" t="s">
        <v>2504</v>
      </c>
      <c r="G140" s="143" t="s">
        <v>2504</v>
      </c>
      <c r="H140" s="143" t="s">
        <v>2504</v>
      </c>
      <c r="I140" s="143" t="s">
        <v>2504</v>
      </c>
      <c r="J140" s="143" t="s">
        <v>2504</v>
      </c>
      <c r="K140" s="143" t="s">
        <v>2504</v>
      </c>
      <c r="L140" s="143" t="s">
        <v>2504</v>
      </c>
      <c r="M140" s="143" t="s">
        <v>2504</v>
      </c>
      <c r="N140" s="143" t="s">
        <v>2504</v>
      </c>
      <c r="O140" s="143" t="s">
        <v>2504</v>
      </c>
      <c r="P140" s="143" t="s">
        <v>2504</v>
      </c>
      <c r="Q140" s="148" t="s">
        <v>2048</v>
      </c>
      <c r="R140" s="148" t="s">
        <v>594</v>
      </c>
      <c r="S140" s="148" t="s">
        <v>595</v>
      </c>
      <c r="T140" s="149">
        <v>1</v>
      </c>
      <c r="U140" s="148" t="s">
        <v>591</v>
      </c>
      <c r="V140" s="150">
        <v>99.33</v>
      </c>
      <c r="W140" s="151">
        <f>V140*16</f>
        <v>1589.28</v>
      </c>
    </row>
    <row r="141" spans="1:23" ht="15" customHeight="1" x14ac:dyDescent="0.25">
      <c r="A141" s="148">
        <v>16016</v>
      </c>
      <c r="B141" s="148" t="s">
        <v>2055</v>
      </c>
      <c r="C141" s="143" t="s">
        <v>2504</v>
      </c>
      <c r="D141" s="143" t="s">
        <v>2504</v>
      </c>
      <c r="E141" s="143" t="s">
        <v>2504</v>
      </c>
      <c r="F141" s="143" t="s">
        <v>2504</v>
      </c>
      <c r="G141" s="143" t="s">
        <v>2504</v>
      </c>
      <c r="H141" s="143" t="s">
        <v>2504</v>
      </c>
      <c r="I141" s="143" t="s">
        <v>2504</v>
      </c>
      <c r="J141" s="143" t="s">
        <v>2504</v>
      </c>
      <c r="K141" s="143" t="s">
        <v>2504</v>
      </c>
      <c r="L141" s="143" t="s">
        <v>2504</v>
      </c>
      <c r="M141" s="143" t="s">
        <v>2504</v>
      </c>
      <c r="N141" s="143" t="s">
        <v>2504</v>
      </c>
      <c r="O141" s="143" t="s">
        <v>2504</v>
      </c>
      <c r="P141" s="143" t="s">
        <v>2504</v>
      </c>
      <c r="Q141" s="148" t="s">
        <v>2056</v>
      </c>
      <c r="R141" s="148" t="s">
        <v>594</v>
      </c>
      <c r="S141" s="148" t="s">
        <v>604</v>
      </c>
      <c r="T141" s="149">
        <v>1</v>
      </c>
      <c r="U141" s="148" t="s">
        <v>591</v>
      </c>
      <c r="V141" s="150">
        <v>101.58</v>
      </c>
      <c r="W141" s="151">
        <f>V141*16</f>
        <v>1625.28</v>
      </c>
    </row>
    <row r="142" spans="1:23" ht="15" customHeight="1" x14ac:dyDescent="0.25">
      <c r="A142" s="148">
        <v>16021</v>
      </c>
      <c r="B142" s="148" t="s">
        <v>2062</v>
      </c>
      <c r="C142" s="143" t="s">
        <v>2504</v>
      </c>
      <c r="D142" s="143" t="s">
        <v>2504</v>
      </c>
      <c r="E142" s="143" t="s">
        <v>2504</v>
      </c>
      <c r="F142" s="143" t="s">
        <v>2504</v>
      </c>
      <c r="G142" s="143" t="s">
        <v>2504</v>
      </c>
      <c r="H142" s="143" t="s">
        <v>2504</v>
      </c>
      <c r="I142" s="143" t="s">
        <v>2504</v>
      </c>
      <c r="J142" s="143" t="s">
        <v>2504</v>
      </c>
      <c r="K142" s="143" t="s">
        <v>2504</v>
      </c>
      <c r="L142" s="143" t="s">
        <v>2504</v>
      </c>
      <c r="M142" s="143" t="s">
        <v>2504</v>
      </c>
      <c r="N142" s="143" t="s">
        <v>2504</v>
      </c>
      <c r="O142" s="143" t="s">
        <v>2504</v>
      </c>
      <c r="P142" s="143" t="s">
        <v>2504</v>
      </c>
      <c r="Q142" s="148" t="s">
        <v>2063</v>
      </c>
      <c r="R142" s="148" t="s">
        <v>594</v>
      </c>
      <c r="S142" s="148" t="s">
        <v>604</v>
      </c>
      <c r="T142" s="149">
        <v>1</v>
      </c>
      <c r="U142" s="148" t="s">
        <v>591</v>
      </c>
      <c r="V142" s="150">
        <v>102.4</v>
      </c>
      <c r="W142" s="151">
        <f>V142*16</f>
        <v>1638.4</v>
      </c>
    </row>
    <row r="143" spans="1:23" ht="15" customHeight="1" x14ac:dyDescent="0.25">
      <c r="A143" s="148">
        <v>16027</v>
      </c>
      <c r="B143" s="148" t="s">
        <v>2069</v>
      </c>
      <c r="C143" s="143" t="s">
        <v>2504</v>
      </c>
      <c r="D143" s="143" t="s">
        <v>2504</v>
      </c>
      <c r="E143" s="143" t="s">
        <v>2504</v>
      </c>
      <c r="F143" s="143" t="s">
        <v>2504</v>
      </c>
      <c r="G143" s="143" t="s">
        <v>2504</v>
      </c>
      <c r="H143" s="143" t="s">
        <v>2504</v>
      </c>
      <c r="I143" s="143" t="s">
        <v>2504</v>
      </c>
      <c r="J143" s="143" t="s">
        <v>2504</v>
      </c>
      <c r="K143" s="143" t="s">
        <v>2504</v>
      </c>
      <c r="L143" s="143" t="s">
        <v>2504</v>
      </c>
      <c r="M143" s="143" t="s">
        <v>2504</v>
      </c>
      <c r="N143" s="143" t="s">
        <v>2504</v>
      </c>
      <c r="O143" s="143" t="s">
        <v>2504</v>
      </c>
      <c r="P143" s="143" t="s">
        <v>2504</v>
      </c>
      <c r="Q143" s="148" t="s">
        <v>2070</v>
      </c>
      <c r="R143" s="148" t="s">
        <v>589</v>
      </c>
      <c r="S143" s="148" t="s">
        <v>2071</v>
      </c>
      <c r="T143" s="149">
        <v>1</v>
      </c>
      <c r="U143" s="148" t="s">
        <v>591</v>
      </c>
      <c r="V143" s="150">
        <v>83.48</v>
      </c>
      <c r="W143" s="151">
        <v>1722.58</v>
      </c>
    </row>
    <row r="144" spans="1:23" ht="15" customHeight="1" x14ac:dyDescent="0.25">
      <c r="A144" s="148">
        <v>16030</v>
      </c>
      <c r="B144" s="148" t="s">
        <v>2075</v>
      </c>
      <c r="C144" s="143" t="s">
        <v>2504</v>
      </c>
      <c r="D144" s="143" t="s">
        <v>2504</v>
      </c>
      <c r="E144" s="143" t="s">
        <v>2504</v>
      </c>
      <c r="F144" s="143" t="s">
        <v>2504</v>
      </c>
      <c r="G144" s="143" t="s">
        <v>2504</v>
      </c>
      <c r="H144" s="143" t="s">
        <v>2504</v>
      </c>
      <c r="I144" s="143" t="s">
        <v>2504</v>
      </c>
      <c r="J144" s="143" t="s">
        <v>2504</v>
      </c>
      <c r="K144" s="143" t="s">
        <v>2504</v>
      </c>
      <c r="L144" s="143" t="s">
        <v>2504</v>
      </c>
      <c r="M144" s="143" t="s">
        <v>2504</v>
      </c>
      <c r="N144" s="143" t="s">
        <v>2504</v>
      </c>
      <c r="O144" s="143" t="s">
        <v>2504</v>
      </c>
      <c r="P144" s="143" t="s">
        <v>2504</v>
      </c>
      <c r="Q144" s="148" t="s">
        <v>2076</v>
      </c>
      <c r="R144" s="148" t="s">
        <v>589</v>
      </c>
      <c r="S144" s="148" t="s">
        <v>627</v>
      </c>
      <c r="T144" s="149">
        <v>1</v>
      </c>
      <c r="U144" s="148" t="s">
        <v>591</v>
      </c>
      <c r="V144" s="150">
        <v>63.66</v>
      </c>
      <c r="W144" s="151">
        <v>18236.47</v>
      </c>
    </row>
    <row r="145" spans="1:23" ht="15" customHeight="1" x14ac:dyDescent="0.25">
      <c r="A145" s="148">
        <v>16032</v>
      </c>
      <c r="B145" s="148" t="s">
        <v>2078</v>
      </c>
      <c r="C145" s="143" t="s">
        <v>2504</v>
      </c>
      <c r="D145" s="143" t="s">
        <v>2504</v>
      </c>
      <c r="E145" s="143" t="s">
        <v>2504</v>
      </c>
      <c r="F145" s="143" t="s">
        <v>2504</v>
      </c>
      <c r="G145" s="143" t="s">
        <v>2504</v>
      </c>
      <c r="H145" s="143" t="s">
        <v>2504</v>
      </c>
      <c r="I145" s="143" t="s">
        <v>2504</v>
      </c>
      <c r="J145" s="143" t="s">
        <v>2504</v>
      </c>
      <c r="K145" s="143" t="s">
        <v>2504</v>
      </c>
      <c r="L145" s="143" t="s">
        <v>2504</v>
      </c>
      <c r="M145" s="143" t="s">
        <v>2504</v>
      </c>
      <c r="N145" s="143" t="s">
        <v>2504</v>
      </c>
      <c r="O145" s="143" t="s">
        <v>2504</v>
      </c>
      <c r="P145" s="143" t="s">
        <v>2504</v>
      </c>
      <c r="Q145" s="148" t="s">
        <v>2079</v>
      </c>
      <c r="R145" s="148" t="s">
        <v>589</v>
      </c>
      <c r="S145" s="148" t="s">
        <v>627</v>
      </c>
      <c r="T145" s="149">
        <v>3.7850000000000001</v>
      </c>
      <c r="U145" s="148" t="s">
        <v>591</v>
      </c>
      <c r="V145" s="150">
        <v>286.97000000000003</v>
      </c>
      <c r="W145" s="151">
        <f>V145*15</f>
        <v>4304.55</v>
      </c>
    </row>
    <row r="146" spans="1:23" ht="15" customHeight="1" x14ac:dyDescent="0.25">
      <c r="A146" s="148">
        <v>16036</v>
      </c>
      <c r="B146" s="148" t="s">
        <v>2082</v>
      </c>
      <c r="C146" s="143" t="s">
        <v>2504</v>
      </c>
      <c r="D146" s="143" t="s">
        <v>2504</v>
      </c>
      <c r="E146" s="143" t="s">
        <v>2504</v>
      </c>
      <c r="F146" s="143" t="s">
        <v>2504</v>
      </c>
      <c r="G146" s="143" t="s">
        <v>2504</v>
      </c>
      <c r="H146" s="143" t="s">
        <v>2504</v>
      </c>
      <c r="I146" s="143" t="s">
        <v>2504</v>
      </c>
      <c r="J146" s="143" t="s">
        <v>2504</v>
      </c>
      <c r="K146" s="143" t="s">
        <v>2504</v>
      </c>
      <c r="L146" s="143" t="s">
        <v>2504</v>
      </c>
      <c r="M146" s="143" t="s">
        <v>2504</v>
      </c>
      <c r="N146" s="143" t="s">
        <v>2504</v>
      </c>
      <c r="O146" s="143" t="s">
        <v>2504</v>
      </c>
      <c r="P146" s="143" t="s">
        <v>2504</v>
      </c>
      <c r="Q146" s="148" t="s">
        <v>2083</v>
      </c>
      <c r="R146" s="148" t="s">
        <v>594</v>
      </c>
      <c r="S146" s="148" t="s">
        <v>2084</v>
      </c>
      <c r="T146" s="149">
        <v>0.95</v>
      </c>
      <c r="U146" s="148" t="s">
        <v>591</v>
      </c>
      <c r="V146" s="150">
        <v>136.80000000000001</v>
      </c>
      <c r="W146" s="151">
        <v>32296.43</v>
      </c>
    </row>
    <row r="147" spans="1:23" ht="15" customHeight="1" x14ac:dyDescent="0.25">
      <c r="A147" s="148">
        <v>16040</v>
      </c>
      <c r="B147" s="148" t="s">
        <v>2089</v>
      </c>
      <c r="C147" s="143" t="s">
        <v>2504</v>
      </c>
      <c r="D147" s="143" t="s">
        <v>2504</v>
      </c>
      <c r="E147" s="143" t="s">
        <v>2504</v>
      </c>
      <c r="F147" s="143" t="s">
        <v>2504</v>
      </c>
      <c r="G147" s="143" t="s">
        <v>2504</v>
      </c>
      <c r="H147" s="143" t="s">
        <v>2504</v>
      </c>
      <c r="I147" s="143" t="s">
        <v>2504</v>
      </c>
      <c r="J147" s="143" t="s">
        <v>2504</v>
      </c>
      <c r="K147" s="143" t="s">
        <v>2504</v>
      </c>
      <c r="L147" s="143" t="s">
        <v>2504</v>
      </c>
      <c r="M147" s="143" t="s">
        <v>2504</v>
      </c>
      <c r="N147" s="143" t="s">
        <v>2504</v>
      </c>
      <c r="O147" s="143" t="s">
        <v>2504</v>
      </c>
      <c r="P147" s="143" t="s">
        <v>2504</v>
      </c>
      <c r="Q147" s="148" t="s">
        <v>2090</v>
      </c>
      <c r="R147" s="148" t="s">
        <v>594</v>
      </c>
      <c r="S147" s="148" t="s">
        <v>2091</v>
      </c>
      <c r="T147" s="149">
        <v>0.95</v>
      </c>
      <c r="U147" s="148" t="s">
        <v>591</v>
      </c>
      <c r="V147" s="150">
        <v>167.78</v>
      </c>
      <c r="W147" s="151">
        <f>V147*1000</f>
        <v>167780</v>
      </c>
    </row>
    <row r="148" spans="1:23" ht="15" customHeight="1" x14ac:dyDescent="0.25">
      <c r="A148" s="148">
        <v>16048</v>
      </c>
      <c r="B148" s="148" t="s">
        <v>2102</v>
      </c>
      <c r="C148" s="143" t="s">
        <v>2504</v>
      </c>
      <c r="D148" s="143" t="s">
        <v>2504</v>
      </c>
      <c r="E148" s="143" t="s">
        <v>2504</v>
      </c>
      <c r="F148" s="143" t="s">
        <v>2504</v>
      </c>
      <c r="G148" s="143" t="s">
        <v>2504</v>
      </c>
      <c r="H148" s="143" t="s">
        <v>2504</v>
      </c>
      <c r="I148" s="143" t="s">
        <v>2504</v>
      </c>
      <c r="J148" s="143" t="s">
        <v>2504</v>
      </c>
      <c r="K148" s="143" t="s">
        <v>2504</v>
      </c>
      <c r="L148" s="143" t="s">
        <v>2504</v>
      </c>
      <c r="M148" s="143" t="s">
        <v>2504</v>
      </c>
      <c r="N148" s="143" t="s">
        <v>2504</v>
      </c>
      <c r="O148" s="143" t="s">
        <v>2504</v>
      </c>
      <c r="P148" s="143" t="s">
        <v>2504</v>
      </c>
      <c r="Q148" s="148" t="s">
        <v>2103</v>
      </c>
      <c r="R148" s="148" t="s">
        <v>594</v>
      </c>
      <c r="S148" s="148" t="s">
        <v>643</v>
      </c>
      <c r="T148" s="149">
        <v>0.95</v>
      </c>
      <c r="U148" s="148" t="s">
        <v>591</v>
      </c>
      <c r="V148" s="150">
        <v>122.61</v>
      </c>
      <c r="W148" s="151">
        <f>V148*16</f>
        <v>1961.76</v>
      </c>
    </row>
    <row r="149" spans="1:23" ht="15" customHeight="1" x14ac:dyDescent="0.25">
      <c r="A149" s="148">
        <v>16051</v>
      </c>
      <c r="B149" s="148" t="s">
        <v>2108</v>
      </c>
      <c r="C149" s="143" t="s">
        <v>2504</v>
      </c>
      <c r="D149" s="143" t="s">
        <v>2504</v>
      </c>
      <c r="E149" s="143" t="s">
        <v>2504</v>
      </c>
      <c r="F149" s="143" t="s">
        <v>2504</v>
      </c>
      <c r="G149" s="143" t="s">
        <v>2504</v>
      </c>
      <c r="H149" s="143" t="s">
        <v>2504</v>
      </c>
      <c r="I149" s="143" t="s">
        <v>2504</v>
      </c>
      <c r="J149" s="143" t="s">
        <v>2504</v>
      </c>
      <c r="K149" s="143" t="s">
        <v>2504</v>
      </c>
      <c r="L149" s="143" t="s">
        <v>2504</v>
      </c>
      <c r="M149" s="143" t="s">
        <v>2504</v>
      </c>
      <c r="N149" s="143" t="s">
        <v>2504</v>
      </c>
      <c r="O149" s="143" t="s">
        <v>2504</v>
      </c>
      <c r="P149" s="143" t="s">
        <v>2504</v>
      </c>
      <c r="Q149" s="148" t="s">
        <v>2109</v>
      </c>
      <c r="R149" s="148" t="s">
        <v>594</v>
      </c>
      <c r="S149" s="148" t="s">
        <v>643</v>
      </c>
      <c r="T149" s="149">
        <v>200</v>
      </c>
      <c r="U149" s="148" t="s">
        <v>591</v>
      </c>
      <c r="V149" s="150">
        <v>25250.05</v>
      </c>
      <c r="W149" s="151">
        <f t="shared" ref="W149:W156" si="0">V149*4</f>
        <v>101000.2</v>
      </c>
    </row>
    <row r="150" spans="1:23" ht="15" customHeight="1" x14ac:dyDescent="0.25">
      <c r="A150" s="148">
        <v>16054</v>
      </c>
      <c r="B150" s="148" t="s">
        <v>2112</v>
      </c>
      <c r="C150" s="143" t="s">
        <v>2504</v>
      </c>
      <c r="D150" s="143" t="s">
        <v>2504</v>
      </c>
      <c r="E150" s="143" t="s">
        <v>2504</v>
      </c>
      <c r="F150" s="143" t="s">
        <v>2504</v>
      </c>
      <c r="G150" s="143" t="s">
        <v>2504</v>
      </c>
      <c r="H150" s="143" t="s">
        <v>2504</v>
      </c>
      <c r="I150" s="143" t="s">
        <v>2504</v>
      </c>
      <c r="J150" s="143" t="s">
        <v>2504</v>
      </c>
      <c r="K150" s="143" t="s">
        <v>2504</v>
      </c>
      <c r="L150" s="143" t="s">
        <v>2504</v>
      </c>
      <c r="M150" s="143" t="s">
        <v>2504</v>
      </c>
      <c r="N150" s="143" t="s">
        <v>2504</v>
      </c>
      <c r="O150" s="143" t="s">
        <v>2504</v>
      </c>
      <c r="P150" s="143" t="s">
        <v>2504</v>
      </c>
      <c r="Q150" s="148" t="s">
        <v>2113</v>
      </c>
      <c r="R150" s="148" t="s">
        <v>594</v>
      </c>
      <c r="S150" s="148" t="s">
        <v>643</v>
      </c>
      <c r="T150" s="149">
        <v>5</v>
      </c>
      <c r="U150" s="148" t="s">
        <v>591</v>
      </c>
      <c r="V150" s="150">
        <v>603.79</v>
      </c>
      <c r="W150" s="151">
        <f t="shared" si="0"/>
        <v>2415.16</v>
      </c>
    </row>
    <row r="151" spans="1:23" ht="15" customHeight="1" x14ac:dyDescent="0.25">
      <c r="A151" s="148">
        <v>16069</v>
      </c>
      <c r="B151" s="148" t="s">
        <v>2126</v>
      </c>
      <c r="C151" s="143" t="s">
        <v>2504</v>
      </c>
      <c r="D151" s="143" t="s">
        <v>2504</v>
      </c>
      <c r="E151" s="143" t="s">
        <v>2504</v>
      </c>
      <c r="F151" s="143" t="s">
        <v>2504</v>
      </c>
      <c r="G151" s="143" t="s">
        <v>2504</v>
      </c>
      <c r="H151" s="143" t="s">
        <v>2504</v>
      </c>
      <c r="I151" s="143" t="s">
        <v>2504</v>
      </c>
      <c r="J151" s="143" t="s">
        <v>2504</v>
      </c>
      <c r="K151" s="143" t="s">
        <v>2504</v>
      </c>
      <c r="L151" s="143" t="s">
        <v>2504</v>
      </c>
      <c r="M151" s="143" t="s">
        <v>2504</v>
      </c>
      <c r="N151" s="143" t="s">
        <v>2504</v>
      </c>
      <c r="O151" s="143" t="s">
        <v>2504</v>
      </c>
      <c r="P151" s="143" t="s">
        <v>2504</v>
      </c>
      <c r="Q151" s="148" t="s">
        <v>2127</v>
      </c>
      <c r="R151" s="148" t="s">
        <v>594</v>
      </c>
      <c r="S151" s="148" t="s">
        <v>2128</v>
      </c>
      <c r="T151" s="149">
        <v>5</v>
      </c>
      <c r="U151" s="148" t="s">
        <v>591</v>
      </c>
      <c r="V151" s="150">
        <v>653.75</v>
      </c>
      <c r="W151" s="151">
        <f t="shared" si="0"/>
        <v>2615</v>
      </c>
    </row>
    <row r="152" spans="1:23" ht="15" customHeight="1" x14ac:dyDescent="0.25">
      <c r="A152" s="148">
        <v>16070</v>
      </c>
      <c r="B152" s="148" t="s">
        <v>2129</v>
      </c>
      <c r="C152" s="143" t="s">
        <v>2504</v>
      </c>
      <c r="D152" s="143" t="s">
        <v>2504</v>
      </c>
      <c r="E152" s="143" t="s">
        <v>2504</v>
      </c>
      <c r="F152" s="143" t="s">
        <v>2504</v>
      </c>
      <c r="G152" s="143" t="s">
        <v>2504</v>
      </c>
      <c r="H152" s="143" t="s">
        <v>2504</v>
      </c>
      <c r="I152" s="143" t="s">
        <v>2504</v>
      </c>
      <c r="J152" s="143" t="s">
        <v>2504</v>
      </c>
      <c r="K152" s="143" t="s">
        <v>2504</v>
      </c>
      <c r="L152" s="143" t="s">
        <v>2504</v>
      </c>
      <c r="M152" s="143" t="s">
        <v>2504</v>
      </c>
      <c r="N152" s="143" t="s">
        <v>2504</v>
      </c>
      <c r="O152" s="143" t="s">
        <v>2504</v>
      </c>
      <c r="P152" s="143" t="s">
        <v>2504</v>
      </c>
      <c r="Q152" s="148" t="s">
        <v>2130</v>
      </c>
      <c r="R152" s="148" t="s">
        <v>594</v>
      </c>
      <c r="S152" s="148" t="s">
        <v>2128</v>
      </c>
      <c r="T152" s="149">
        <v>19</v>
      </c>
      <c r="U152" s="148" t="s">
        <v>591</v>
      </c>
      <c r="V152" s="150">
        <v>2415.38</v>
      </c>
      <c r="W152" s="151">
        <f t="shared" si="0"/>
        <v>9661.52</v>
      </c>
    </row>
    <row r="153" spans="1:23" ht="15" customHeight="1" x14ac:dyDescent="0.25">
      <c r="A153" s="148">
        <v>16077</v>
      </c>
      <c r="B153" s="148" t="s">
        <v>2135</v>
      </c>
      <c r="C153" s="143" t="s">
        <v>2504</v>
      </c>
      <c r="D153" s="143" t="s">
        <v>2504</v>
      </c>
      <c r="E153" s="143" t="s">
        <v>2504</v>
      </c>
      <c r="F153" s="143" t="s">
        <v>2504</v>
      </c>
      <c r="G153" s="143" t="s">
        <v>2504</v>
      </c>
      <c r="H153" s="143" t="s">
        <v>2504</v>
      </c>
      <c r="I153" s="143" t="s">
        <v>2504</v>
      </c>
      <c r="J153" s="143" t="s">
        <v>2504</v>
      </c>
      <c r="K153" s="143" t="s">
        <v>2504</v>
      </c>
      <c r="L153" s="143" t="s">
        <v>2504</v>
      </c>
      <c r="M153" s="143" t="s">
        <v>2504</v>
      </c>
      <c r="N153" s="143" t="s">
        <v>2504</v>
      </c>
      <c r="O153" s="143" t="s">
        <v>2504</v>
      </c>
      <c r="P153" s="143" t="s">
        <v>2504</v>
      </c>
      <c r="Q153" s="148" t="s">
        <v>2136</v>
      </c>
      <c r="R153" s="148" t="s">
        <v>630</v>
      </c>
      <c r="S153" s="148" t="s">
        <v>631</v>
      </c>
      <c r="T153" s="149">
        <v>0.95</v>
      </c>
      <c r="U153" s="148" t="s">
        <v>591</v>
      </c>
      <c r="V153" s="150">
        <v>83.83</v>
      </c>
      <c r="W153" s="151">
        <f t="shared" si="0"/>
        <v>335.32</v>
      </c>
    </row>
    <row r="154" spans="1:23" ht="15" customHeight="1" x14ac:dyDescent="0.25">
      <c r="A154" s="148">
        <v>16106</v>
      </c>
      <c r="B154" s="148" t="s">
        <v>2146</v>
      </c>
      <c r="C154" s="143" t="s">
        <v>2504</v>
      </c>
      <c r="D154" s="143" t="s">
        <v>2504</v>
      </c>
      <c r="E154" s="143" t="s">
        <v>2504</v>
      </c>
      <c r="F154" s="143" t="s">
        <v>2504</v>
      </c>
      <c r="G154" s="143" t="s">
        <v>2504</v>
      </c>
      <c r="H154" s="143" t="s">
        <v>2504</v>
      </c>
      <c r="I154" s="143" t="s">
        <v>2504</v>
      </c>
      <c r="J154" s="143" t="s">
        <v>2504</v>
      </c>
      <c r="K154" s="143" t="s">
        <v>2504</v>
      </c>
      <c r="L154" s="143" t="s">
        <v>2504</v>
      </c>
      <c r="M154" s="143" t="s">
        <v>2504</v>
      </c>
      <c r="N154" s="143" t="s">
        <v>2504</v>
      </c>
      <c r="O154" s="143" t="s">
        <v>2504</v>
      </c>
      <c r="P154" s="143" t="s">
        <v>2504</v>
      </c>
      <c r="Q154" s="148" t="s">
        <v>2147</v>
      </c>
      <c r="R154" s="148" t="s">
        <v>630</v>
      </c>
      <c r="S154" s="148" t="s">
        <v>631</v>
      </c>
      <c r="T154" s="149">
        <v>4</v>
      </c>
      <c r="U154" s="148" t="s">
        <v>591</v>
      </c>
      <c r="V154" s="150">
        <v>349.78</v>
      </c>
      <c r="W154" s="151">
        <f t="shared" si="0"/>
        <v>1399.12</v>
      </c>
    </row>
    <row r="155" spans="1:23" ht="15" customHeight="1" x14ac:dyDescent="0.25">
      <c r="A155" s="148">
        <v>16110</v>
      </c>
      <c r="B155" s="148" t="s">
        <v>2148</v>
      </c>
      <c r="C155" s="143" t="s">
        <v>2504</v>
      </c>
      <c r="D155" s="143" t="s">
        <v>2504</v>
      </c>
      <c r="E155" s="143" t="s">
        <v>2504</v>
      </c>
      <c r="F155" s="143" t="s">
        <v>2504</v>
      </c>
      <c r="G155" s="143" t="s">
        <v>2504</v>
      </c>
      <c r="H155" s="143" t="s">
        <v>2504</v>
      </c>
      <c r="I155" s="143" t="s">
        <v>2504</v>
      </c>
      <c r="J155" s="143" t="s">
        <v>2504</v>
      </c>
      <c r="K155" s="143" t="s">
        <v>2504</v>
      </c>
      <c r="L155" s="143" t="s">
        <v>2504</v>
      </c>
      <c r="M155" s="143" t="s">
        <v>2504</v>
      </c>
      <c r="N155" s="143" t="s">
        <v>2504</v>
      </c>
      <c r="O155" s="143" t="s">
        <v>2504</v>
      </c>
      <c r="P155" s="143" t="s">
        <v>2504</v>
      </c>
      <c r="Q155" s="148" t="s">
        <v>2149</v>
      </c>
      <c r="R155" s="148" t="s">
        <v>594</v>
      </c>
      <c r="S155" s="148" t="s">
        <v>776</v>
      </c>
      <c r="T155" s="149">
        <v>0.95</v>
      </c>
      <c r="U155" s="148" t="s">
        <v>591</v>
      </c>
      <c r="V155" s="150">
        <v>118.61</v>
      </c>
      <c r="W155" s="151">
        <f t="shared" si="0"/>
        <v>474.44</v>
      </c>
    </row>
    <row r="156" spans="1:23" ht="15" customHeight="1" x14ac:dyDescent="0.25">
      <c r="A156" s="148">
        <v>16111</v>
      </c>
      <c r="B156" s="148" t="s">
        <v>2150</v>
      </c>
      <c r="C156" s="143" t="s">
        <v>2504</v>
      </c>
      <c r="D156" s="143" t="s">
        <v>2504</v>
      </c>
      <c r="E156" s="143" t="s">
        <v>2504</v>
      </c>
      <c r="F156" s="143" t="s">
        <v>2504</v>
      </c>
      <c r="G156" s="143" t="s">
        <v>2504</v>
      </c>
      <c r="H156" s="143" t="s">
        <v>2504</v>
      </c>
      <c r="I156" s="143" t="s">
        <v>2504</v>
      </c>
      <c r="J156" s="143" t="s">
        <v>2504</v>
      </c>
      <c r="K156" s="143" t="s">
        <v>2504</v>
      </c>
      <c r="L156" s="143" t="s">
        <v>2504</v>
      </c>
      <c r="M156" s="143" t="s">
        <v>2504</v>
      </c>
      <c r="N156" s="143" t="s">
        <v>2504</v>
      </c>
      <c r="O156" s="143" t="s">
        <v>2504</v>
      </c>
      <c r="P156" s="143" t="s">
        <v>2504</v>
      </c>
      <c r="Q156" s="148" t="s">
        <v>2151</v>
      </c>
      <c r="R156" s="148" t="s">
        <v>594</v>
      </c>
      <c r="S156" s="148" t="s">
        <v>776</v>
      </c>
      <c r="T156" s="149">
        <v>0.95</v>
      </c>
      <c r="U156" s="148" t="s">
        <v>591</v>
      </c>
      <c r="V156" s="150">
        <v>140.33000000000001</v>
      </c>
      <c r="W156" s="151">
        <f t="shared" si="0"/>
        <v>561.32000000000005</v>
      </c>
    </row>
    <row r="157" spans="1:23" ht="15" customHeight="1" x14ac:dyDescent="0.25">
      <c r="A157" s="148">
        <v>16112</v>
      </c>
      <c r="B157" s="148" t="s">
        <v>2152</v>
      </c>
      <c r="C157" s="143" t="s">
        <v>2504</v>
      </c>
      <c r="D157" s="143" t="s">
        <v>2504</v>
      </c>
      <c r="E157" s="143" t="s">
        <v>2504</v>
      </c>
      <c r="F157" s="143" t="s">
        <v>2504</v>
      </c>
      <c r="G157" s="143" t="s">
        <v>2504</v>
      </c>
      <c r="H157" s="143" t="s">
        <v>2504</v>
      </c>
      <c r="I157" s="143" t="s">
        <v>2504</v>
      </c>
      <c r="J157" s="143" t="s">
        <v>2504</v>
      </c>
      <c r="K157" s="143" t="s">
        <v>2504</v>
      </c>
      <c r="L157" s="143" t="s">
        <v>2504</v>
      </c>
      <c r="M157" s="143" t="s">
        <v>2504</v>
      </c>
      <c r="N157" s="143" t="s">
        <v>2504</v>
      </c>
      <c r="O157" s="143" t="s">
        <v>2504</v>
      </c>
      <c r="P157" s="143" t="s">
        <v>2504</v>
      </c>
      <c r="Q157" s="148" t="s">
        <v>2153</v>
      </c>
      <c r="R157" s="148" t="s">
        <v>594</v>
      </c>
      <c r="S157" s="148" t="s">
        <v>776</v>
      </c>
      <c r="T157" s="149">
        <v>0.95</v>
      </c>
      <c r="U157" s="148" t="s">
        <v>591</v>
      </c>
      <c r="V157" s="150">
        <v>109.34</v>
      </c>
      <c r="W157" s="151">
        <f>V157*1000</f>
        <v>109340</v>
      </c>
    </row>
    <row r="158" spans="1:23" ht="15" customHeight="1" x14ac:dyDescent="0.25">
      <c r="A158" s="148">
        <v>16113</v>
      </c>
      <c r="B158" s="148" t="s">
        <v>2154</v>
      </c>
      <c r="C158" s="143" t="s">
        <v>2504</v>
      </c>
      <c r="D158" s="143" t="s">
        <v>2504</v>
      </c>
      <c r="E158" s="143" t="s">
        <v>2504</v>
      </c>
      <c r="F158" s="143" t="s">
        <v>2504</v>
      </c>
      <c r="G158" s="143" t="s">
        <v>2504</v>
      </c>
      <c r="H158" s="143" t="s">
        <v>2504</v>
      </c>
      <c r="I158" s="143" t="s">
        <v>2504</v>
      </c>
      <c r="J158" s="143" t="s">
        <v>2504</v>
      </c>
      <c r="K158" s="143" t="s">
        <v>2504</v>
      </c>
      <c r="L158" s="143" t="s">
        <v>2504</v>
      </c>
      <c r="M158" s="143" t="s">
        <v>2504</v>
      </c>
      <c r="N158" s="143" t="s">
        <v>2504</v>
      </c>
      <c r="O158" s="143" t="s">
        <v>2504</v>
      </c>
      <c r="P158" s="143" t="s">
        <v>2504</v>
      </c>
      <c r="Q158" s="148" t="s">
        <v>2155</v>
      </c>
      <c r="R158" s="148" t="s">
        <v>594</v>
      </c>
      <c r="S158" s="148" t="s">
        <v>674</v>
      </c>
      <c r="T158" s="149">
        <v>0.95</v>
      </c>
      <c r="U158" s="148" t="s">
        <v>591</v>
      </c>
      <c r="V158" s="150">
        <v>113.38</v>
      </c>
      <c r="W158" s="151">
        <f>V158*1000</f>
        <v>113380</v>
      </c>
    </row>
    <row r="159" spans="1:23" ht="15" customHeight="1" x14ac:dyDescent="0.25">
      <c r="A159" s="148">
        <v>16115</v>
      </c>
      <c r="B159" s="148" t="s">
        <v>2156</v>
      </c>
      <c r="C159" s="143" t="s">
        <v>2504</v>
      </c>
      <c r="D159" s="143" t="s">
        <v>2504</v>
      </c>
      <c r="E159" s="143" t="s">
        <v>2504</v>
      </c>
      <c r="F159" s="143" t="s">
        <v>2504</v>
      </c>
      <c r="G159" s="143" t="s">
        <v>2504</v>
      </c>
      <c r="H159" s="143" t="s">
        <v>2504</v>
      </c>
      <c r="I159" s="143" t="s">
        <v>2504</v>
      </c>
      <c r="J159" s="143" t="s">
        <v>2504</v>
      </c>
      <c r="K159" s="143" t="s">
        <v>2504</v>
      </c>
      <c r="L159" s="143" t="s">
        <v>2504</v>
      </c>
      <c r="M159" s="143" t="s">
        <v>2504</v>
      </c>
      <c r="N159" s="143" t="s">
        <v>2504</v>
      </c>
      <c r="O159" s="143" t="s">
        <v>2504</v>
      </c>
      <c r="P159" s="143" t="s">
        <v>2504</v>
      </c>
      <c r="Q159" s="148" t="s">
        <v>2157</v>
      </c>
      <c r="R159" s="148" t="s">
        <v>594</v>
      </c>
      <c r="S159" s="148" t="s">
        <v>776</v>
      </c>
      <c r="T159" s="149">
        <v>200</v>
      </c>
      <c r="U159" s="148" t="s">
        <v>591</v>
      </c>
      <c r="V159" s="150">
        <v>24141.11</v>
      </c>
      <c r="W159" s="151">
        <f>V159*1000</f>
        <v>24141110</v>
      </c>
    </row>
    <row r="160" spans="1:23" ht="15" customHeight="1" x14ac:dyDescent="0.25">
      <c r="A160" s="148">
        <v>16116</v>
      </c>
      <c r="B160" s="148" t="s">
        <v>2158</v>
      </c>
      <c r="C160" s="143" t="s">
        <v>2504</v>
      </c>
      <c r="D160" s="143" t="s">
        <v>2504</v>
      </c>
      <c r="E160" s="143" t="s">
        <v>2504</v>
      </c>
      <c r="F160" s="143" t="s">
        <v>2504</v>
      </c>
      <c r="G160" s="143" t="s">
        <v>2504</v>
      </c>
      <c r="H160" s="143" t="s">
        <v>2504</v>
      </c>
      <c r="I160" s="143" t="s">
        <v>2504</v>
      </c>
      <c r="J160" s="143" t="s">
        <v>2504</v>
      </c>
      <c r="K160" s="143" t="s">
        <v>2504</v>
      </c>
      <c r="L160" s="143" t="s">
        <v>2504</v>
      </c>
      <c r="M160" s="143" t="s">
        <v>2504</v>
      </c>
      <c r="N160" s="143" t="s">
        <v>2504</v>
      </c>
      <c r="O160" s="143" t="s">
        <v>2504</v>
      </c>
      <c r="P160" s="143" t="s">
        <v>2504</v>
      </c>
      <c r="Q160" s="148" t="s">
        <v>2159</v>
      </c>
      <c r="R160" s="148" t="s">
        <v>594</v>
      </c>
      <c r="S160" s="148" t="s">
        <v>776</v>
      </c>
      <c r="T160" s="149">
        <v>19</v>
      </c>
      <c r="U160" s="148" t="s">
        <v>591</v>
      </c>
      <c r="V160" s="150">
        <v>2741.03</v>
      </c>
      <c r="W160" s="151">
        <v>2723.76</v>
      </c>
    </row>
    <row r="161" spans="1:23" ht="15" customHeight="1" x14ac:dyDescent="0.25">
      <c r="A161" s="148">
        <v>16117</v>
      </c>
      <c r="B161" s="148" t="s">
        <v>2160</v>
      </c>
      <c r="C161" s="143" t="s">
        <v>2504</v>
      </c>
      <c r="D161" s="143" t="s">
        <v>2504</v>
      </c>
      <c r="E161" s="143" t="s">
        <v>2504</v>
      </c>
      <c r="F161" s="143" t="s">
        <v>2504</v>
      </c>
      <c r="G161" s="143" t="s">
        <v>2504</v>
      </c>
      <c r="H161" s="143" t="s">
        <v>2504</v>
      </c>
      <c r="I161" s="143" t="s">
        <v>2504</v>
      </c>
      <c r="J161" s="143" t="s">
        <v>2504</v>
      </c>
      <c r="K161" s="143" t="s">
        <v>2504</v>
      </c>
      <c r="L161" s="143" t="s">
        <v>2504</v>
      </c>
      <c r="M161" s="143" t="s">
        <v>2504</v>
      </c>
      <c r="N161" s="143" t="s">
        <v>2504</v>
      </c>
      <c r="O161" s="143" t="s">
        <v>2504</v>
      </c>
      <c r="P161" s="143" t="s">
        <v>2504</v>
      </c>
      <c r="Q161" s="148" t="s">
        <v>2161</v>
      </c>
      <c r="R161" s="148" t="s">
        <v>594</v>
      </c>
      <c r="S161" s="148" t="s">
        <v>776</v>
      </c>
      <c r="T161" s="149">
        <v>200</v>
      </c>
      <c r="U161" s="148" t="s">
        <v>591</v>
      </c>
      <c r="V161" s="150">
        <v>28937.119999999999</v>
      </c>
      <c r="W161" s="151">
        <f>V161*1000</f>
        <v>28937120</v>
      </c>
    </row>
    <row r="162" spans="1:23" ht="15" customHeight="1" x14ac:dyDescent="0.25">
      <c r="A162" s="148">
        <v>16118</v>
      </c>
      <c r="B162" s="148" t="s">
        <v>2162</v>
      </c>
      <c r="C162" s="143" t="s">
        <v>2504</v>
      </c>
      <c r="D162" s="143" t="s">
        <v>2504</v>
      </c>
      <c r="E162" s="143" t="s">
        <v>2504</v>
      </c>
      <c r="F162" s="143" t="s">
        <v>2504</v>
      </c>
      <c r="G162" s="143" t="s">
        <v>2504</v>
      </c>
      <c r="H162" s="143" t="s">
        <v>2504</v>
      </c>
      <c r="I162" s="143" t="s">
        <v>2504</v>
      </c>
      <c r="J162" s="143" t="s">
        <v>2504</v>
      </c>
      <c r="K162" s="143" t="s">
        <v>2504</v>
      </c>
      <c r="L162" s="143" t="s">
        <v>2504</v>
      </c>
      <c r="M162" s="143" t="s">
        <v>2504</v>
      </c>
      <c r="N162" s="143" t="s">
        <v>2504</v>
      </c>
      <c r="O162" s="143" t="s">
        <v>2504</v>
      </c>
      <c r="P162" s="143" t="s">
        <v>2504</v>
      </c>
      <c r="Q162" s="148" t="s">
        <v>2163</v>
      </c>
      <c r="R162" s="148" t="s">
        <v>594</v>
      </c>
      <c r="S162" s="148" t="s">
        <v>776</v>
      </c>
      <c r="T162" s="149">
        <v>19</v>
      </c>
      <c r="U162" s="148" t="s">
        <v>591</v>
      </c>
      <c r="V162" s="150">
        <v>2741.03</v>
      </c>
      <c r="W162" s="151">
        <v>400.32</v>
      </c>
    </row>
    <row r="163" spans="1:23" ht="15" customHeight="1" x14ac:dyDescent="0.25">
      <c r="A163" s="148">
        <v>16120</v>
      </c>
      <c r="B163" s="148" t="s">
        <v>2165</v>
      </c>
      <c r="C163" s="143" t="s">
        <v>2504</v>
      </c>
      <c r="D163" s="143" t="s">
        <v>2504</v>
      </c>
      <c r="E163" s="143" t="s">
        <v>2504</v>
      </c>
      <c r="F163" s="143" t="s">
        <v>2504</v>
      </c>
      <c r="G163" s="143" t="s">
        <v>2504</v>
      </c>
      <c r="H163" s="143" t="s">
        <v>2504</v>
      </c>
      <c r="I163" s="143" t="s">
        <v>2504</v>
      </c>
      <c r="J163" s="143" t="s">
        <v>2504</v>
      </c>
      <c r="K163" s="143" t="s">
        <v>2504</v>
      </c>
      <c r="L163" s="143" t="s">
        <v>2504</v>
      </c>
      <c r="M163" s="143" t="s">
        <v>2504</v>
      </c>
      <c r="N163" s="143" t="s">
        <v>2504</v>
      </c>
      <c r="O163" s="143" t="s">
        <v>2504</v>
      </c>
      <c r="P163" s="143" t="s">
        <v>2504</v>
      </c>
      <c r="Q163" s="148" t="s">
        <v>2166</v>
      </c>
      <c r="R163" s="148" t="s">
        <v>594</v>
      </c>
      <c r="S163" s="148" t="s">
        <v>776</v>
      </c>
      <c r="T163" s="149">
        <v>200</v>
      </c>
      <c r="U163" s="148" t="s">
        <v>591</v>
      </c>
      <c r="V163" s="150">
        <v>22412.27</v>
      </c>
      <c r="W163" s="151">
        <v>399.36</v>
      </c>
    </row>
    <row r="164" spans="1:23" ht="15" customHeight="1" x14ac:dyDescent="0.25">
      <c r="A164" s="148">
        <v>16130</v>
      </c>
      <c r="B164" s="148" t="s">
        <v>2173</v>
      </c>
      <c r="C164" s="143" t="s">
        <v>2504</v>
      </c>
      <c r="D164" s="143" t="s">
        <v>2504</v>
      </c>
      <c r="E164" s="143" t="s">
        <v>2504</v>
      </c>
      <c r="F164" s="143" t="s">
        <v>2504</v>
      </c>
      <c r="G164" s="143" t="s">
        <v>2504</v>
      </c>
      <c r="H164" s="143" t="s">
        <v>2504</v>
      </c>
      <c r="I164" s="143" t="s">
        <v>2504</v>
      </c>
      <c r="J164" s="143" t="s">
        <v>2504</v>
      </c>
      <c r="K164" s="143" t="s">
        <v>2504</v>
      </c>
      <c r="L164" s="143" t="s">
        <v>2504</v>
      </c>
      <c r="M164" s="143" t="s">
        <v>2504</v>
      </c>
      <c r="N164" s="143" t="s">
        <v>2504</v>
      </c>
      <c r="O164" s="143" t="s">
        <v>2504</v>
      </c>
      <c r="P164" s="143" t="s">
        <v>2504</v>
      </c>
      <c r="Q164" s="148" t="s">
        <v>2174</v>
      </c>
      <c r="R164" s="148" t="s">
        <v>594</v>
      </c>
      <c r="S164" s="148" t="s">
        <v>2175</v>
      </c>
      <c r="T164" s="149">
        <v>0.95</v>
      </c>
      <c r="U164" s="148" t="s">
        <v>591</v>
      </c>
      <c r="V164" s="150">
        <v>132.93</v>
      </c>
      <c r="W164" s="151">
        <v>399.03</v>
      </c>
    </row>
    <row r="165" spans="1:23" ht="15" customHeight="1" x14ac:dyDescent="0.25">
      <c r="A165" s="148">
        <v>16132</v>
      </c>
      <c r="B165" s="148" t="s">
        <v>2176</v>
      </c>
      <c r="C165" s="143" t="s">
        <v>2504</v>
      </c>
      <c r="D165" s="143" t="s">
        <v>2504</v>
      </c>
      <c r="E165" s="143" t="s">
        <v>2504</v>
      </c>
      <c r="F165" s="143" t="s">
        <v>2504</v>
      </c>
      <c r="G165" s="143" t="s">
        <v>2504</v>
      </c>
      <c r="H165" s="143" t="s">
        <v>2504</v>
      </c>
      <c r="I165" s="143" t="s">
        <v>2504</v>
      </c>
      <c r="J165" s="143" t="s">
        <v>2504</v>
      </c>
      <c r="K165" s="143" t="s">
        <v>2504</v>
      </c>
      <c r="L165" s="143" t="s">
        <v>2504</v>
      </c>
      <c r="M165" s="143" t="s">
        <v>2504</v>
      </c>
      <c r="N165" s="143" t="s">
        <v>2504</v>
      </c>
      <c r="O165" s="143" t="s">
        <v>2504</v>
      </c>
      <c r="P165" s="143" t="s">
        <v>2504</v>
      </c>
      <c r="Q165" s="148" t="s">
        <v>2177</v>
      </c>
      <c r="R165" s="148" t="s">
        <v>594</v>
      </c>
      <c r="S165" s="148" t="s">
        <v>2175</v>
      </c>
      <c r="T165" s="149">
        <v>4</v>
      </c>
      <c r="U165" s="148" t="s">
        <v>591</v>
      </c>
      <c r="V165" s="150">
        <v>551.74</v>
      </c>
      <c r="W165" s="151">
        <v>514.36</v>
      </c>
    </row>
    <row r="166" spans="1:23" ht="15" customHeight="1" x14ac:dyDescent="0.25">
      <c r="A166" s="148">
        <v>16135</v>
      </c>
      <c r="B166" s="148" t="s">
        <v>2178</v>
      </c>
      <c r="C166" s="143" t="s">
        <v>2504</v>
      </c>
      <c r="D166" s="143" t="s">
        <v>2504</v>
      </c>
      <c r="E166" s="143" t="s">
        <v>2504</v>
      </c>
      <c r="F166" s="143" t="s">
        <v>2504</v>
      </c>
      <c r="G166" s="143" t="s">
        <v>2504</v>
      </c>
      <c r="H166" s="143" t="s">
        <v>2504</v>
      </c>
      <c r="I166" s="143" t="s">
        <v>2504</v>
      </c>
      <c r="J166" s="143" t="s">
        <v>2504</v>
      </c>
      <c r="K166" s="143" t="s">
        <v>2504</v>
      </c>
      <c r="L166" s="143" t="s">
        <v>2504</v>
      </c>
      <c r="M166" s="143" t="s">
        <v>2504</v>
      </c>
      <c r="N166" s="143" t="s">
        <v>2504</v>
      </c>
      <c r="O166" s="143" t="s">
        <v>2504</v>
      </c>
      <c r="P166" s="143" t="s">
        <v>2504</v>
      </c>
      <c r="Q166" s="148" t="s">
        <v>2179</v>
      </c>
      <c r="R166" s="148" t="s">
        <v>594</v>
      </c>
      <c r="S166" s="148" t="s">
        <v>2175</v>
      </c>
      <c r="T166" s="242">
        <v>0.95</v>
      </c>
      <c r="U166" s="148" t="s">
        <v>591</v>
      </c>
      <c r="V166" s="150">
        <v>134.47</v>
      </c>
      <c r="W166" s="151">
        <v>399.81</v>
      </c>
    </row>
    <row r="167" spans="1:23" ht="15" customHeight="1" x14ac:dyDescent="0.25">
      <c r="A167" s="148">
        <v>16140</v>
      </c>
      <c r="B167" s="148" t="s">
        <v>2181</v>
      </c>
      <c r="C167" s="143" t="s">
        <v>2504</v>
      </c>
      <c r="D167" s="143" t="s">
        <v>2504</v>
      </c>
      <c r="E167" s="143" t="s">
        <v>2504</v>
      </c>
      <c r="F167" s="143" t="s">
        <v>2504</v>
      </c>
      <c r="G167" s="143" t="s">
        <v>2504</v>
      </c>
      <c r="H167" s="143" t="s">
        <v>2504</v>
      </c>
      <c r="I167" s="143" t="s">
        <v>2504</v>
      </c>
      <c r="J167" s="143" t="s">
        <v>2504</v>
      </c>
      <c r="K167" s="143" t="s">
        <v>2504</v>
      </c>
      <c r="L167" s="143" t="s">
        <v>2504</v>
      </c>
      <c r="M167" s="143" t="s">
        <v>2504</v>
      </c>
      <c r="N167" s="143" t="s">
        <v>2504</v>
      </c>
      <c r="O167" s="143" t="s">
        <v>2504</v>
      </c>
      <c r="P167" s="143" t="s">
        <v>2504</v>
      </c>
      <c r="Q167" s="148" t="s">
        <v>2182</v>
      </c>
      <c r="R167" s="148" t="s">
        <v>594</v>
      </c>
      <c r="S167" s="148" t="s">
        <v>2175</v>
      </c>
      <c r="T167" s="149">
        <v>0.95</v>
      </c>
      <c r="U167" s="148" t="s">
        <v>591</v>
      </c>
      <c r="V167" s="150">
        <v>180.56</v>
      </c>
      <c r="W167" s="151">
        <f>V167*24</f>
        <v>4333.4400000000005</v>
      </c>
    </row>
    <row r="168" spans="1:23" ht="15" customHeight="1" x14ac:dyDescent="0.25">
      <c r="A168" s="148">
        <v>16142</v>
      </c>
      <c r="B168" s="148" t="s">
        <v>2183</v>
      </c>
      <c r="C168" s="143" t="s">
        <v>2504</v>
      </c>
      <c r="D168" s="143" t="s">
        <v>2504</v>
      </c>
      <c r="E168" s="143" t="s">
        <v>2504</v>
      </c>
      <c r="F168" s="143" t="s">
        <v>2504</v>
      </c>
      <c r="G168" s="143" t="s">
        <v>2504</v>
      </c>
      <c r="H168" s="143" t="s">
        <v>2504</v>
      </c>
      <c r="I168" s="143" t="s">
        <v>2504</v>
      </c>
      <c r="J168" s="143" t="s">
        <v>2504</v>
      </c>
      <c r="K168" s="143" t="s">
        <v>2504</v>
      </c>
      <c r="L168" s="143" t="s">
        <v>2504</v>
      </c>
      <c r="M168" s="143" t="s">
        <v>2504</v>
      </c>
      <c r="N168" s="143" t="s">
        <v>2504</v>
      </c>
      <c r="O168" s="143" t="s">
        <v>2504</v>
      </c>
      <c r="P168" s="143" t="s">
        <v>2504</v>
      </c>
      <c r="Q168" s="148" t="s">
        <v>2184</v>
      </c>
      <c r="R168" s="148" t="s">
        <v>594</v>
      </c>
      <c r="S168" s="148" t="s">
        <v>2175</v>
      </c>
      <c r="T168" s="149">
        <v>4</v>
      </c>
      <c r="U168" s="148" t="s">
        <v>591</v>
      </c>
      <c r="V168" s="150">
        <v>714.76</v>
      </c>
      <c r="W168" s="151">
        <v>1706.2</v>
      </c>
    </row>
    <row r="169" spans="1:23" ht="15" customHeight="1" x14ac:dyDescent="0.25">
      <c r="A169" s="148">
        <v>16202</v>
      </c>
      <c r="B169" s="148" t="s">
        <v>2199</v>
      </c>
      <c r="C169" s="143" t="s">
        <v>2504</v>
      </c>
      <c r="D169" s="143" t="s">
        <v>2504</v>
      </c>
      <c r="E169" s="143" t="s">
        <v>2504</v>
      </c>
      <c r="F169" s="143" t="s">
        <v>2504</v>
      </c>
      <c r="G169" s="143" t="s">
        <v>2504</v>
      </c>
      <c r="H169" s="143" t="s">
        <v>2504</v>
      </c>
      <c r="I169" s="143" t="s">
        <v>2504</v>
      </c>
      <c r="J169" s="143" t="s">
        <v>2504</v>
      </c>
      <c r="K169" s="143" t="s">
        <v>2504</v>
      </c>
      <c r="L169" s="143" t="s">
        <v>2504</v>
      </c>
      <c r="M169" s="143" t="s">
        <v>2504</v>
      </c>
      <c r="N169" s="143" t="s">
        <v>2504</v>
      </c>
      <c r="O169" s="143" t="s">
        <v>2504</v>
      </c>
      <c r="P169" s="143" t="s">
        <v>2504</v>
      </c>
      <c r="Q169" s="148" t="s">
        <v>2200</v>
      </c>
      <c r="R169" s="148" t="s">
        <v>594</v>
      </c>
      <c r="S169" s="148" t="s">
        <v>595</v>
      </c>
      <c r="T169" s="149">
        <v>0.95</v>
      </c>
      <c r="U169" s="148" t="s">
        <v>591</v>
      </c>
      <c r="V169" s="150">
        <v>419.85</v>
      </c>
      <c r="W169" s="151">
        <f>V169*12</f>
        <v>5038.2000000000007</v>
      </c>
    </row>
    <row r="170" spans="1:23" ht="15" customHeight="1" x14ac:dyDescent="0.25">
      <c r="A170" s="148">
        <v>16251</v>
      </c>
      <c r="B170" s="148" t="s">
        <v>2202</v>
      </c>
      <c r="C170" s="143" t="s">
        <v>2504</v>
      </c>
      <c r="D170" s="143" t="s">
        <v>2504</v>
      </c>
      <c r="E170" s="143" t="s">
        <v>2504</v>
      </c>
      <c r="F170" s="143" t="s">
        <v>2504</v>
      </c>
      <c r="G170" s="143" t="s">
        <v>2504</v>
      </c>
      <c r="H170" s="143" t="s">
        <v>2504</v>
      </c>
      <c r="I170" s="143" t="s">
        <v>2504</v>
      </c>
      <c r="J170" s="143" t="s">
        <v>2504</v>
      </c>
      <c r="K170" s="143" t="s">
        <v>2504</v>
      </c>
      <c r="L170" s="143" t="s">
        <v>2504</v>
      </c>
      <c r="M170" s="143" t="s">
        <v>2504</v>
      </c>
      <c r="N170" s="143" t="s">
        <v>2504</v>
      </c>
      <c r="O170" s="143" t="s">
        <v>2504</v>
      </c>
      <c r="P170" s="143" t="s">
        <v>2504</v>
      </c>
      <c r="Q170" s="148" t="s">
        <v>2203</v>
      </c>
      <c r="R170" s="148" t="s">
        <v>630</v>
      </c>
      <c r="S170" s="148" t="s">
        <v>631</v>
      </c>
      <c r="T170" s="149">
        <v>4</v>
      </c>
      <c r="U170" s="148" t="s">
        <v>591</v>
      </c>
      <c r="V170" s="150">
        <v>349.68</v>
      </c>
      <c r="W170" s="151">
        <v>1858.44</v>
      </c>
    </row>
    <row r="171" spans="1:23" ht="15" customHeight="1" x14ac:dyDescent="0.25">
      <c r="A171" s="148">
        <v>16255</v>
      </c>
      <c r="B171" s="148" t="s">
        <v>2205</v>
      </c>
      <c r="C171" s="143" t="s">
        <v>2504</v>
      </c>
      <c r="D171" s="143" t="s">
        <v>2504</v>
      </c>
      <c r="E171" s="143" t="s">
        <v>2504</v>
      </c>
      <c r="F171" s="143" t="s">
        <v>2504</v>
      </c>
      <c r="G171" s="143" t="s">
        <v>2504</v>
      </c>
      <c r="H171" s="143" t="s">
        <v>2504</v>
      </c>
      <c r="I171" s="143" t="s">
        <v>2504</v>
      </c>
      <c r="J171" s="143" t="s">
        <v>2504</v>
      </c>
      <c r="K171" s="143" t="s">
        <v>2504</v>
      </c>
      <c r="L171" s="143" t="s">
        <v>2504</v>
      </c>
      <c r="M171" s="143" t="s">
        <v>2504</v>
      </c>
      <c r="N171" s="143" t="s">
        <v>2504</v>
      </c>
      <c r="O171" s="143" t="s">
        <v>2504</v>
      </c>
      <c r="P171" s="143" t="s">
        <v>2504</v>
      </c>
      <c r="Q171" s="148" t="s">
        <v>2206</v>
      </c>
      <c r="R171" s="148" t="s">
        <v>600</v>
      </c>
      <c r="S171" s="148" t="s">
        <v>613</v>
      </c>
      <c r="T171" s="149">
        <v>3.7850000000000001</v>
      </c>
      <c r="U171" s="148" t="s">
        <v>591</v>
      </c>
      <c r="V171" s="150">
        <v>192.37</v>
      </c>
      <c r="W171" s="151">
        <v>19667.57</v>
      </c>
    </row>
    <row r="172" spans="1:23" ht="15" customHeight="1" x14ac:dyDescent="0.25">
      <c r="A172" s="148">
        <v>16307</v>
      </c>
      <c r="B172" s="148" t="s">
        <v>2212</v>
      </c>
      <c r="C172" s="143" t="s">
        <v>2504</v>
      </c>
      <c r="D172" s="143" t="s">
        <v>2504</v>
      </c>
      <c r="E172" s="143" t="s">
        <v>2504</v>
      </c>
      <c r="F172" s="143" t="s">
        <v>2504</v>
      </c>
      <c r="G172" s="143" t="s">
        <v>2504</v>
      </c>
      <c r="H172" s="143" t="s">
        <v>2504</v>
      </c>
      <c r="I172" s="143" t="s">
        <v>2504</v>
      </c>
      <c r="J172" s="143" t="s">
        <v>2504</v>
      </c>
      <c r="K172" s="143" t="s">
        <v>2504</v>
      </c>
      <c r="L172" s="143" t="s">
        <v>2504</v>
      </c>
      <c r="M172" s="143" t="s">
        <v>2504</v>
      </c>
      <c r="N172" s="143" t="s">
        <v>2504</v>
      </c>
      <c r="O172" s="143" t="s">
        <v>2504</v>
      </c>
      <c r="P172" s="143" t="s">
        <v>2504</v>
      </c>
      <c r="Q172" s="148" t="s">
        <v>2213</v>
      </c>
      <c r="R172" s="148" t="s">
        <v>594</v>
      </c>
      <c r="S172" s="148" t="s">
        <v>2214</v>
      </c>
      <c r="T172" s="149">
        <v>5</v>
      </c>
      <c r="U172" s="148" t="s">
        <v>591</v>
      </c>
      <c r="V172" s="150">
        <v>729.2</v>
      </c>
      <c r="W172" s="151">
        <v>2029.72</v>
      </c>
    </row>
    <row r="173" spans="1:23" ht="15" customHeight="1" x14ac:dyDescent="0.25">
      <c r="A173" s="148">
        <v>16308</v>
      </c>
      <c r="B173" s="148" t="s">
        <v>2215</v>
      </c>
      <c r="C173" s="143" t="s">
        <v>2504</v>
      </c>
      <c r="D173" s="143" t="s">
        <v>2504</v>
      </c>
      <c r="E173" s="143" t="s">
        <v>2504</v>
      </c>
      <c r="F173" s="143" t="s">
        <v>2504</v>
      </c>
      <c r="G173" s="143" t="s">
        <v>2504</v>
      </c>
      <c r="H173" s="143" t="s">
        <v>2504</v>
      </c>
      <c r="I173" s="143" t="s">
        <v>2504</v>
      </c>
      <c r="J173" s="143" t="s">
        <v>2504</v>
      </c>
      <c r="K173" s="143" t="s">
        <v>2504</v>
      </c>
      <c r="L173" s="143" t="s">
        <v>2504</v>
      </c>
      <c r="M173" s="143" t="s">
        <v>2504</v>
      </c>
      <c r="N173" s="143" t="s">
        <v>2504</v>
      </c>
      <c r="O173" s="143" t="s">
        <v>2504</v>
      </c>
      <c r="P173" s="143" t="s">
        <v>2504</v>
      </c>
      <c r="Q173" s="148" t="s">
        <v>2216</v>
      </c>
      <c r="R173" s="148" t="s">
        <v>594</v>
      </c>
      <c r="S173" s="148" t="s">
        <v>2214</v>
      </c>
      <c r="T173" s="149">
        <v>5</v>
      </c>
      <c r="U173" s="148" t="s">
        <v>591</v>
      </c>
      <c r="V173" s="150">
        <v>664.65</v>
      </c>
      <c r="W173" s="151">
        <v>21475.32</v>
      </c>
    </row>
    <row r="174" spans="1:23" ht="15" customHeight="1" x14ac:dyDescent="0.25">
      <c r="A174" s="148">
        <v>16320</v>
      </c>
      <c r="B174" s="148" t="s">
        <v>2230</v>
      </c>
      <c r="C174" s="143" t="s">
        <v>2504</v>
      </c>
      <c r="D174" s="143" t="s">
        <v>2504</v>
      </c>
      <c r="E174" s="143" t="s">
        <v>2504</v>
      </c>
      <c r="F174" s="143" t="s">
        <v>2504</v>
      </c>
      <c r="G174" s="143" t="s">
        <v>2504</v>
      </c>
      <c r="H174" s="143" t="s">
        <v>2504</v>
      </c>
      <c r="I174" s="143" t="s">
        <v>2504</v>
      </c>
      <c r="J174" s="143" t="s">
        <v>2504</v>
      </c>
      <c r="K174" s="143" t="s">
        <v>2504</v>
      </c>
      <c r="L174" s="143" t="s">
        <v>2504</v>
      </c>
      <c r="M174" s="143" t="s">
        <v>2504</v>
      </c>
      <c r="N174" s="143" t="s">
        <v>2504</v>
      </c>
      <c r="O174" s="143" t="s">
        <v>2504</v>
      </c>
      <c r="P174" s="143" t="s">
        <v>2504</v>
      </c>
      <c r="Q174" s="148" t="s">
        <v>2231</v>
      </c>
      <c r="R174" s="148" t="s">
        <v>594</v>
      </c>
      <c r="S174" s="148" t="s">
        <v>2232</v>
      </c>
      <c r="T174" s="149">
        <v>5</v>
      </c>
      <c r="U174" s="148" t="s">
        <v>591</v>
      </c>
      <c r="V174" s="150">
        <v>925.84</v>
      </c>
      <c r="W174" s="151">
        <v>18060.41</v>
      </c>
    </row>
    <row r="175" spans="1:23" ht="15" customHeight="1" x14ac:dyDescent="0.25">
      <c r="A175" s="148">
        <v>16405</v>
      </c>
      <c r="B175" s="148" t="s">
        <v>2240</v>
      </c>
      <c r="C175" s="143" t="s">
        <v>2504</v>
      </c>
      <c r="D175" s="143" t="s">
        <v>2504</v>
      </c>
      <c r="E175" s="143" t="s">
        <v>2504</v>
      </c>
      <c r="F175" s="143" t="s">
        <v>2504</v>
      </c>
      <c r="G175" s="143" t="s">
        <v>2504</v>
      </c>
      <c r="H175" s="143" t="s">
        <v>2504</v>
      </c>
      <c r="I175" s="143" t="s">
        <v>2504</v>
      </c>
      <c r="J175" s="143" t="s">
        <v>2504</v>
      </c>
      <c r="K175" s="143" t="s">
        <v>2504</v>
      </c>
      <c r="L175" s="143" t="s">
        <v>2504</v>
      </c>
      <c r="M175" s="143" t="s">
        <v>2504</v>
      </c>
      <c r="N175" s="143" t="s">
        <v>2504</v>
      </c>
      <c r="O175" s="143" t="s">
        <v>2504</v>
      </c>
      <c r="P175" s="143" t="s">
        <v>2504</v>
      </c>
      <c r="Q175" s="148" t="s">
        <v>2241</v>
      </c>
      <c r="R175" s="148" t="s">
        <v>600</v>
      </c>
      <c r="S175" s="148" t="s">
        <v>613</v>
      </c>
      <c r="T175" s="149">
        <v>0.6</v>
      </c>
      <c r="U175" s="148" t="s">
        <v>591</v>
      </c>
      <c r="V175" s="150">
        <v>55.33</v>
      </c>
      <c r="W175" s="151">
        <f>V175*4</f>
        <v>221.32</v>
      </c>
    </row>
    <row r="176" spans="1:23" ht="15" customHeight="1" x14ac:dyDescent="0.25">
      <c r="A176" s="148">
        <v>16406</v>
      </c>
      <c r="B176" s="148" t="s">
        <v>2242</v>
      </c>
      <c r="C176" s="143" t="s">
        <v>2504</v>
      </c>
      <c r="D176" s="143" t="s">
        <v>2504</v>
      </c>
      <c r="E176" s="143" t="s">
        <v>2504</v>
      </c>
      <c r="F176" s="143" t="s">
        <v>2504</v>
      </c>
      <c r="G176" s="143" t="s">
        <v>2504</v>
      </c>
      <c r="H176" s="143" t="s">
        <v>2504</v>
      </c>
      <c r="I176" s="143" t="s">
        <v>2504</v>
      </c>
      <c r="J176" s="143" t="s">
        <v>2504</v>
      </c>
      <c r="K176" s="143" t="s">
        <v>2504</v>
      </c>
      <c r="L176" s="143" t="s">
        <v>2504</v>
      </c>
      <c r="M176" s="143" t="s">
        <v>2504</v>
      </c>
      <c r="N176" s="143" t="s">
        <v>2504</v>
      </c>
      <c r="O176" s="143" t="s">
        <v>2504</v>
      </c>
      <c r="P176" s="143" t="s">
        <v>2504</v>
      </c>
      <c r="Q176" s="148" t="s">
        <v>2243</v>
      </c>
      <c r="R176" s="148" t="s">
        <v>600</v>
      </c>
      <c r="S176" s="148" t="s">
        <v>613</v>
      </c>
      <c r="T176" s="149">
        <v>0.6</v>
      </c>
      <c r="U176" s="148" t="s">
        <v>591</v>
      </c>
      <c r="V176" s="150">
        <v>52.86</v>
      </c>
      <c r="W176" s="151">
        <v>1116.44</v>
      </c>
    </row>
    <row r="177" spans="1:23" ht="15" customHeight="1" x14ac:dyDescent="0.25">
      <c r="A177" s="148">
        <v>16413</v>
      </c>
      <c r="B177" s="148" t="s">
        <v>2249</v>
      </c>
      <c r="C177" s="143" t="s">
        <v>2504</v>
      </c>
      <c r="D177" s="143" t="s">
        <v>2504</v>
      </c>
      <c r="E177" s="143" t="s">
        <v>2504</v>
      </c>
      <c r="F177" s="143" t="s">
        <v>2504</v>
      </c>
      <c r="G177" s="143" t="s">
        <v>2504</v>
      </c>
      <c r="H177" s="143" t="s">
        <v>2504</v>
      </c>
      <c r="I177" s="143" t="s">
        <v>2504</v>
      </c>
      <c r="J177" s="143" t="s">
        <v>2504</v>
      </c>
      <c r="K177" s="143" t="s">
        <v>2504</v>
      </c>
      <c r="L177" s="143" t="s">
        <v>2504</v>
      </c>
      <c r="M177" s="143" t="s">
        <v>2504</v>
      </c>
      <c r="N177" s="143" t="s">
        <v>2504</v>
      </c>
      <c r="O177" s="143" t="s">
        <v>2504</v>
      </c>
      <c r="P177" s="143" t="s">
        <v>2504</v>
      </c>
      <c r="Q177" s="148" t="s">
        <v>2250</v>
      </c>
      <c r="R177" s="148" t="s">
        <v>594</v>
      </c>
      <c r="S177" s="148" t="s">
        <v>2232</v>
      </c>
      <c r="T177" s="149">
        <v>3.8</v>
      </c>
      <c r="U177" s="148" t="s">
        <v>591</v>
      </c>
      <c r="V177" s="150">
        <v>608.64</v>
      </c>
      <c r="W177" s="151">
        <f>V177*1000</f>
        <v>608640</v>
      </c>
    </row>
    <row r="178" spans="1:23" ht="15" customHeight="1" x14ac:dyDescent="0.25">
      <c r="A178" s="148">
        <v>16414</v>
      </c>
      <c r="B178" s="148" t="s">
        <v>2251</v>
      </c>
      <c r="C178" s="143" t="s">
        <v>2504</v>
      </c>
      <c r="D178" s="143" t="s">
        <v>2504</v>
      </c>
      <c r="E178" s="143" t="s">
        <v>2504</v>
      </c>
      <c r="F178" s="143" t="s">
        <v>2504</v>
      </c>
      <c r="G178" s="143" t="s">
        <v>2504</v>
      </c>
      <c r="H178" s="143" t="s">
        <v>2504</v>
      </c>
      <c r="I178" s="143" t="s">
        <v>2504</v>
      </c>
      <c r="J178" s="143" t="s">
        <v>2504</v>
      </c>
      <c r="K178" s="143" t="s">
        <v>2504</v>
      </c>
      <c r="L178" s="143" t="s">
        <v>2504</v>
      </c>
      <c r="M178" s="143" t="s">
        <v>2504</v>
      </c>
      <c r="N178" s="143" t="s">
        <v>2504</v>
      </c>
      <c r="O178" s="143" t="s">
        <v>2504</v>
      </c>
      <c r="P178" s="143" t="s">
        <v>2504</v>
      </c>
      <c r="Q178" s="148" t="s">
        <v>2252</v>
      </c>
      <c r="R178" s="148" t="s">
        <v>594</v>
      </c>
      <c r="S178" s="148" t="s">
        <v>2214</v>
      </c>
      <c r="T178" s="149">
        <v>3.8</v>
      </c>
      <c r="U178" s="148" t="s">
        <v>591</v>
      </c>
      <c r="V178" s="150">
        <v>435.09</v>
      </c>
      <c r="W178" s="151">
        <f>V178*1000</f>
        <v>435090</v>
      </c>
    </row>
    <row r="179" spans="1:23" ht="15" customHeight="1" x14ac:dyDescent="0.25">
      <c r="A179" s="148">
        <v>16415</v>
      </c>
      <c r="B179" s="148" t="s">
        <v>2253</v>
      </c>
      <c r="C179" s="143" t="s">
        <v>2504</v>
      </c>
      <c r="D179" s="143" t="s">
        <v>2504</v>
      </c>
      <c r="E179" s="143" t="s">
        <v>2504</v>
      </c>
      <c r="F179" s="143" t="s">
        <v>2504</v>
      </c>
      <c r="G179" s="143" t="s">
        <v>2504</v>
      </c>
      <c r="H179" s="143" t="s">
        <v>2504</v>
      </c>
      <c r="I179" s="143" t="s">
        <v>2504</v>
      </c>
      <c r="J179" s="143" t="s">
        <v>2504</v>
      </c>
      <c r="K179" s="143" t="s">
        <v>2504</v>
      </c>
      <c r="L179" s="143" t="s">
        <v>2504</v>
      </c>
      <c r="M179" s="143" t="s">
        <v>2504</v>
      </c>
      <c r="N179" s="143" t="s">
        <v>2504</v>
      </c>
      <c r="O179" s="143" t="s">
        <v>2504</v>
      </c>
      <c r="P179" s="143" t="s">
        <v>2504</v>
      </c>
      <c r="Q179" s="148" t="s">
        <v>2254</v>
      </c>
      <c r="R179" s="148" t="s">
        <v>594</v>
      </c>
      <c r="S179" s="148" t="s">
        <v>2214</v>
      </c>
      <c r="T179" s="149">
        <v>3.8</v>
      </c>
      <c r="U179" s="148" t="s">
        <v>591</v>
      </c>
      <c r="V179" s="150">
        <v>437.91</v>
      </c>
      <c r="W179" s="151">
        <v>3647.21</v>
      </c>
    </row>
    <row r="180" spans="1:23" ht="15" customHeight="1" x14ac:dyDescent="0.25">
      <c r="A180" s="148">
        <v>16416</v>
      </c>
      <c r="B180" s="148" t="s">
        <v>2255</v>
      </c>
      <c r="C180" s="143" t="s">
        <v>2504</v>
      </c>
      <c r="D180" s="143" t="s">
        <v>2504</v>
      </c>
      <c r="E180" s="143" t="s">
        <v>2504</v>
      </c>
      <c r="F180" s="143" t="s">
        <v>2504</v>
      </c>
      <c r="G180" s="143" t="s">
        <v>2504</v>
      </c>
      <c r="H180" s="143" t="s">
        <v>2504</v>
      </c>
      <c r="I180" s="143" t="s">
        <v>2504</v>
      </c>
      <c r="J180" s="143" t="s">
        <v>2504</v>
      </c>
      <c r="K180" s="143" t="s">
        <v>2504</v>
      </c>
      <c r="L180" s="143" t="s">
        <v>2504</v>
      </c>
      <c r="M180" s="143" t="s">
        <v>2504</v>
      </c>
      <c r="N180" s="143" t="s">
        <v>2504</v>
      </c>
      <c r="O180" s="143" t="s">
        <v>2504</v>
      </c>
      <c r="P180" s="143" t="s">
        <v>2504</v>
      </c>
      <c r="Q180" s="148" t="s">
        <v>2256</v>
      </c>
      <c r="R180" s="148" t="s">
        <v>594</v>
      </c>
      <c r="S180" s="148" t="s">
        <v>2257</v>
      </c>
      <c r="T180" s="149">
        <v>3.8</v>
      </c>
      <c r="U180" s="148" t="s">
        <v>591</v>
      </c>
      <c r="V180" s="150">
        <v>636.70000000000005</v>
      </c>
      <c r="W180" s="151">
        <v>33254.53</v>
      </c>
    </row>
    <row r="181" spans="1:23" ht="15" customHeight="1" x14ac:dyDescent="0.25">
      <c r="A181" s="148">
        <v>16417</v>
      </c>
      <c r="B181" s="148" t="s">
        <v>2258</v>
      </c>
      <c r="C181" s="143" t="s">
        <v>2504</v>
      </c>
      <c r="D181" s="143" t="s">
        <v>2504</v>
      </c>
      <c r="E181" s="143" t="s">
        <v>2504</v>
      </c>
      <c r="F181" s="143" t="s">
        <v>2504</v>
      </c>
      <c r="G181" s="143" t="s">
        <v>2504</v>
      </c>
      <c r="H181" s="143" t="s">
        <v>2504</v>
      </c>
      <c r="I181" s="143" t="s">
        <v>2504</v>
      </c>
      <c r="J181" s="143" t="s">
        <v>2504</v>
      </c>
      <c r="K181" s="143" t="s">
        <v>2504</v>
      </c>
      <c r="L181" s="143" t="s">
        <v>2504</v>
      </c>
      <c r="M181" s="143" t="s">
        <v>2504</v>
      </c>
      <c r="N181" s="143" t="s">
        <v>2504</v>
      </c>
      <c r="O181" s="143" t="s">
        <v>2504</v>
      </c>
      <c r="P181" s="143" t="s">
        <v>2504</v>
      </c>
      <c r="Q181" s="148" t="s">
        <v>2259</v>
      </c>
      <c r="R181" s="148" t="s">
        <v>594</v>
      </c>
      <c r="S181" s="148" t="s">
        <v>2257</v>
      </c>
      <c r="T181" s="149">
        <v>3.8</v>
      </c>
      <c r="U181" s="148" t="s">
        <v>591</v>
      </c>
      <c r="V181" s="150">
        <v>636.79999999999995</v>
      </c>
      <c r="W181" s="151">
        <v>38476.31</v>
      </c>
    </row>
    <row r="182" spans="1:23" ht="15" customHeight="1" x14ac:dyDescent="0.25">
      <c r="A182" s="148">
        <v>16418</v>
      </c>
      <c r="B182" s="148" t="s">
        <v>2260</v>
      </c>
      <c r="C182" s="143" t="s">
        <v>2504</v>
      </c>
      <c r="D182" s="143" t="s">
        <v>2504</v>
      </c>
      <c r="E182" s="143" t="s">
        <v>2504</v>
      </c>
      <c r="F182" s="143" t="s">
        <v>2504</v>
      </c>
      <c r="G182" s="143" t="s">
        <v>2504</v>
      </c>
      <c r="H182" s="143" t="s">
        <v>2504</v>
      </c>
      <c r="I182" s="143" t="s">
        <v>2504</v>
      </c>
      <c r="J182" s="143" t="s">
        <v>2504</v>
      </c>
      <c r="K182" s="143" t="s">
        <v>2504</v>
      </c>
      <c r="L182" s="143" t="s">
        <v>2504</v>
      </c>
      <c r="M182" s="143" t="s">
        <v>2504</v>
      </c>
      <c r="N182" s="143" t="s">
        <v>2504</v>
      </c>
      <c r="O182" s="143" t="s">
        <v>2504</v>
      </c>
      <c r="P182" s="143" t="s">
        <v>2504</v>
      </c>
      <c r="Q182" s="148" t="s">
        <v>2261</v>
      </c>
      <c r="R182" s="148" t="s">
        <v>594</v>
      </c>
      <c r="S182" s="148" t="s">
        <v>2232</v>
      </c>
      <c r="T182" s="149">
        <v>3.8</v>
      </c>
      <c r="U182" s="148" t="s">
        <v>591</v>
      </c>
      <c r="V182" s="150">
        <v>615.05999999999995</v>
      </c>
      <c r="W182" s="151">
        <v>11251.27</v>
      </c>
    </row>
    <row r="183" spans="1:23" ht="15" customHeight="1" x14ac:dyDescent="0.25">
      <c r="A183" s="148">
        <v>16419</v>
      </c>
      <c r="B183" s="148" t="s">
        <v>2262</v>
      </c>
      <c r="C183" s="143" t="s">
        <v>2504</v>
      </c>
      <c r="D183" s="143" t="s">
        <v>2504</v>
      </c>
      <c r="E183" s="143" t="s">
        <v>2504</v>
      </c>
      <c r="F183" s="143" t="s">
        <v>2504</v>
      </c>
      <c r="G183" s="143" t="s">
        <v>2504</v>
      </c>
      <c r="H183" s="143" t="s">
        <v>2504</v>
      </c>
      <c r="I183" s="143" t="s">
        <v>2504</v>
      </c>
      <c r="J183" s="143" t="s">
        <v>2504</v>
      </c>
      <c r="K183" s="143" t="s">
        <v>2504</v>
      </c>
      <c r="L183" s="143" t="s">
        <v>2504</v>
      </c>
      <c r="M183" s="143" t="s">
        <v>2504</v>
      </c>
      <c r="N183" s="143" t="s">
        <v>2504</v>
      </c>
      <c r="O183" s="143" t="s">
        <v>2504</v>
      </c>
      <c r="P183" s="143" t="s">
        <v>2504</v>
      </c>
      <c r="Q183" s="148" t="s">
        <v>2263</v>
      </c>
      <c r="R183" s="148" t="s">
        <v>594</v>
      </c>
      <c r="S183" s="148" t="s">
        <v>2214</v>
      </c>
      <c r="T183" s="149">
        <v>3.8</v>
      </c>
      <c r="U183" s="148" t="s">
        <v>591</v>
      </c>
      <c r="V183" s="150">
        <v>535.6</v>
      </c>
      <c r="W183" s="151">
        <v>10551.6</v>
      </c>
    </row>
    <row r="184" spans="1:23" ht="15" customHeight="1" x14ac:dyDescent="0.25">
      <c r="A184" s="148">
        <v>16420</v>
      </c>
      <c r="B184" s="148" t="s">
        <v>2264</v>
      </c>
      <c r="C184" s="143" t="s">
        <v>2504</v>
      </c>
      <c r="D184" s="143" t="s">
        <v>2504</v>
      </c>
      <c r="E184" s="143" t="s">
        <v>2504</v>
      </c>
      <c r="F184" s="143" t="s">
        <v>2504</v>
      </c>
      <c r="G184" s="143" t="s">
        <v>2504</v>
      </c>
      <c r="H184" s="143" t="s">
        <v>2504</v>
      </c>
      <c r="I184" s="143" t="s">
        <v>2504</v>
      </c>
      <c r="J184" s="143" t="s">
        <v>2504</v>
      </c>
      <c r="K184" s="143" t="s">
        <v>2504</v>
      </c>
      <c r="L184" s="143" t="s">
        <v>2504</v>
      </c>
      <c r="M184" s="143" t="s">
        <v>2504</v>
      </c>
      <c r="N184" s="143" t="s">
        <v>2504</v>
      </c>
      <c r="O184" s="143" t="s">
        <v>2504</v>
      </c>
      <c r="P184" s="143" t="s">
        <v>2504</v>
      </c>
      <c r="Q184" s="148" t="s">
        <v>2265</v>
      </c>
      <c r="R184" s="148" t="s">
        <v>2266</v>
      </c>
      <c r="S184" s="148" t="s">
        <v>2214</v>
      </c>
      <c r="T184" s="149">
        <v>3.8</v>
      </c>
      <c r="U184" s="148" t="s">
        <v>591</v>
      </c>
      <c r="V184" s="150">
        <v>539.64</v>
      </c>
      <c r="W184" s="151">
        <f>V184*1000</f>
        <v>539640</v>
      </c>
    </row>
    <row r="185" spans="1:23" ht="15" customHeight="1" x14ac:dyDescent="0.25">
      <c r="A185" s="148">
        <v>16421</v>
      </c>
      <c r="B185" s="148" t="s">
        <v>2267</v>
      </c>
      <c r="C185" s="143" t="s">
        <v>2504</v>
      </c>
      <c r="D185" s="143" t="s">
        <v>2504</v>
      </c>
      <c r="E185" s="143" t="s">
        <v>2504</v>
      </c>
      <c r="F185" s="143" t="s">
        <v>2504</v>
      </c>
      <c r="G185" s="143" t="s">
        <v>2504</v>
      </c>
      <c r="H185" s="143" t="s">
        <v>2504</v>
      </c>
      <c r="I185" s="143" t="s">
        <v>2504</v>
      </c>
      <c r="J185" s="143" t="s">
        <v>2504</v>
      </c>
      <c r="K185" s="143" t="s">
        <v>2504</v>
      </c>
      <c r="L185" s="143" t="s">
        <v>2504</v>
      </c>
      <c r="M185" s="143" t="s">
        <v>2504</v>
      </c>
      <c r="N185" s="143" t="s">
        <v>2504</v>
      </c>
      <c r="O185" s="143" t="s">
        <v>2504</v>
      </c>
      <c r="P185" s="143" t="s">
        <v>2504</v>
      </c>
      <c r="Q185" s="148" t="s">
        <v>2268</v>
      </c>
      <c r="R185" s="148" t="s">
        <v>594</v>
      </c>
      <c r="S185" s="148" t="s">
        <v>2257</v>
      </c>
      <c r="T185" s="149">
        <v>3.8</v>
      </c>
      <c r="U185" s="148" t="s">
        <v>591</v>
      </c>
      <c r="V185" s="150">
        <v>789.16</v>
      </c>
      <c r="W185" s="151">
        <f>V185*4</f>
        <v>3156.64</v>
      </c>
    </row>
    <row r="186" spans="1:23" ht="15" customHeight="1" x14ac:dyDescent="0.25">
      <c r="A186" s="148">
        <v>16502</v>
      </c>
      <c r="B186" s="148" t="s">
        <v>2270</v>
      </c>
      <c r="C186" s="143" t="s">
        <v>2504</v>
      </c>
      <c r="D186" s="143" t="s">
        <v>2504</v>
      </c>
      <c r="E186" s="143" t="s">
        <v>2504</v>
      </c>
      <c r="F186" s="143" t="s">
        <v>2504</v>
      </c>
      <c r="G186" s="143" t="s">
        <v>2504</v>
      </c>
      <c r="H186" s="143" t="s">
        <v>2504</v>
      </c>
      <c r="I186" s="143" t="s">
        <v>2504</v>
      </c>
      <c r="J186" s="143" t="s">
        <v>2504</v>
      </c>
      <c r="K186" s="143" t="s">
        <v>2504</v>
      </c>
      <c r="L186" s="143" t="s">
        <v>2504</v>
      </c>
      <c r="M186" s="143" t="s">
        <v>2504</v>
      </c>
      <c r="N186" s="143" t="s">
        <v>2504</v>
      </c>
      <c r="O186" s="143" t="s">
        <v>2504</v>
      </c>
      <c r="P186" s="143" t="s">
        <v>2504</v>
      </c>
      <c r="Q186" s="148" t="s">
        <v>2271</v>
      </c>
      <c r="R186" s="148" t="s">
        <v>600</v>
      </c>
      <c r="S186" s="148" t="s">
        <v>613</v>
      </c>
      <c r="T186" s="149">
        <v>0.95</v>
      </c>
      <c r="U186" s="148" t="s">
        <v>591</v>
      </c>
      <c r="V186" s="150">
        <v>61.4</v>
      </c>
      <c r="W186" s="151">
        <f>V186*16</f>
        <v>982.4</v>
      </c>
    </row>
    <row r="187" spans="1:23" ht="15" customHeight="1" x14ac:dyDescent="0.25">
      <c r="A187" s="148">
        <v>16717</v>
      </c>
      <c r="B187" s="148" t="s">
        <v>2314</v>
      </c>
      <c r="C187" s="143" t="s">
        <v>2504</v>
      </c>
      <c r="D187" s="143" t="s">
        <v>2504</v>
      </c>
      <c r="E187" s="143" t="s">
        <v>2504</v>
      </c>
      <c r="F187" s="143" t="s">
        <v>2504</v>
      </c>
      <c r="G187" s="143" t="s">
        <v>2504</v>
      </c>
      <c r="H187" s="143" t="s">
        <v>2504</v>
      </c>
      <c r="I187" s="143" t="s">
        <v>2504</v>
      </c>
      <c r="J187" s="143" t="s">
        <v>2504</v>
      </c>
      <c r="K187" s="143" t="s">
        <v>2504</v>
      </c>
      <c r="L187" s="143" t="s">
        <v>2504</v>
      </c>
      <c r="M187" s="143" t="s">
        <v>2504</v>
      </c>
      <c r="N187" s="143" t="s">
        <v>2504</v>
      </c>
      <c r="O187" s="143" t="s">
        <v>2504</v>
      </c>
      <c r="P187" s="143" t="s">
        <v>2504</v>
      </c>
      <c r="Q187" s="148" t="s">
        <v>2315</v>
      </c>
      <c r="R187" s="148" t="s">
        <v>600</v>
      </c>
      <c r="S187" s="148" t="s">
        <v>613</v>
      </c>
      <c r="T187" s="149">
        <v>200</v>
      </c>
      <c r="U187" s="148" t="s">
        <v>591</v>
      </c>
      <c r="V187" s="150">
        <v>6309.28</v>
      </c>
      <c r="W187" s="151">
        <f>V187*16</f>
        <v>100948.48</v>
      </c>
    </row>
    <row r="188" spans="1:23" ht="15" customHeight="1" x14ac:dyDescent="0.25">
      <c r="A188" s="148">
        <v>16718</v>
      </c>
      <c r="B188" s="148" t="s">
        <v>2316</v>
      </c>
      <c r="C188" s="143" t="s">
        <v>2504</v>
      </c>
      <c r="D188" s="143" t="s">
        <v>2504</v>
      </c>
      <c r="E188" s="143" t="s">
        <v>2504</v>
      </c>
      <c r="F188" s="143" t="s">
        <v>2504</v>
      </c>
      <c r="G188" s="143" t="s">
        <v>2504</v>
      </c>
      <c r="H188" s="143" t="s">
        <v>2504</v>
      </c>
      <c r="I188" s="143" t="s">
        <v>2504</v>
      </c>
      <c r="J188" s="143" t="s">
        <v>2504</v>
      </c>
      <c r="K188" s="143" t="s">
        <v>2504</v>
      </c>
      <c r="L188" s="143" t="s">
        <v>2504</v>
      </c>
      <c r="M188" s="143" t="s">
        <v>2504</v>
      </c>
      <c r="N188" s="143" t="s">
        <v>2504</v>
      </c>
      <c r="O188" s="143" t="s">
        <v>2504</v>
      </c>
      <c r="P188" s="143" t="s">
        <v>2504</v>
      </c>
      <c r="Q188" s="148" t="s">
        <v>2317</v>
      </c>
      <c r="R188" s="148" t="s">
        <v>600</v>
      </c>
      <c r="S188" s="148" t="s">
        <v>613</v>
      </c>
      <c r="T188" s="149">
        <v>200</v>
      </c>
      <c r="U188" s="148" t="s">
        <v>591</v>
      </c>
      <c r="V188" s="150">
        <v>12591.62</v>
      </c>
      <c r="W188" s="151">
        <f>V188*4</f>
        <v>50366.48</v>
      </c>
    </row>
    <row r="189" spans="1:23" ht="15" customHeight="1" x14ac:dyDescent="0.25">
      <c r="A189" s="148">
        <v>16729</v>
      </c>
      <c r="B189" s="148" t="s">
        <v>2322</v>
      </c>
      <c r="C189" s="143" t="s">
        <v>2504</v>
      </c>
      <c r="D189" s="143" t="s">
        <v>2504</v>
      </c>
      <c r="E189" s="143" t="s">
        <v>2504</v>
      </c>
      <c r="F189" s="143" t="s">
        <v>2504</v>
      </c>
      <c r="G189" s="143" t="s">
        <v>2504</v>
      </c>
      <c r="H189" s="143" t="s">
        <v>2504</v>
      </c>
      <c r="I189" s="143" t="s">
        <v>2504</v>
      </c>
      <c r="J189" s="143" t="s">
        <v>2504</v>
      </c>
      <c r="K189" s="143" t="s">
        <v>2504</v>
      </c>
      <c r="L189" s="143" t="s">
        <v>2504</v>
      </c>
      <c r="M189" s="143" t="s">
        <v>2504</v>
      </c>
      <c r="N189" s="143" t="s">
        <v>2504</v>
      </c>
      <c r="O189" s="143" t="s">
        <v>2504</v>
      </c>
      <c r="P189" s="143" t="s">
        <v>2504</v>
      </c>
      <c r="Q189" s="148" t="s">
        <v>2323</v>
      </c>
      <c r="R189" s="148" t="s">
        <v>594</v>
      </c>
      <c r="S189" s="148" t="s">
        <v>595</v>
      </c>
      <c r="T189" s="149">
        <v>200</v>
      </c>
      <c r="U189" s="148" t="s">
        <v>591</v>
      </c>
      <c r="V189" s="150">
        <v>22094.87</v>
      </c>
      <c r="W189" s="151">
        <v>2214.59</v>
      </c>
    </row>
    <row r="190" spans="1:23" ht="15" customHeight="1" x14ac:dyDescent="0.25">
      <c r="A190" s="148">
        <v>16737</v>
      </c>
      <c r="B190" s="148" t="s">
        <v>2331</v>
      </c>
      <c r="C190" s="143" t="s">
        <v>2504</v>
      </c>
      <c r="D190" s="143" t="s">
        <v>2504</v>
      </c>
      <c r="E190" s="143" t="s">
        <v>2504</v>
      </c>
      <c r="F190" s="143" t="s">
        <v>2504</v>
      </c>
      <c r="G190" s="143" t="s">
        <v>2504</v>
      </c>
      <c r="H190" s="143" t="s">
        <v>2504</v>
      </c>
      <c r="I190" s="143" t="s">
        <v>2504</v>
      </c>
      <c r="J190" s="143" t="s">
        <v>2504</v>
      </c>
      <c r="K190" s="143" t="s">
        <v>2504</v>
      </c>
      <c r="L190" s="143" t="s">
        <v>2504</v>
      </c>
      <c r="M190" s="143" t="s">
        <v>2504</v>
      </c>
      <c r="N190" s="143" t="s">
        <v>2504</v>
      </c>
      <c r="O190" s="143" t="s">
        <v>2504</v>
      </c>
      <c r="P190" s="143" t="s">
        <v>2504</v>
      </c>
      <c r="Q190" s="148" t="s">
        <v>2332</v>
      </c>
      <c r="R190" s="148" t="s">
        <v>594</v>
      </c>
      <c r="S190" s="148" t="s">
        <v>2257</v>
      </c>
      <c r="T190" s="149">
        <v>200</v>
      </c>
      <c r="U190" s="148" t="s">
        <v>591</v>
      </c>
      <c r="V190" s="150">
        <v>43177.05</v>
      </c>
      <c r="W190" s="151">
        <f>V190*24</f>
        <v>1036249.2000000001</v>
      </c>
    </row>
    <row r="191" spans="1:23" ht="15" customHeight="1" x14ac:dyDescent="0.25">
      <c r="A191" s="148">
        <v>16750</v>
      </c>
      <c r="B191" s="148" t="s">
        <v>2342</v>
      </c>
      <c r="C191" s="143" t="s">
        <v>2504</v>
      </c>
      <c r="D191" s="143" t="s">
        <v>2504</v>
      </c>
      <c r="E191" s="143" t="s">
        <v>2504</v>
      </c>
      <c r="F191" s="143" t="s">
        <v>2504</v>
      </c>
      <c r="G191" s="143" t="s">
        <v>2504</v>
      </c>
      <c r="H191" s="143" t="s">
        <v>2504</v>
      </c>
      <c r="I191" s="143" t="s">
        <v>2504</v>
      </c>
      <c r="J191" s="143" t="s">
        <v>2504</v>
      </c>
      <c r="K191" s="143" t="s">
        <v>2504</v>
      </c>
      <c r="L191" s="143" t="s">
        <v>2504</v>
      </c>
      <c r="M191" s="143" t="s">
        <v>2504</v>
      </c>
      <c r="N191" s="143" t="s">
        <v>2504</v>
      </c>
      <c r="O191" s="143" t="s">
        <v>2504</v>
      </c>
      <c r="P191" s="143" t="s">
        <v>2504</v>
      </c>
      <c r="Q191" s="148" t="s">
        <v>2343</v>
      </c>
      <c r="R191" s="148" t="s">
        <v>630</v>
      </c>
      <c r="S191" s="148" t="s">
        <v>2341</v>
      </c>
      <c r="T191" s="149">
        <v>200</v>
      </c>
      <c r="U191" s="148" t="s">
        <v>591</v>
      </c>
      <c r="V191" s="150">
        <v>28949.96</v>
      </c>
      <c r="W191" s="151">
        <f>V191*24</f>
        <v>694799.04</v>
      </c>
    </row>
    <row r="192" spans="1:23" ht="15" customHeight="1" x14ac:dyDescent="0.25">
      <c r="A192" s="148">
        <v>16804</v>
      </c>
      <c r="B192" s="148" t="s">
        <v>2348</v>
      </c>
      <c r="C192" s="143" t="s">
        <v>2504</v>
      </c>
      <c r="D192" s="143" t="s">
        <v>2504</v>
      </c>
      <c r="E192" s="143" t="s">
        <v>2504</v>
      </c>
      <c r="F192" s="143" t="s">
        <v>2504</v>
      </c>
      <c r="G192" s="143" t="s">
        <v>2504</v>
      </c>
      <c r="H192" s="143" t="s">
        <v>2504</v>
      </c>
      <c r="I192" s="143" t="s">
        <v>2504</v>
      </c>
      <c r="J192" s="143" t="s">
        <v>2504</v>
      </c>
      <c r="K192" s="143" t="s">
        <v>2504</v>
      </c>
      <c r="L192" s="143" t="s">
        <v>2504</v>
      </c>
      <c r="M192" s="143" t="s">
        <v>2504</v>
      </c>
      <c r="N192" s="143" t="s">
        <v>2504</v>
      </c>
      <c r="O192" s="143" t="s">
        <v>2504</v>
      </c>
      <c r="P192" s="143" t="s">
        <v>2504</v>
      </c>
      <c r="Q192" s="148" t="s">
        <v>2349</v>
      </c>
      <c r="R192" s="148" t="s">
        <v>589</v>
      </c>
      <c r="S192" s="148" t="s">
        <v>2071</v>
      </c>
      <c r="T192" s="149">
        <v>1</v>
      </c>
      <c r="U192" s="148" t="s">
        <v>591</v>
      </c>
      <c r="V192" s="150">
        <v>100.25</v>
      </c>
      <c r="W192" s="151">
        <v>912.64</v>
      </c>
    </row>
    <row r="193" spans="1:23" ht="15" customHeight="1" x14ac:dyDescent="0.25">
      <c r="A193" s="148">
        <v>16818</v>
      </c>
      <c r="B193" s="148" t="s">
        <v>2350</v>
      </c>
      <c r="C193" s="143" t="s">
        <v>2504</v>
      </c>
      <c r="D193" s="143" t="s">
        <v>2504</v>
      </c>
      <c r="E193" s="143" t="s">
        <v>2504</v>
      </c>
      <c r="F193" s="143" t="s">
        <v>2504</v>
      </c>
      <c r="G193" s="143" t="s">
        <v>2504</v>
      </c>
      <c r="H193" s="143" t="s">
        <v>2504</v>
      </c>
      <c r="I193" s="143" t="s">
        <v>2504</v>
      </c>
      <c r="J193" s="143" t="s">
        <v>2504</v>
      </c>
      <c r="K193" s="143" t="s">
        <v>2504</v>
      </c>
      <c r="L193" s="143" t="s">
        <v>2504</v>
      </c>
      <c r="M193" s="143" t="s">
        <v>2504</v>
      </c>
      <c r="N193" s="143" t="s">
        <v>2504</v>
      </c>
      <c r="O193" s="143" t="s">
        <v>2504</v>
      </c>
      <c r="P193" s="143" t="s">
        <v>2504</v>
      </c>
      <c r="Q193" s="148" t="s">
        <v>2351</v>
      </c>
      <c r="R193" s="148" t="s">
        <v>600</v>
      </c>
      <c r="S193" s="148" t="s">
        <v>613</v>
      </c>
      <c r="T193" s="149">
        <v>1</v>
      </c>
      <c r="U193" s="148" t="s">
        <v>591</v>
      </c>
      <c r="V193" s="150">
        <v>62.84</v>
      </c>
      <c r="W193" s="151">
        <f>V193*1000</f>
        <v>62840</v>
      </c>
    </row>
    <row r="194" spans="1:23" ht="15" customHeight="1" x14ac:dyDescent="0.25">
      <c r="A194" s="148">
        <v>16823</v>
      </c>
      <c r="B194" s="148" t="s">
        <v>2352</v>
      </c>
      <c r="C194" s="143" t="s">
        <v>2504</v>
      </c>
      <c r="D194" s="143" t="s">
        <v>2504</v>
      </c>
      <c r="E194" s="143" t="s">
        <v>2504</v>
      </c>
      <c r="F194" s="143" t="s">
        <v>2504</v>
      </c>
      <c r="G194" s="143" t="s">
        <v>2504</v>
      </c>
      <c r="H194" s="143" t="s">
        <v>2504</v>
      </c>
      <c r="I194" s="143" t="s">
        <v>2504</v>
      </c>
      <c r="J194" s="143" t="s">
        <v>2504</v>
      </c>
      <c r="K194" s="143" t="s">
        <v>2504</v>
      </c>
      <c r="L194" s="143" t="s">
        <v>2504</v>
      </c>
      <c r="M194" s="143" t="s">
        <v>2504</v>
      </c>
      <c r="N194" s="143" t="s">
        <v>2504</v>
      </c>
      <c r="O194" s="143" t="s">
        <v>2504</v>
      </c>
      <c r="P194" s="143" t="s">
        <v>2504</v>
      </c>
      <c r="Q194" s="148" t="s">
        <v>2353</v>
      </c>
      <c r="R194" s="148" t="s">
        <v>594</v>
      </c>
      <c r="S194" s="148" t="s">
        <v>2214</v>
      </c>
      <c r="T194" s="149">
        <v>1</v>
      </c>
      <c r="U194" s="148" t="s">
        <v>591</v>
      </c>
      <c r="V194" s="150">
        <v>117.14</v>
      </c>
      <c r="W194" s="151">
        <v>14584.94</v>
      </c>
    </row>
    <row r="195" spans="1:23" ht="15" customHeight="1" x14ac:dyDescent="0.25">
      <c r="A195" s="148">
        <v>16824</v>
      </c>
      <c r="B195" s="148" t="s">
        <v>2354</v>
      </c>
      <c r="C195" s="143" t="s">
        <v>2504</v>
      </c>
      <c r="D195" s="143" t="s">
        <v>2504</v>
      </c>
      <c r="E195" s="143" t="s">
        <v>2504</v>
      </c>
      <c r="F195" s="143" t="s">
        <v>2504</v>
      </c>
      <c r="G195" s="143" t="s">
        <v>2504</v>
      </c>
      <c r="H195" s="143" t="s">
        <v>2504</v>
      </c>
      <c r="I195" s="143" t="s">
        <v>2504</v>
      </c>
      <c r="J195" s="143" t="s">
        <v>2504</v>
      </c>
      <c r="K195" s="143" t="s">
        <v>2504</v>
      </c>
      <c r="L195" s="143" t="s">
        <v>2504</v>
      </c>
      <c r="M195" s="143" t="s">
        <v>2504</v>
      </c>
      <c r="N195" s="143" t="s">
        <v>2504</v>
      </c>
      <c r="O195" s="143" t="s">
        <v>2504</v>
      </c>
      <c r="P195" s="143" t="s">
        <v>2504</v>
      </c>
      <c r="Q195" s="148" t="s">
        <v>2355</v>
      </c>
      <c r="R195" s="148" t="s">
        <v>594</v>
      </c>
      <c r="S195" s="148" t="s">
        <v>2214</v>
      </c>
      <c r="T195" s="149">
        <v>1</v>
      </c>
      <c r="U195" s="148" t="s">
        <v>591</v>
      </c>
      <c r="V195" s="150">
        <v>120.46</v>
      </c>
      <c r="W195" s="151">
        <v>1377.57</v>
      </c>
    </row>
    <row r="196" spans="1:23" ht="15" customHeight="1" x14ac:dyDescent="0.25">
      <c r="A196" s="148">
        <v>16825</v>
      </c>
      <c r="B196" s="148" t="s">
        <v>2356</v>
      </c>
      <c r="C196" s="143" t="s">
        <v>2504</v>
      </c>
      <c r="D196" s="143" t="s">
        <v>2504</v>
      </c>
      <c r="E196" s="143" t="s">
        <v>2504</v>
      </c>
      <c r="F196" s="143" t="s">
        <v>2504</v>
      </c>
      <c r="G196" s="143" t="s">
        <v>2504</v>
      </c>
      <c r="H196" s="143" t="s">
        <v>2504</v>
      </c>
      <c r="I196" s="143" t="s">
        <v>2504</v>
      </c>
      <c r="J196" s="143" t="s">
        <v>2504</v>
      </c>
      <c r="K196" s="143" t="s">
        <v>2504</v>
      </c>
      <c r="L196" s="143" t="s">
        <v>2504</v>
      </c>
      <c r="M196" s="143" t="s">
        <v>2504</v>
      </c>
      <c r="N196" s="143" t="s">
        <v>2504</v>
      </c>
      <c r="O196" s="143" t="s">
        <v>2504</v>
      </c>
      <c r="P196" s="143" t="s">
        <v>2504</v>
      </c>
      <c r="Q196" s="148" t="s">
        <v>2357</v>
      </c>
      <c r="R196" s="148" t="s">
        <v>594</v>
      </c>
      <c r="S196" s="148" t="s">
        <v>2214</v>
      </c>
      <c r="T196" s="149">
        <v>1</v>
      </c>
      <c r="U196" s="148" t="s">
        <v>591</v>
      </c>
      <c r="V196" s="150">
        <v>125.46</v>
      </c>
      <c r="W196" s="151">
        <v>9626.73</v>
      </c>
    </row>
    <row r="197" spans="1:23" ht="15" customHeight="1" x14ac:dyDescent="0.25">
      <c r="A197" s="148">
        <v>16826</v>
      </c>
      <c r="B197" s="148" t="s">
        <v>2358</v>
      </c>
      <c r="C197" s="143" t="s">
        <v>2504</v>
      </c>
      <c r="D197" s="143" t="s">
        <v>2504</v>
      </c>
      <c r="E197" s="143" t="s">
        <v>2504</v>
      </c>
      <c r="F197" s="143" t="s">
        <v>2504</v>
      </c>
      <c r="G197" s="143" t="s">
        <v>2504</v>
      </c>
      <c r="H197" s="143" t="s">
        <v>2504</v>
      </c>
      <c r="I197" s="143" t="s">
        <v>2504</v>
      </c>
      <c r="J197" s="143" t="s">
        <v>2504</v>
      </c>
      <c r="K197" s="143" t="s">
        <v>2504</v>
      </c>
      <c r="L197" s="143" t="s">
        <v>2504</v>
      </c>
      <c r="M197" s="143" t="s">
        <v>2504</v>
      </c>
      <c r="N197" s="143" t="s">
        <v>2504</v>
      </c>
      <c r="O197" s="143" t="s">
        <v>2504</v>
      </c>
      <c r="P197" s="143" t="s">
        <v>2504</v>
      </c>
      <c r="Q197" s="148" t="s">
        <v>2359</v>
      </c>
      <c r="R197" s="148" t="s">
        <v>594</v>
      </c>
      <c r="S197" s="148" t="s">
        <v>2214</v>
      </c>
      <c r="T197" s="149">
        <v>1</v>
      </c>
      <c r="U197" s="148" t="s">
        <v>591</v>
      </c>
      <c r="V197" s="150">
        <v>134.09</v>
      </c>
      <c r="W197" s="151">
        <v>100241.53</v>
      </c>
    </row>
    <row r="198" spans="1:23" ht="15" customHeight="1" x14ac:dyDescent="0.25">
      <c r="A198" s="148">
        <v>16827</v>
      </c>
      <c r="B198" s="148" t="s">
        <v>2360</v>
      </c>
      <c r="C198" s="143" t="s">
        <v>2504</v>
      </c>
      <c r="D198" s="143" t="s">
        <v>2504</v>
      </c>
      <c r="E198" s="143" t="s">
        <v>2504</v>
      </c>
      <c r="F198" s="143" t="s">
        <v>2504</v>
      </c>
      <c r="G198" s="143" t="s">
        <v>2504</v>
      </c>
      <c r="H198" s="143" t="s">
        <v>2504</v>
      </c>
      <c r="I198" s="143" t="s">
        <v>2504</v>
      </c>
      <c r="J198" s="143" t="s">
        <v>2504</v>
      </c>
      <c r="K198" s="143" t="s">
        <v>2504</v>
      </c>
      <c r="L198" s="143" t="s">
        <v>2504</v>
      </c>
      <c r="M198" s="143" t="s">
        <v>2504</v>
      </c>
      <c r="N198" s="143" t="s">
        <v>2504</v>
      </c>
      <c r="O198" s="143" t="s">
        <v>2504</v>
      </c>
      <c r="P198" s="143" t="s">
        <v>2504</v>
      </c>
      <c r="Q198" s="148" t="s">
        <v>2361</v>
      </c>
      <c r="R198" s="148" t="s">
        <v>594</v>
      </c>
      <c r="S198" s="148" t="s">
        <v>2257</v>
      </c>
      <c r="T198" s="149">
        <v>1</v>
      </c>
      <c r="U198" s="148" t="s">
        <v>591</v>
      </c>
      <c r="V198" s="150">
        <v>196.09</v>
      </c>
      <c r="W198" s="151">
        <v>4465.79</v>
      </c>
    </row>
    <row r="199" spans="1:23" ht="15" customHeight="1" x14ac:dyDescent="0.25">
      <c r="A199" s="148">
        <v>16828</v>
      </c>
      <c r="B199" s="148" t="s">
        <v>2362</v>
      </c>
      <c r="C199" s="143" t="s">
        <v>2504</v>
      </c>
      <c r="D199" s="143" t="s">
        <v>2504</v>
      </c>
      <c r="E199" s="143" t="s">
        <v>2504</v>
      </c>
      <c r="F199" s="143" t="s">
        <v>2504</v>
      </c>
      <c r="G199" s="143" t="s">
        <v>2504</v>
      </c>
      <c r="H199" s="143" t="s">
        <v>2504</v>
      </c>
      <c r="I199" s="143" t="s">
        <v>2504</v>
      </c>
      <c r="J199" s="143" t="s">
        <v>2504</v>
      </c>
      <c r="K199" s="143" t="s">
        <v>2504</v>
      </c>
      <c r="L199" s="143" t="s">
        <v>2504</v>
      </c>
      <c r="M199" s="143" t="s">
        <v>2504</v>
      </c>
      <c r="N199" s="143" t="s">
        <v>2504</v>
      </c>
      <c r="O199" s="143" t="s">
        <v>2504</v>
      </c>
      <c r="P199" s="143" t="s">
        <v>2504</v>
      </c>
      <c r="Q199" s="148" t="s">
        <v>2363</v>
      </c>
      <c r="R199" s="148" t="s">
        <v>594</v>
      </c>
      <c r="S199" s="148" t="s">
        <v>2257</v>
      </c>
      <c r="T199" s="149">
        <v>1</v>
      </c>
      <c r="U199" s="148" t="s">
        <v>591</v>
      </c>
      <c r="V199" s="150">
        <v>194.18</v>
      </c>
      <c r="W199" s="151">
        <v>1994.22</v>
      </c>
    </row>
    <row r="200" spans="1:23" ht="15" customHeight="1" x14ac:dyDescent="0.25">
      <c r="A200" s="148">
        <v>16829</v>
      </c>
      <c r="B200" s="148" t="s">
        <v>2364</v>
      </c>
      <c r="C200" s="143" t="s">
        <v>2504</v>
      </c>
      <c r="D200" s="143" t="s">
        <v>2504</v>
      </c>
      <c r="E200" s="143" t="s">
        <v>2504</v>
      </c>
      <c r="F200" s="143" t="s">
        <v>2504</v>
      </c>
      <c r="G200" s="143" t="s">
        <v>2504</v>
      </c>
      <c r="H200" s="143" t="s">
        <v>2504</v>
      </c>
      <c r="I200" s="143" t="s">
        <v>2504</v>
      </c>
      <c r="J200" s="143" t="s">
        <v>2504</v>
      </c>
      <c r="K200" s="143" t="s">
        <v>2504</v>
      </c>
      <c r="L200" s="143" t="s">
        <v>2504</v>
      </c>
      <c r="M200" s="143" t="s">
        <v>2504</v>
      </c>
      <c r="N200" s="143" t="s">
        <v>2504</v>
      </c>
      <c r="O200" s="143" t="s">
        <v>2504</v>
      </c>
      <c r="P200" s="143" t="s">
        <v>2504</v>
      </c>
      <c r="Q200" s="148" t="s">
        <v>2365</v>
      </c>
      <c r="R200" s="148" t="s">
        <v>594</v>
      </c>
      <c r="S200" s="148" t="s">
        <v>2257</v>
      </c>
      <c r="T200" s="149">
        <v>1</v>
      </c>
      <c r="U200" s="148" t="s">
        <v>591</v>
      </c>
      <c r="V200" s="150">
        <v>200.68</v>
      </c>
      <c r="W200" s="151">
        <v>21092.92</v>
      </c>
    </row>
    <row r="201" spans="1:23" ht="15" customHeight="1" x14ac:dyDescent="0.25">
      <c r="A201" s="148">
        <v>16830</v>
      </c>
      <c r="B201" s="148" t="s">
        <v>2366</v>
      </c>
      <c r="C201" s="143" t="s">
        <v>2504</v>
      </c>
      <c r="D201" s="143" t="s">
        <v>2504</v>
      </c>
      <c r="E201" s="143" t="s">
        <v>2504</v>
      </c>
      <c r="F201" s="143" t="s">
        <v>2504</v>
      </c>
      <c r="G201" s="143" t="s">
        <v>2504</v>
      </c>
      <c r="H201" s="143" t="s">
        <v>2504</v>
      </c>
      <c r="I201" s="143" t="s">
        <v>2504</v>
      </c>
      <c r="J201" s="143" t="s">
        <v>2504</v>
      </c>
      <c r="K201" s="143" t="s">
        <v>2504</v>
      </c>
      <c r="L201" s="143" t="s">
        <v>2504</v>
      </c>
      <c r="M201" s="143" t="s">
        <v>2504</v>
      </c>
      <c r="N201" s="143" t="s">
        <v>2504</v>
      </c>
      <c r="O201" s="143" t="s">
        <v>2504</v>
      </c>
      <c r="P201" s="143" t="s">
        <v>2504</v>
      </c>
      <c r="Q201" s="148" t="s">
        <v>2367</v>
      </c>
      <c r="R201" s="148" t="s">
        <v>594</v>
      </c>
      <c r="S201" s="148" t="s">
        <v>2257</v>
      </c>
      <c r="T201" s="149">
        <v>1</v>
      </c>
      <c r="U201" s="148" t="s">
        <v>591</v>
      </c>
      <c r="V201" s="150">
        <v>199.41</v>
      </c>
      <c r="W201" s="151">
        <v>468</v>
      </c>
    </row>
    <row r="202" spans="1:23" ht="15" customHeight="1" x14ac:dyDescent="0.25">
      <c r="A202" s="148">
        <v>16831</v>
      </c>
      <c r="B202" s="148" t="s">
        <v>2368</v>
      </c>
      <c r="C202" s="143" t="s">
        <v>2504</v>
      </c>
      <c r="D202" s="143" t="s">
        <v>2504</v>
      </c>
      <c r="E202" s="143" t="s">
        <v>2504</v>
      </c>
      <c r="F202" s="143" t="s">
        <v>2504</v>
      </c>
      <c r="G202" s="143" t="s">
        <v>2504</v>
      </c>
      <c r="H202" s="143" t="s">
        <v>2504</v>
      </c>
      <c r="I202" s="143" t="s">
        <v>2504</v>
      </c>
      <c r="J202" s="143" t="s">
        <v>2504</v>
      </c>
      <c r="K202" s="143" t="s">
        <v>2504</v>
      </c>
      <c r="L202" s="143" t="s">
        <v>2504</v>
      </c>
      <c r="M202" s="143" t="s">
        <v>2504</v>
      </c>
      <c r="N202" s="143" t="s">
        <v>2504</v>
      </c>
      <c r="O202" s="143" t="s">
        <v>2504</v>
      </c>
      <c r="P202" s="143" t="s">
        <v>2504</v>
      </c>
      <c r="Q202" s="148" t="s">
        <v>2369</v>
      </c>
      <c r="R202" s="148" t="s">
        <v>594</v>
      </c>
      <c r="S202" s="148" t="s">
        <v>2232</v>
      </c>
      <c r="T202" s="149">
        <v>1</v>
      </c>
      <c r="U202" s="148" t="s">
        <v>591</v>
      </c>
      <c r="V202" s="150">
        <v>186.1</v>
      </c>
      <c r="W202" s="151">
        <v>3052.77</v>
      </c>
    </row>
    <row r="203" spans="1:23" ht="15" customHeight="1" x14ac:dyDescent="0.25">
      <c r="A203" s="148">
        <v>16832</v>
      </c>
      <c r="B203" s="148" t="s">
        <v>2370</v>
      </c>
      <c r="C203" s="143" t="s">
        <v>2504</v>
      </c>
      <c r="D203" s="143" t="s">
        <v>2504</v>
      </c>
      <c r="E203" s="143" t="s">
        <v>2504</v>
      </c>
      <c r="F203" s="143" t="s">
        <v>2504</v>
      </c>
      <c r="G203" s="143" t="s">
        <v>2504</v>
      </c>
      <c r="H203" s="143" t="s">
        <v>2504</v>
      </c>
      <c r="I203" s="143" t="s">
        <v>2504</v>
      </c>
      <c r="J203" s="143" t="s">
        <v>2504</v>
      </c>
      <c r="K203" s="143" t="s">
        <v>2504</v>
      </c>
      <c r="L203" s="143" t="s">
        <v>2504</v>
      </c>
      <c r="M203" s="143" t="s">
        <v>2504</v>
      </c>
      <c r="N203" s="143" t="s">
        <v>2504</v>
      </c>
      <c r="O203" s="143" t="s">
        <v>2504</v>
      </c>
      <c r="P203" s="143" t="s">
        <v>2504</v>
      </c>
      <c r="Q203" s="148" t="s">
        <v>2371</v>
      </c>
      <c r="R203" s="148" t="s">
        <v>594</v>
      </c>
      <c r="S203" s="148" t="s">
        <v>2232</v>
      </c>
      <c r="T203" s="149">
        <v>1</v>
      </c>
      <c r="U203" s="148" t="s">
        <v>591</v>
      </c>
      <c r="V203" s="150">
        <v>187.51</v>
      </c>
      <c r="W203" s="151">
        <f>V203*24</f>
        <v>4500.24</v>
      </c>
    </row>
    <row r="204" spans="1:23" ht="15" customHeight="1" x14ac:dyDescent="0.25">
      <c r="A204" s="148">
        <v>16833</v>
      </c>
      <c r="B204" s="148" t="s">
        <v>2372</v>
      </c>
      <c r="C204" s="143" t="s">
        <v>2504</v>
      </c>
      <c r="D204" s="143" t="s">
        <v>2504</v>
      </c>
      <c r="E204" s="143" t="s">
        <v>2504</v>
      </c>
      <c r="F204" s="143" t="s">
        <v>2504</v>
      </c>
      <c r="G204" s="143" t="s">
        <v>2504</v>
      </c>
      <c r="H204" s="143" t="s">
        <v>2504</v>
      </c>
      <c r="I204" s="143" t="s">
        <v>2504</v>
      </c>
      <c r="J204" s="143" t="s">
        <v>2504</v>
      </c>
      <c r="K204" s="143" t="s">
        <v>2504</v>
      </c>
      <c r="L204" s="143" t="s">
        <v>2504</v>
      </c>
      <c r="M204" s="143" t="s">
        <v>2504</v>
      </c>
      <c r="N204" s="143" t="s">
        <v>2504</v>
      </c>
      <c r="O204" s="143" t="s">
        <v>2504</v>
      </c>
      <c r="P204" s="143" t="s">
        <v>2504</v>
      </c>
      <c r="Q204" s="148" t="s">
        <v>2373</v>
      </c>
      <c r="R204" s="148" t="s">
        <v>594</v>
      </c>
      <c r="S204" s="148" t="s">
        <v>2232</v>
      </c>
      <c r="T204" s="149">
        <v>1</v>
      </c>
      <c r="U204" s="148" t="s">
        <v>591</v>
      </c>
      <c r="V204" s="150">
        <v>185</v>
      </c>
      <c r="W204" s="151">
        <v>882.56</v>
      </c>
    </row>
    <row r="205" spans="1:23" ht="15" customHeight="1" x14ac:dyDescent="0.25">
      <c r="A205" s="148">
        <v>16840</v>
      </c>
      <c r="B205" s="148" t="s">
        <v>2374</v>
      </c>
      <c r="C205" s="143" t="s">
        <v>2504</v>
      </c>
      <c r="D205" s="143" t="s">
        <v>2504</v>
      </c>
      <c r="E205" s="143" t="s">
        <v>2504</v>
      </c>
      <c r="F205" s="143" t="s">
        <v>2504</v>
      </c>
      <c r="G205" s="143" t="s">
        <v>2504</v>
      </c>
      <c r="H205" s="143" t="s">
        <v>2504</v>
      </c>
      <c r="I205" s="143" t="s">
        <v>2504</v>
      </c>
      <c r="J205" s="143" t="s">
        <v>2504</v>
      </c>
      <c r="K205" s="143" t="s">
        <v>2504</v>
      </c>
      <c r="L205" s="143" t="s">
        <v>2504</v>
      </c>
      <c r="M205" s="143" t="s">
        <v>2504</v>
      </c>
      <c r="N205" s="143" t="s">
        <v>2504</v>
      </c>
      <c r="O205" s="143" t="s">
        <v>2504</v>
      </c>
      <c r="P205" s="143" t="s">
        <v>2504</v>
      </c>
      <c r="Q205" s="148" t="s">
        <v>2375</v>
      </c>
      <c r="R205" s="148" t="s">
        <v>594</v>
      </c>
      <c r="S205" s="148" t="s">
        <v>776</v>
      </c>
      <c r="T205" s="149">
        <v>1</v>
      </c>
      <c r="U205" s="148" t="s">
        <v>591</v>
      </c>
      <c r="V205" s="150">
        <v>102.32</v>
      </c>
      <c r="W205" s="151">
        <v>1960.16</v>
      </c>
    </row>
    <row r="206" spans="1:23" ht="15" customHeight="1" x14ac:dyDescent="0.25">
      <c r="A206" s="148">
        <v>16841</v>
      </c>
      <c r="B206" s="148" t="s">
        <v>2376</v>
      </c>
      <c r="C206" s="143" t="s">
        <v>2504</v>
      </c>
      <c r="D206" s="143" t="s">
        <v>2504</v>
      </c>
      <c r="E206" s="143" t="s">
        <v>2504</v>
      </c>
      <c r="F206" s="143" t="s">
        <v>2504</v>
      </c>
      <c r="G206" s="143" t="s">
        <v>2504</v>
      </c>
      <c r="H206" s="143" t="s">
        <v>2504</v>
      </c>
      <c r="I206" s="143" t="s">
        <v>2504</v>
      </c>
      <c r="J206" s="143" t="s">
        <v>2504</v>
      </c>
      <c r="K206" s="143" t="s">
        <v>2504</v>
      </c>
      <c r="L206" s="143" t="s">
        <v>2504</v>
      </c>
      <c r="M206" s="143" t="s">
        <v>2504</v>
      </c>
      <c r="N206" s="143" t="s">
        <v>2504</v>
      </c>
      <c r="O206" s="143" t="s">
        <v>2504</v>
      </c>
      <c r="P206" s="143" t="s">
        <v>2504</v>
      </c>
      <c r="Q206" s="148" t="s">
        <v>2377</v>
      </c>
      <c r="R206" s="148" t="s">
        <v>630</v>
      </c>
      <c r="S206" s="148" t="s">
        <v>631</v>
      </c>
      <c r="T206" s="149">
        <v>1</v>
      </c>
      <c r="U206" s="148" t="s">
        <v>591</v>
      </c>
      <c r="V206" s="150">
        <v>81.93</v>
      </c>
      <c r="W206" s="151">
        <v>55672.01</v>
      </c>
    </row>
    <row r="207" spans="1:23" ht="15" customHeight="1" x14ac:dyDescent="0.25">
      <c r="A207" s="148">
        <v>16845</v>
      </c>
      <c r="B207" s="148" t="s">
        <v>2379</v>
      </c>
      <c r="C207" s="143" t="s">
        <v>2504</v>
      </c>
      <c r="D207" s="143" t="s">
        <v>2504</v>
      </c>
      <c r="E207" s="143" t="s">
        <v>2504</v>
      </c>
      <c r="F207" s="143" t="s">
        <v>2504</v>
      </c>
      <c r="G207" s="143" t="s">
        <v>2504</v>
      </c>
      <c r="H207" s="143" t="s">
        <v>2504</v>
      </c>
      <c r="I207" s="143" t="s">
        <v>2504</v>
      </c>
      <c r="J207" s="143" t="s">
        <v>2504</v>
      </c>
      <c r="K207" s="143" t="s">
        <v>2504</v>
      </c>
      <c r="L207" s="143" t="s">
        <v>2504</v>
      </c>
      <c r="M207" s="143" t="s">
        <v>2504</v>
      </c>
      <c r="N207" s="143" t="s">
        <v>2504</v>
      </c>
      <c r="O207" s="143" t="s">
        <v>2504</v>
      </c>
      <c r="P207" s="143" t="s">
        <v>2504</v>
      </c>
      <c r="Q207" s="148" t="s">
        <v>2380</v>
      </c>
      <c r="R207" s="148" t="s">
        <v>594</v>
      </c>
      <c r="S207" s="148" t="s">
        <v>2257</v>
      </c>
      <c r="T207" s="149">
        <v>1</v>
      </c>
      <c r="U207" s="148" t="s">
        <v>591</v>
      </c>
      <c r="V207" s="150">
        <v>172.67</v>
      </c>
      <c r="W207" s="151">
        <v>84812.66</v>
      </c>
    </row>
    <row r="208" spans="1:23" ht="15" customHeight="1" x14ac:dyDescent="0.25">
      <c r="A208" s="148">
        <v>16846</v>
      </c>
      <c r="B208" s="148" t="s">
        <v>2381</v>
      </c>
      <c r="C208" s="143" t="s">
        <v>2504</v>
      </c>
      <c r="D208" s="143" t="s">
        <v>2504</v>
      </c>
      <c r="E208" s="143" t="s">
        <v>2504</v>
      </c>
      <c r="F208" s="143" t="s">
        <v>2504</v>
      </c>
      <c r="G208" s="143" t="s">
        <v>2504</v>
      </c>
      <c r="H208" s="143" t="s">
        <v>2504</v>
      </c>
      <c r="I208" s="143" t="s">
        <v>2504</v>
      </c>
      <c r="J208" s="143" t="s">
        <v>2504</v>
      </c>
      <c r="K208" s="143" t="s">
        <v>2504</v>
      </c>
      <c r="L208" s="143" t="s">
        <v>2504</v>
      </c>
      <c r="M208" s="143" t="s">
        <v>2504</v>
      </c>
      <c r="N208" s="143" t="s">
        <v>2504</v>
      </c>
      <c r="O208" s="143" t="s">
        <v>2504</v>
      </c>
      <c r="P208" s="143" t="s">
        <v>2504</v>
      </c>
      <c r="Q208" s="148" t="s">
        <v>2382</v>
      </c>
      <c r="R208" s="148" t="s">
        <v>630</v>
      </c>
      <c r="S208" s="148" t="s">
        <v>2341</v>
      </c>
      <c r="T208" s="149">
        <v>1</v>
      </c>
      <c r="U208" s="148" t="s">
        <v>591</v>
      </c>
      <c r="V208" s="150">
        <v>169.02</v>
      </c>
      <c r="W208" s="151">
        <v>7220.57</v>
      </c>
    </row>
    <row r="209" spans="1:23" ht="15" customHeight="1" x14ac:dyDescent="0.25">
      <c r="A209" s="148">
        <v>16847</v>
      </c>
      <c r="B209" s="148" t="s">
        <v>2383</v>
      </c>
      <c r="C209" s="143" t="s">
        <v>2504</v>
      </c>
      <c r="D209" s="143" t="s">
        <v>2504</v>
      </c>
      <c r="E209" s="143" t="s">
        <v>2504</v>
      </c>
      <c r="F209" s="143" t="s">
        <v>2504</v>
      </c>
      <c r="G209" s="143" t="s">
        <v>2504</v>
      </c>
      <c r="H209" s="143" t="s">
        <v>2504</v>
      </c>
      <c r="I209" s="143" t="s">
        <v>2504</v>
      </c>
      <c r="J209" s="143" t="s">
        <v>2504</v>
      </c>
      <c r="K209" s="143" t="s">
        <v>2504</v>
      </c>
      <c r="L209" s="143" t="s">
        <v>2504</v>
      </c>
      <c r="M209" s="143" t="s">
        <v>2504</v>
      </c>
      <c r="N209" s="143" t="s">
        <v>2504</v>
      </c>
      <c r="O209" s="143" t="s">
        <v>2504</v>
      </c>
      <c r="P209" s="143" t="s">
        <v>2504</v>
      </c>
      <c r="Q209" s="148" t="s">
        <v>2384</v>
      </c>
      <c r="R209" s="148" t="s">
        <v>594</v>
      </c>
      <c r="S209" s="148" t="s">
        <v>2232</v>
      </c>
      <c r="T209" s="149">
        <v>1</v>
      </c>
      <c r="U209" s="148" t="s">
        <v>591</v>
      </c>
      <c r="V209" s="150">
        <v>185.94</v>
      </c>
      <c r="W209" s="151">
        <v>8350.8700000000008</v>
      </c>
    </row>
    <row r="210" spans="1:23" ht="15" customHeight="1" x14ac:dyDescent="0.25">
      <c r="A210" s="148">
        <v>16848</v>
      </c>
      <c r="B210" s="148" t="s">
        <v>2385</v>
      </c>
      <c r="C210" s="143" t="s">
        <v>2504</v>
      </c>
      <c r="D210" s="143" t="s">
        <v>2504</v>
      </c>
      <c r="E210" s="143" t="s">
        <v>2504</v>
      </c>
      <c r="F210" s="143" t="s">
        <v>2504</v>
      </c>
      <c r="G210" s="143" t="s">
        <v>2504</v>
      </c>
      <c r="H210" s="143" t="s">
        <v>2504</v>
      </c>
      <c r="I210" s="143" t="s">
        <v>2504</v>
      </c>
      <c r="J210" s="143" t="s">
        <v>2504</v>
      </c>
      <c r="K210" s="143" t="s">
        <v>2504</v>
      </c>
      <c r="L210" s="143" t="s">
        <v>2504</v>
      </c>
      <c r="M210" s="143" t="s">
        <v>2504</v>
      </c>
      <c r="N210" s="143" t="s">
        <v>2504</v>
      </c>
      <c r="O210" s="143" t="s">
        <v>2504</v>
      </c>
      <c r="P210" s="143" t="s">
        <v>2504</v>
      </c>
      <c r="Q210" s="148" t="s">
        <v>2386</v>
      </c>
      <c r="R210" s="148" t="s">
        <v>630</v>
      </c>
      <c r="S210" s="148" t="s">
        <v>745</v>
      </c>
      <c r="T210" s="149">
        <v>1</v>
      </c>
      <c r="U210" s="148" t="s">
        <v>591</v>
      </c>
      <c r="V210" s="150">
        <v>126.88</v>
      </c>
      <c r="W210" s="151">
        <v>88030.1</v>
      </c>
    </row>
    <row r="211" spans="1:23" ht="15" customHeight="1" x14ac:dyDescent="0.25">
      <c r="A211" s="148">
        <v>16850</v>
      </c>
      <c r="B211" s="148" t="s">
        <v>2388</v>
      </c>
      <c r="C211" s="143" t="s">
        <v>2504</v>
      </c>
      <c r="D211" s="143" t="s">
        <v>2504</v>
      </c>
      <c r="E211" s="143" t="s">
        <v>2504</v>
      </c>
      <c r="F211" s="143" t="s">
        <v>2504</v>
      </c>
      <c r="G211" s="143" t="s">
        <v>2504</v>
      </c>
      <c r="H211" s="143" t="s">
        <v>2504</v>
      </c>
      <c r="I211" s="143" t="s">
        <v>2504</v>
      </c>
      <c r="J211" s="143" t="s">
        <v>2504</v>
      </c>
      <c r="K211" s="143" t="s">
        <v>2504</v>
      </c>
      <c r="L211" s="143" t="s">
        <v>2504</v>
      </c>
      <c r="M211" s="143" t="s">
        <v>2504</v>
      </c>
      <c r="N211" s="143" t="s">
        <v>2504</v>
      </c>
      <c r="O211" s="143" t="s">
        <v>2504</v>
      </c>
      <c r="P211" s="143" t="s">
        <v>2504</v>
      </c>
      <c r="Q211" s="148" t="s">
        <v>2389</v>
      </c>
      <c r="R211" s="148" t="s">
        <v>630</v>
      </c>
      <c r="S211" s="148" t="s">
        <v>2341</v>
      </c>
      <c r="T211" s="149">
        <v>1</v>
      </c>
      <c r="U211" s="148" t="s">
        <v>591</v>
      </c>
      <c r="V211" s="150">
        <v>144.62</v>
      </c>
      <c r="W211" s="151">
        <v>20920.689999999999</v>
      </c>
    </row>
    <row r="212" spans="1:23" ht="15" customHeight="1" x14ac:dyDescent="0.25">
      <c r="A212" s="148">
        <v>16901</v>
      </c>
      <c r="B212" s="148" t="s">
        <v>2391</v>
      </c>
      <c r="C212" s="143" t="s">
        <v>2504</v>
      </c>
      <c r="D212" s="143" t="s">
        <v>2504</v>
      </c>
      <c r="E212" s="143" t="s">
        <v>2504</v>
      </c>
      <c r="F212" s="143" t="s">
        <v>2504</v>
      </c>
      <c r="G212" s="143" t="s">
        <v>2504</v>
      </c>
      <c r="H212" s="143" t="s">
        <v>2504</v>
      </c>
      <c r="I212" s="143" t="s">
        <v>2504</v>
      </c>
      <c r="J212" s="143" t="s">
        <v>2504</v>
      </c>
      <c r="K212" s="143" t="s">
        <v>2504</v>
      </c>
      <c r="L212" s="143" t="s">
        <v>2504</v>
      </c>
      <c r="M212" s="143" t="s">
        <v>2504</v>
      </c>
      <c r="N212" s="143" t="s">
        <v>2504</v>
      </c>
      <c r="O212" s="143" t="s">
        <v>2504</v>
      </c>
      <c r="P212" s="143" t="s">
        <v>2504</v>
      </c>
      <c r="Q212" s="148" t="s">
        <v>2392</v>
      </c>
      <c r="R212" s="148" t="s">
        <v>594</v>
      </c>
      <c r="S212" s="148" t="s">
        <v>2279</v>
      </c>
      <c r="T212" s="149">
        <v>0.95</v>
      </c>
      <c r="U212" s="148" t="s">
        <v>591</v>
      </c>
      <c r="V212" s="150">
        <v>204.55</v>
      </c>
      <c r="W212" s="151">
        <v>23800.959999999999</v>
      </c>
    </row>
    <row r="213" spans="1:23" ht="15" customHeight="1" x14ac:dyDescent="0.25">
      <c r="A213" s="148">
        <v>16903</v>
      </c>
      <c r="B213" s="148" t="s">
        <v>2394</v>
      </c>
      <c r="C213" s="143" t="s">
        <v>2504</v>
      </c>
      <c r="D213" s="143" t="s">
        <v>2504</v>
      </c>
      <c r="E213" s="143" t="s">
        <v>2504</v>
      </c>
      <c r="F213" s="143" t="s">
        <v>2504</v>
      </c>
      <c r="G213" s="143" t="s">
        <v>2504</v>
      </c>
      <c r="H213" s="143" t="s">
        <v>2504</v>
      </c>
      <c r="I213" s="143" t="s">
        <v>2504</v>
      </c>
      <c r="J213" s="143" t="s">
        <v>2504</v>
      </c>
      <c r="K213" s="143" t="s">
        <v>2504</v>
      </c>
      <c r="L213" s="143" t="s">
        <v>2504</v>
      </c>
      <c r="M213" s="143" t="s">
        <v>2504</v>
      </c>
      <c r="N213" s="143" t="s">
        <v>2504</v>
      </c>
      <c r="O213" s="143" t="s">
        <v>2504</v>
      </c>
      <c r="P213" s="143" t="s">
        <v>2504</v>
      </c>
      <c r="Q213" s="148" t="s">
        <v>2395</v>
      </c>
      <c r="R213" s="148" t="s">
        <v>594</v>
      </c>
      <c r="S213" s="148" t="s">
        <v>2091</v>
      </c>
      <c r="T213" s="149">
        <v>0.95</v>
      </c>
      <c r="U213" s="148" t="s">
        <v>591</v>
      </c>
      <c r="V213" s="150">
        <v>169.48</v>
      </c>
      <c r="W213" s="151">
        <f>V213*15</f>
        <v>2542.1999999999998</v>
      </c>
    </row>
    <row r="214" spans="1:23" ht="15" customHeight="1" x14ac:dyDescent="0.25">
      <c r="A214" s="148">
        <v>16904</v>
      </c>
      <c r="B214" s="148" t="s">
        <v>2396</v>
      </c>
      <c r="C214" s="143" t="s">
        <v>2504</v>
      </c>
      <c r="D214" s="143" t="s">
        <v>2504</v>
      </c>
      <c r="E214" s="143" t="s">
        <v>2504</v>
      </c>
      <c r="F214" s="143" t="s">
        <v>2504</v>
      </c>
      <c r="G214" s="143" t="s">
        <v>2504</v>
      </c>
      <c r="H214" s="143" t="s">
        <v>2504</v>
      </c>
      <c r="I214" s="143" t="s">
        <v>2504</v>
      </c>
      <c r="J214" s="143" t="s">
        <v>2504</v>
      </c>
      <c r="K214" s="143" t="s">
        <v>2504</v>
      </c>
      <c r="L214" s="143" t="s">
        <v>2504</v>
      </c>
      <c r="M214" s="143" t="s">
        <v>2504</v>
      </c>
      <c r="N214" s="143" t="s">
        <v>2504</v>
      </c>
      <c r="O214" s="143" t="s">
        <v>2504</v>
      </c>
      <c r="P214" s="143" t="s">
        <v>2504</v>
      </c>
      <c r="Q214" s="148" t="s">
        <v>2397</v>
      </c>
      <c r="R214" s="148" t="s">
        <v>594</v>
      </c>
      <c r="S214" s="148" t="s">
        <v>2214</v>
      </c>
      <c r="T214" s="149">
        <v>0.95</v>
      </c>
      <c r="U214" s="148" t="s">
        <v>591</v>
      </c>
      <c r="V214" s="150">
        <v>124.64</v>
      </c>
      <c r="W214" s="151">
        <f>V214*4</f>
        <v>498.56</v>
      </c>
    </row>
    <row r="215" spans="1:23" ht="15" customHeight="1" x14ac:dyDescent="0.25">
      <c r="A215" s="148">
        <v>16905</v>
      </c>
      <c r="B215" s="148" t="s">
        <v>2398</v>
      </c>
      <c r="C215" s="143" t="s">
        <v>2504</v>
      </c>
      <c r="D215" s="143" t="s">
        <v>2504</v>
      </c>
      <c r="E215" s="143" t="s">
        <v>2504</v>
      </c>
      <c r="F215" s="143" t="s">
        <v>2504</v>
      </c>
      <c r="G215" s="143" t="s">
        <v>2504</v>
      </c>
      <c r="H215" s="143" t="s">
        <v>2504</v>
      </c>
      <c r="I215" s="143" t="s">
        <v>2504</v>
      </c>
      <c r="J215" s="143" t="s">
        <v>2504</v>
      </c>
      <c r="K215" s="143" t="s">
        <v>2504</v>
      </c>
      <c r="L215" s="143" t="s">
        <v>2504</v>
      </c>
      <c r="M215" s="143" t="s">
        <v>2504</v>
      </c>
      <c r="N215" s="143" t="s">
        <v>2504</v>
      </c>
      <c r="O215" s="143" t="s">
        <v>2504</v>
      </c>
      <c r="P215" s="143" t="s">
        <v>2504</v>
      </c>
      <c r="Q215" s="148" t="s">
        <v>2399</v>
      </c>
      <c r="R215" s="148" t="s">
        <v>594</v>
      </c>
      <c r="S215" s="148" t="s">
        <v>2214</v>
      </c>
      <c r="T215" s="149">
        <v>0.95</v>
      </c>
      <c r="U215" s="148" t="s">
        <v>591</v>
      </c>
      <c r="V215" s="150">
        <v>137.25</v>
      </c>
      <c r="W215" s="151">
        <f>V215*15</f>
        <v>2058.75</v>
      </c>
    </row>
    <row r="216" spans="1:23" ht="15" customHeight="1" x14ac:dyDescent="0.25">
      <c r="A216" s="148">
        <v>16919</v>
      </c>
      <c r="B216" s="148" t="s">
        <v>2402</v>
      </c>
      <c r="C216" s="143" t="s">
        <v>2504</v>
      </c>
      <c r="D216" s="143" t="s">
        <v>2504</v>
      </c>
      <c r="E216" s="143" t="s">
        <v>2504</v>
      </c>
      <c r="F216" s="143" t="s">
        <v>2504</v>
      </c>
      <c r="G216" s="143" t="s">
        <v>2504</v>
      </c>
      <c r="H216" s="143" t="s">
        <v>2504</v>
      </c>
      <c r="I216" s="143" t="s">
        <v>2504</v>
      </c>
      <c r="J216" s="143" t="s">
        <v>2504</v>
      </c>
      <c r="K216" s="143" t="s">
        <v>2504</v>
      </c>
      <c r="L216" s="143" t="s">
        <v>2504</v>
      </c>
      <c r="M216" s="143" t="s">
        <v>2504</v>
      </c>
      <c r="N216" s="143" t="s">
        <v>2504</v>
      </c>
      <c r="O216" s="143" t="s">
        <v>2504</v>
      </c>
      <c r="P216" s="143" t="s">
        <v>2504</v>
      </c>
      <c r="Q216" s="148" t="s">
        <v>2403</v>
      </c>
      <c r="R216" s="148" t="s">
        <v>594</v>
      </c>
      <c r="S216" s="148" t="s">
        <v>1012</v>
      </c>
      <c r="T216" s="149">
        <v>0.95</v>
      </c>
      <c r="U216" s="148" t="s">
        <v>591</v>
      </c>
      <c r="V216" s="150">
        <v>137.01</v>
      </c>
      <c r="W216" s="151">
        <f>V216*4</f>
        <v>548.04</v>
      </c>
    </row>
    <row r="217" spans="1:23" ht="15" customHeight="1" x14ac:dyDescent="0.25">
      <c r="A217" s="148">
        <v>16920</v>
      </c>
      <c r="B217" s="148" t="s">
        <v>2404</v>
      </c>
      <c r="C217" s="143" t="s">
        <v>2504</v>
      </c>
      <c r="D217" s="143" t="s">
        <v>2504</v>
      </c>
      <c r="E217" s="143" t="s">
        <v>2504</v>
      </c>
      <c r="F217" s="143" t="s">
        <v>2504</v>
      </c>
      <c r="G217" s="143" t="s">
        <v>2504</v>
      </c>
      <c r="H217" s="143" t="s">
        <v>2504</v>
      </c>
      <c r="I217" s="143" t="s">
        <v>2504</v>
      </c>
      <c r="J217" s="143" t="s">
        <v>2504</v>
      </c>
      <c r="K217" s="143" t="s">
        <v>2504</v>
      </c>
      <c r="L217" s="143" t="s">
        <v>2504</v>
      </c>
      <c r="M217" s="143" t="s">
        <v>2504</v>
      </c>
      <c r="N217" s="143" t="s">
        <v>2504</v>
      </c>
      <c r="O217" s="143" t="s">
        <v>2504</v>
      </c>
      <c r="P217" s="143" t="s">
        <v>2504</v>
      </c>
      <c r="Q217" s="148" t="s">
        <v>2405</v>
      </c>
      <c r="R217" s="148" t="s">
        <v>594</v>
      </c>
      <c r="S217" s="148" t="s">
        <v>2406</v>
      </c>
      <c r="T217" s="149">
        <v>0.95</v>
      </c>
      <c r="U217" s="148" t="s">
        <v>591</v>
      </c>
      <c r="V217" s="150">
        <v>99.17</v>
      </c>
      <c r="W217" s="151">
        <v>2019.52</v>
      </c>
    </row>
    <row r="218" spans="1:23" ht="15" customHeight="1" x14ac:dyDescent="0.25">
      <c r="A218" s="148">
        <v>16923</v>
      </c>
      <c r="B218" s="148" t="s">
        <v>2410</v>
      </c>
      <c r="C218" s="143" t="s">
        <v>2504</v>
      </c>
      <c r="D218" s="143" t="s">
        <v>2504</v>
      </c>
      <c r="E218" s="143" t="s">
        <v>2504</v>
      </c>
      <c r="F218" s="143" t="s">
        <v>2504</v>
      </c>
      <c r="G218" s="143" t="s">
        <v>2504</v>
      </c>
      <c r="H218" s="143" t="s">
        <v>2504</v>
      </c>
      <c r="I218" s="143" t="s">
        <v>2504</v>
      </c>
      <c r="J218" s="143" t="s">
        <v>2504</v>
      </c>
      <c r="K218" s="143" t="s">
        <v>2504</v>
      </c>
      <c r="L218" s="143" t="s">
        <v>2504</v>
      </c>
      <c r="M218" s="143" t="s">
        <v>2504</v>
      </c>
      <c r="N218" s="143" t="s">
        <v>2504</v>
      </c>
      <c r="O218" s="143" t="s">
        <v>2504</v>
      </c>
      <c r="P218" s="143" t="s">
        <v>2504</v>
      </c>
      <c r="Q218" s="148" t="s">
        <v>2411</v>
      </c>
      <c r="R218" s="148" t="s">
        <v>594</v>
      </c>
      <c r="S218" s="148" t="s">
        <v>2214</v>
      </c>
      <c r="T218" s="149">
        <v>0.95</v>
      </c>
      <c r="U218" s="148" t="s">
        <v>591</v>
      </c>
      <c r="V218" s="150">
        <v>129.34</v>
      </c>
      <c r="W218" s="151">
        <v>20975.48</v>
      </c>
    </row>
    <row r="219" spans="1:23" ht="15" customHeight="1" x14ac:dyDescent="0.25">
      <c r="A219" s="148">
        <v>16953</v>
      </c>
      <c r="B219" s="148" t="s">
        <v>2435</v>
      </c>
      <c r="C219" s="143" t="s">
        <v>2504</v>
      </c>
      <c r="D219" s="143" t="s">
        <v>2504</v>
      </c>
      <c r="E219" s="143" t="s">
        <v>2504</v>
      </c>
      <c r="F219" s="143" t="s">
        <v>2504</v>
      </c>
      <c r="G219" s="143" t="s">
        <v>2504</v>
      </c>
      <c r="H219" s="143" t="s">
        <v>2504</v>
      </c>
      <c r="I219" s="143" t="s">
        <v>2504</v>
      </c>
      <c r="J219" s="143" t="s">
        <v>2504</v>
      </c>
      <c r="K219" s="143" t="s">
        <v>2504</v>
      </c>
      <c r="L219" s="143" t="s">
        <v>2504</v>
      </c>
      <c r="M219" s="143" t="s">
        <v>2504</v>
      </c>
      <c r="N219" s="143" t="s">
        <v>2504</v>
      </c>
      <c r="O219" s="143" t="s">
        <v>2504</v>
      </c>
      <c r="P219" s="143" t="s">
        <v>2504</v>
      </c>
      <c r="Q219" s="148" t="s">
        <v>2436</v>
      </c>
      <c r="R219" s="148" t="s">
        <v>594</v>
      </c>
      <c r="S219" s="148" t="s">
        <v>2257</v>
      </c>
      <c r="T219" s="149">
        <v>0.95</v>
      </c>
      <c r="U219" s="148" t="s">
        <v>591</v>
      </c>
      <c r="V219" s="150">
        <v>189.55</v>
      </c>
      <c r="W219" s="151">
        <v>2017.98</v>
      </c>
    </row>
    <row r="220" spans="1:23" ht="15" customHeight="1" x14ac:dyDescent="0.25">
      <c r="A220" s="148" t="s">
        <v>2437</v>
      </c>
      <c r="B220" s="148" t="s">
        <v>2438</v>
      </c>
      <c r="C220" s="143" t="s">
        <v>2504</v>
      </c>
      <c r="D220" s="143" t="s">
        <v>2504</v>
      </c>
      <c r="E220" s="143" t="s">
        <v>2504</v>
      </c>
      <c r="F220" s="143" t="s">
        <v>2504</v>
      </c>
      <c r="G220" s="143" t="s">
        <v>2504</v>
      </c>
      <c r="H220" s="143" t="s">
        <v>2504</v>
      </c>
      <c r="I220" s="143" t="s">
        <v>2504</v>
      </c>
      <c r="J220" s="143" t="s">
        <v>2504</v>
      </c>
      <c r="K220" s="143" t="s">
        <v>2504</v>
      </c>
      <c r="L220" s="143" t="s">
        <v>2504</v>
      </c>
      <c r="M220" s="143" t="s">
        <v>2504</v>
      </c>
      <c r="N220" s="143" t="s">
        <v>2504</v>
      </c>
      <c r="O220" s="143" t="s">
        <v>2504</v>
      </c>
      <c r="P220" s="143" t="s">
        <v>2504</v>
      </c>
      <c r="Q220" s="148" t="s">
        <v>2439</v>
      </c>
      <c r="R220" s="148" t="s">
        <v>630</v>
      </c>
      <c r="S220" s="148" t="s">
        <v>886</v>
      </c>
      <c r="T220" s="149">
        <v>1000</v>
      </c>
      <c r="U220" s="148" t="s">
        <v>591</v>
      </c>
      <c r="V220" s="150">
        <v>129836.41</v>
      </c>
      <c r="W220" s="151">
        <v>21028.12</v>
      </c>
    </row>
    <row r="221" spans="1:23" ht="15" customHeight="1" x14ac:dyDescent="0.25">
      <c r="A221" s="148" t="s">
        <v>2437</v>
      </c>
      <c r="B221" s="148" t="s">
        <v>2440</v>
      </c>
      <c r="C221" s="143" t="s">
        <v>2504</v>
      </c>
      <c r="D221" s="143" t="s">
        <v>2504</v>
      </c>
      <c r="E221" s="143" t="s">
        <v>2504</v>
      </c>
      <c r="F221" s="143" t="s">
        <v>2504</v>
      </c>
      <c r="G221" s="143" t="s">
        <v>2504</v>
      </c>
      <c r="H221" s="143" t="s">
        <v>2504</v>
      </c>
      <c r="I221" s="143" t="s">
        <v>2504</v>
      </c>
      <c r="J221" s="143" t="s">
        <v>2504</v>
      </c>
      <c r="K221" s="143" t="s">
        <v>2504</v>
      </c>
      <c r="L221" s="143" t="s">
        <v>2504</v>
      </c>
      <c r="M221" s="143" t="s">
        <v>2504</v>
      </c>
      <c r="N221" s="143" t="s">
        <v>2504</v>
      </c>
      <c r="O221" s="143" t="s">
        <v>2504</v>
      </c>
      <c r="P221" s="143" t="s">
        <v>2504</v>
      </c>
      <c r="Q221" s="148" t="s">
        <v>2441</v>
      </c>
      <c r="R221" s="148" t="s">
        <v>694</v>
      </c>
      <c r="S221" s="148" t="s">
        <v>695</v>
      </c>
      <c r="T221" s="149">
        <v>1000</v>
      </c>
      <c r="U221" s="148" t="s">
        <v>591</v>
      </c>
      <c r="V221" s="150">
        <v>134070.34</v>
      </c>
      <c r="W221" s="151">
        <v>1977.63</v>
      </c>
    </row>
    <row r="222" spans="1:23" ht="15" customHeight="1" x14ac:dyDescent="0.25">
      <c r="A222" s="148" t="s">
        <v>2437</v>
      </c>
      <c r="B222" s="148" t="s">
        <v>2442</v>
      </c>
      <c r="C222" s="143" t="s">
        <v>2504</v>
      </c>
      <c r="D222" s="143" t="s">
        <v>2504</v>
      </c>
      <c r="E222" s="143" t="s">
        <v>2504</v>
      </c>
      <c r="F222" s="143" t="s">
        <v>2504</v>
      </c>
      <c r="G222" s="143" t="s">
        <v>2504</v>
      </c>
      <c r="H222" s="143" t="s">
        <v>2504</v>
      </c>
      <c r="I222" s="143" t="s">
        <v>2504</v>
      </c>
      <c r="J222" s="143" t="s">
        <v>2504</v>
      </c>
      <c r="K222" s="143" t="s">
        <v>2504</v>
      </c>
      <c r="L222" s="143" t="s">
        <v>2504</v>
      </c>
      <c r="M222" s="143" t="s">
        <v>2504</v>
      </c>
      <c r="N222" s="143" t="s">
        <v>2504</v>
      </c>
      <c r="O222" s="143" t="s">
        <v>2504</v>
      </c>
      <c r="P222" s="143" t="s">
        <v>2504</v>
      </c>
      <c r="Q222" s="148" t="s">
        <v>2443</v>
      </c>
      <c r="R222" s="148" t="s">
        <v>630</v>
      </c>
      <c r="S222" s="148" t="s">
        <v>817</v>
      </c>
      <c r="T222" s="149">
        <v>1000</v>
      </c>
      <c r="U222" s="148" t="s">
        <v>591</v>
      </c>
      <c r="V222" s="150">
        <v>185530.56</v>
      </c>
      <c r="W222" s="151">
        <f>V222*4</f>
        <v>742122.24</v>
      </c>
    </row>
    <row r="223" spans="1:23" ht="15" customHeight="1" x14ac:dyDescent="0.25">
      <c r="A223" s="148" t="s">
        <v>2437</v>
      </c>
      <c r="B223" s="148" t="s">
        <v>2444</v>
      </c>
      <c r="C223" s="143" t="s">
        <v>2504</v>
      </c>
      <c r="D223" s="143" t="s">
        <v>2504</v>
      </c>
      <c r="E223" s="143" t="s">
        <v>2504</v>
      </c>
      <c r="F223" s="143" t="s">
        <v>2504</v>
      </c>
      <c r="G223" s="143" t="s">
        <v>2504</v>
      </c>
      <c r="H223" s="143" t="s">
        <v>2504</v>
      </c>
      <c r="I223" s="143" t="s">
        <v>2504</v>
      </c>
      <c r="J223" s="143" t="s">
        <v>2504</v>
      </c>
      <c r="K223" s="143" t="s">
        <v>2504</v>
      </c>
      <c r="L223" s="143" t="s">
        <v>2504</v>
      </c>
      <c r="M223" s="143" t="s">
        <v>2504</v>
      </c>
      <c r="N223" s="143" t="s">
        <v>2504</v>
      </c>
      <c r="O223" s="143" t="s">
        <v>2504</v>
      </c>
      <c r="P223" s="143" t="s">
        <v>2504</v>
      </c>
      <c r="Q223" s="148" t="s">
        <v>2445</v>
      </c>
      <c r="R223" s="148" t="s">
        <v>694</v>
      </c>
      <c r="S223" s="148" t="s">
        <v>927</v>
      </c>
      <c r="T223" s="149">
        <v>1000</v>
      </c>
      <c r="U223" s="148" t="s">
        <v>591</v>
      </c>
      <c r="V223" s="150">
        <v>88695.15</v>
      </c>
      <c r="W223" s="151">
        <f>V223*15</f>
        <v>1330427.25</v>
      </c>
    </row>
    <row r="224" spans="1:23" ht="15" customHeight="1" x14ac:dyDescent="0.25">
      <c r="A224" s="148" t="s">
        <v>2437</v>
      </c>
      <c r="B224" s="148" t="s">
        <v>2446</v>
      </c>
      <c r="C224" s="143" t="s">
        <v>2504</v>
      </c>
      <c r="D224" s="143" t="s">
        <v>2504</v>
      </c>
      <c r="E224" s="143" t="s">
        <v>2504</v>
      </c>
      <c r="F224" s="143" t="s">
        <v>2504</v>
      </c>
      <c r="G224" s="143" t="s">
        <v>2504</v>
      </c>
      <c r="H224" s="143" t="s">
        <v>2504</v>
      </c>
      <c r="I224" s="143" t="s">
        <v>2504</v>
      </c>
      <c r="J224" s="143" t="s">
        <v>2504</v>
      </c>
      <c r="K224" s="143" t="s">
        <v>2504</v>
      </c>
      <c r="L224" s="143" t="s">
        <v>2504</v>
      </c>
      <c r="M224" s="143" t="s">
        <v>2504</v>
      </c>
      <c r="N224" s="143" t="s">
        <v>2504</v>
      </c>
      <c r="O224" s="143" t="s">
        <v>2504</v>
      </c>
      <c r="P224" s="143" t="s">
        <v>2504</v>
      </c>
      <c r="Q224" s="148" t="s">
        <v>2447</v>
      </c>
      <c r="R224" s="148" t="s">
        <v>694</v>
      </c>
      <c r="S224" s="148" t="s">
        <v>698</v>
      </c>
      <c r="T224" s="149">
        <v>1000</v>
      </c>
      <c r="U224" s="148" t="s">
        <v>591</v>
      </c>
      <c r="V224" s="150">
        <v>117043.01</v>
      </c>
      <c r="W224" s="151">
        <f>V224*15</f>
        <v>1755645.15</v>
      </c>
    </row>
    <row r="225" spans="1:23" ht="15" customHeight="1" x14ac:dyDescent="0.25">
      <c r="A225" s="148" t="s">
        <v>2437</v>
      </c>
      <c r="B225" s="148" t="s">
        <v>2448</v>
      </c>
      <c r="C225" s="143" t="s">
        <v>2504</v>
      </c>
      <c r="D225" s="143" t="s">
        <v>2504</v>
      </c>
      <c r="E225" s="143" t="s">
        <v>2504</v>
      </c>
      <c r="F225" s="143" t="s">
        <v>2504</v>
      </c>
      <c r="G225" s="143" t="s">
        <v>2504</v>
      </c>
      <c r="H225" s="143" t="s">
        <v>2504</v>
      </c>
      <c r="I225" s="143" t="s">
        <v>2504</v>
      </c>
      <c r="J225" s="143" t="s">
        <v>2504</v>
      </c>
      <c r="K225" s="143" t="s">
        <v>2504</v>
      </c>
      <c r="L225" s="143" t="s">
        <v>2504</v>
      </c>
      <c r="M225" s="143" t="s">
        <v>2504</v>
      </c>
      <c r="N225" s="143" t="s">
        <v>2504</v>
      </c>
      <c r="O225" s="143" t="s">
        <v>2504</v>
      </c>
      <c r="P225" s="143" t="s">
        <v>2504</v>
      </c>
      <c r="Q225" s="148" t="s">
        <v>2449</v>
      </c>
      <c r="R225" s="148" t="s">
        <v>630</v>
      </c>
      <c r="S225" s="148" t="s">
        <v>2450</v>
      </c>
      <c r="T225" s="149">
        <v>1000</v>
      </c>
      <c r="U225" s="148" t="s">
        <v>591</v>
      </c>
      <c r="V225" s="150">
        <v>89551</v>
      </c>
      <c r="W225" s="151">
        <f>V225*6</f>
        <v>537306</v>
      </c>
    </row>
    <row r="226" spans="1:23" ht="15" customHeight="1" x14ac:dyDescent="0.25">
      <c r="A226" s="148" t="s">
        <v>2437</v>
      </c>
      <c r="B226" s="148" t="s">
        <v>2451</v>
      </c>
      <c r="C226" s="143" t="s">
        <v>2504</v>
      </c>
      <c r="D226" s="143" t="s">
        <v>2504</v>
      </c>
      <c r="E226" s="143" t="s">
        <v>2504</v>
      </c>
      <c r="F226" s="143" t="s">
        <v>2504</v>
      </c>
      <c r="G226" s="143" t="s">
        <v>2504</v>
      </c>
      <c r="H226" s="143" t="s">
        <v>2504</v>
      </c>
      <c r="I226" s="143" t="s">
        <v>2504</v>
      </c>
      <c r="J226" s="143" t="s">
        <v>2504</v>
      </c>
      <c r="K226" s="143" t="s">
        <v>2504</v>
      </c>
      <c r="L226" s="143" t="s">
        <v>2504</v>
      </c>
      <c r="M226" s="143" t="s">
        <v>2504</v>
      </c>
      <c r="N226" s="143" t="s">
        <v>2504</v>
      </c>
      <c r="O226" s="143" t="s">
        <v>2504</v>
      </c>
      <c r="P226" s="143" t="s">
        <v>2504</v>
      </c>
      <c r="Q226" s="148" t="s">
        <v>2452</v>
      </c>
      <c r="R226" s="148" t="s">
        <v>630</v>
      </c>
      <c r="S226" s="148" t="s">
        <v>631</v>
      </c>
      <c r="T226" s="149">
        <v>1000</v>
      </c>
      <c r="U226" s="148" t="s">
        <v>591</v>
      </c>
      <c r="V226" s="150">
        <v>89969.95</v>
      </c>
      <c r="W226" s="151">
        <v>2014.73</v>
      </c>
    </row>
    <row r="227" spans="1:23" ht="15" customHeight="1" x14ac:dyDescent="0.25">
      <c r="A227" s="148" t="s">
        <v>2437</v>
      </c>
      <c r="B227" s="148" t="s">
        <v>2453</v>
      </c>
      <c r="C227" s="143" t="s">
        <v>2504</v>
      </c>
      <c r="D227" s="143" t="s">
        <v>2504</v>
      </c>
      <c r="E227" s="143" t="s">
        <v>2504</v>
      </c>
      <c r="F227" s="143" t="s">
        <v>2504</v>
      </c>
      <c r="G227" s="143" t="s">
        <v>2504</v>
      </c>
      <c r="H227" s="143" t="s">
        <v>2504</v>
      </c>
      <c r="I227" s="143" t="s">
        <v>2504</v>
      </c>
      <c r="J227" s="143" t="s">
        <v>2504</v>
      </c>
      <c r="K227" s="143" t="s">
        <v>2504</v>
      </c>
      <c r="L227" s="143" t="s">
        <v>2504</v>
      </c>
      <c r="M227" s="143" t="s">
        <v>2504</v>
      </c>
      <c r="N227" s="143" t="s">
        <v>2504</v>
      </c>
      <c r="O227" s="143" t="s">
        <v>2504</v>
      </c>
      <c r="P227" s="143" t="s">
        <v>2504</v>
      </c>
      <c r="Q227" s="148" t="s">
        <v>2454</v>
      </c>
      <c r="R227" s="148" t="s">
        <v>630</v>
      </c>
      <c r="S227" s="148" t="s">
        <v>2450</v>
      </c>
      <c r="T227" s="149">
        <v>1000</v>
      </c>
      <c r="U227" s="148" t="s">
        <v>591</v>
      </c>
      <c r="V227" s="150">
        <v>109447.75</v>
      </c>
      <c r="W227" s="151">
        <v>1962.24</v>
      </c>
    </row>
    <row r="228" spans="1:23" ht="15" customHeight="1" x14ac:dyDescent="0.25">
      <c r="A228" s="148" t="s">
        <v>2437</v>
      </c>
      <c r="B228" s="148" t="s">
        <v>2455</v>
      </c>
      <c r="C228" s="143" t="s">
        <v>2504</v>
      </c>
      <c r="D228" s="143" t="s">
        <v>2504</v>
      </c>
      <c r="E228" s="143" t="s">
        <v>2504</v>
      </c>
      <c r="F228" s="143" t="s">
        <v>2504</v>
      </c>
      <c r="G228" s="143" t="s">
        <v>2504</v>
      </c>
      <c r="H228" s="143" t="s">
        <v>2504</v>
      </c>
      <c r="I228" s="143" t="s">
        <v>2504</v>
      </c>
      <c r="J228" s="143" t="s">
        <v>2504</v>
      </c>
      <c r="K228" s="143" t="s">
        <v>2504</v>
      </c>
      <c r="L228" s="143" t="s">
        <v>2504</v>
      </c>
      <c r="M228" s="143" t="s">
        <v>2504</v>
      </c>
      <c r="N228" s="143" t="s">
        <v>2504</v>
      </c>
      <c r="O228" s="143" t="s">
        <v>2504</v>
      </c>
      <c r="P228" s="143" t="s">
        <v>2504</v>
      </c>
      <c r="Q228" s="148" t="s">
        <v>2456</v>
      </c>
      <c r="R228" s="148" t="s">
        <v>630</v>
      </c>
      <c r="S228" s="148" t="s">
        <v>631</v>
      </c>
      <c r="T228" s="149">
        <v>1000</v>
      </c>
      <c r="U228" s="148" t="s">
        <v>591</v>
      </c>
      <c r="V228" s="150">
        <v>84446.87</v>
      </c>
      <c r="W228" s="151">
        <v>2007.48</v>
      </c>
    </row>
    <row r="229" spans="1:23" ht="15" customHeight="1" x14ac:dyDescent="0.25">
      <c r="A229" s="148" t="s">
        <v>2437</v>
      </c>
      <c r="B229" s="148" t="s">
        <v>2457</v>
      </c>
      <c r="C229" s="143" t="s">
        <v>2504</v>
      </c>
      <c r="D229" s="143" t="s">
        <v>2504</v>
      </c>
      <c r="E229" s="143" t="s">
        <v>2504</v>
      </c>
      <c r="F229" s="143" t="s">
        <v>2504</v>
      </c>
      <c r="G229" s="143" t="s">
        <v>2504</v>
      </c>
      <c r="H229" s="143" t="s">
        <v>2504</v>
      </c>
      <c r="I229" s="143" t="s">
        <v>2504</v>
      </c>
      <c r="J229" s="143" t="s">
        <v>2504</v>
      </c>
      <c r="K229" s="143" t="s">
        <v>2504</v>
      </c>
      <c r="L229" s="143" t="s">
        <v>2504</v>
      </c>
      <c r="M229" s="143" t="s">
        <v>2504</v>
      </c>
      <c r="N229" s="143" t="s">
        <v>2504</v>
      </c>
      <c r="O229" s="143" t="s">
        <v>2504</v>
      </c>
      <c r="P229" s="143" t="s">
        <v>2504</v>
      </c>
      <c r="Q229" s="148" t="s">
        <v>2458</v>
      </c>
      <c r="R229" s="148" t="s">
        <v>630</v>
      </c>
      <c r="S229" s="148" t="s">
        <v>2450</v>
      </c>
      <c r="T229" s="149">
        <v>1000</v>
      </c>
      <c r="U229" s="148" t="s">
        <v>591</v>
      </c>
      <c r="V229" s="150">
        <v>92977.74</v>
      </c>
      <c r="W229" s="151">
        <v>20848.95</v>
      </c>
    </row>
    <row r="230" spans="1:23" ht="15" customHeight="1" x14ac:dyDescent="0.25">
      <c r="A230" s="148" t="s">
        <v>2437</v>
      </c>
      <c r="B230" s="148" t="s">
        <v>2459</v>
      </c>
      <c r="C230" s="143" t="s">
        <v>2504</v>
      </c>
      <c r="D230" s="143" t="s">
        <v>2504</v>
      </c>
      <c r="E230" s="143" t="s">
        <v>2504</v>
      </c>
      <c r="F230" s="143" t="s">
        <v>2504</v>
      </c>
      <c r="G230" s="143" t="s">
        <v>2504</v>
      </c>
      <c r="H230" s="143" t="s">
        <v>2504</v>
      </c>
      <c r="I230" s="143" t="s">
        <v>2504</v>
      </c>
      <c r="J230" s="143" t="s">
        <v>2504</v>
      </c>
      <c r="K230" s="143" t="s">
        <v>2504</v>
      </c>
      <c r="L230" s="143" t="s">
        <v>2504</v>
      </c>
      <c r="M230" s="143" t="s">
        <v>2504</v>
      </c>
      <c r="N230" s="143" t="s">
        <v>2504</v>
      </c>
      <c r="O230" s="143" t="s">
        <v>2504</v>
      </c>
      <c r="P230" s="143" t="s">
        <v>2504</v>
      </c>
      <c r="Q230" s="148" t="s">
        <v>2460</v>
      </c>
      <c r="R230" s="148" t="s">
        <v>630</v>
      </c>
      <c r="S230" s="148" t="s">
        <v>812</v>
      </c>
      <c r="T230" s="149">
        <v>1000</v>
      </c>
      <c r="U230" s="148" t="s">
        <v>591</v>
      </c>
      <c r="V230" s="150">
        <v>202027.31</v>
      </c>
      <c r="W230" s="151">
        <f>V230*16</f>
        <v>3232436.96</v>
      </c>
    </row>
    <row r="231" spans="1:23" ht="15" customHeight="1" x14ac:dyDescent="0.25">
      <c r="A231" s="148" t="s">
        <v>2437</v>
      </c>
      <c r="B231" s="148" t="s">
        <v>2461</v>
      </c>
      <c r="C231" s="143" t="s">
        <v>2504</v>
      </c>
      <c r="D231" s="143" t="s">
        <v>2504</v>
      </c>
      <c r="E231" s="143" t="s">
        <v>2504</v>
      </c>
      <c r="F231" s="143" t="s">
        <v>2504</v>
      </c>
      <c r="G231" s="143" t="s">
        <v>2504</v>
      </c>
      <c r="H231" s="143" t="s">
        <v>2504</v>
      </c>
      <c r="I231" s="143" t="s">
        <v>2504</v>
      </c>
      <c r="J231" s="143" t="s">
        <v>2504</v>
      </c>
      <c r="K231" s="143" t="s">
        <v>2504</v>
      </c>
      <c r="L231" s="143" t="s">
        <v>2504</v>
      </c>
      <c r="M231" s="143" t="s">
        <v>2504</v>
      </c>
      <c r="N231" s="143" t="s">
        <v>2504</v>
      </c>
      <c r="O231" s="143" t="s">
        <v>2504</v>
      </c>
      <c r="P231" s="143" t="s">
        <v>2504</v>
      </c>
      <c r="Q231" s="148" t="s">
        <v>2462</v>
      </c>
      <c r="R231" s="148" t="s">
        <v>630</v>
      </c>
      <c r="S231" s="148" t="s">
        <v>1009</v>
      </c>
      <c r="T231" s="149">
        <v>1000</v>
      </c>
      <c r="U231" s="148" t="s">
        <v>591</v>
      </c>
      <c r="V231" s="150">
        <v>155273.43</v>
      </c>
      <c r="W231" s="151">
        <f>V231*1000</f>
        <v>155273430</v>
      </c>
    </row>
    <row r="232" spans="1:23" ht="15" customHeight="1" x14ac:dyDescent="0.25">
      <c r="A232" s="148" t="s">
        <v>2437</v>
      </c>
      <c r="B232" s="148" t="s">
        <v>2463</v>
      </c>
      <c r="C232" s="143" t="s">
        <v>2504</v>
      </c>
      <c r="D232" s="143" t="s">
        <v>2504</v>
      </c>
      <c r="E232" s="143" t="s">
        <v>2504</v>
      </c>
      <c r="F232" s="143" t="s">
        <v>2504</v>
      </c>
      <c r="G232" s="143" t="s">
        <v>2504</v>
      </c>
      <c r="H232" s="143" t="s">
        <v>2504</v>
      </c>
      <c r="I232" s="143" t="s">
        <v>2504</v>
      </c>
      <c r="J232" s="143" t="s">
        <v>2504</v>
      </c>
      <c r="K232" s="143" t="s">
        <v>2504</v>
      </c>
      <c r="L232" s="143" t="s">
        <v>2504</v>
      </c>
      <c r="M232" s="143" t="s">
        <v>2504</v>
      </c>
      <c r="N232" s="143" t="s">
        <v>2504</v>
      </c>
      <c r="O232" s="143" t="s">
        <v>2504</v>
      </c>
      <c r="P232" s="143" t="s">
        <v>2504</v>
      </c>
      <c r="Q232" s="148" t="s">
        <v>2464</v>
      </c>
      <c r="R232" s="148" t="s">
        <v>630</v>
      </c>
      <c r="S232" s="148" t="s">
        <v>835</v>
      </c>
      <c r="T232" s="149">
        <v>1000</v>
      </c>
      <c r="U232" s="148" t="s">
        <v>591</v>
      </c>
      <c r="V232" s="150">
        <v>99269.15</v>
      </c>
      <c r="W232" s="151">
        <f>V232*15</f>
        <v>1489037.25</v>
      </c>
    </row>
    <row r="233" spans="1:23" ht="15" customHeight="1" x14ac:dyDescent="0.25">
      <c r="A233" s="148" t="s">
        <v>2437</v>
      </c>
      <c r="B233" s="148" t="s">
        <v>2465</v>
      </c>
      <c r="C233" s="143" t="s">
        <v>2504</v>
      </c>
      <c r="D233" s="143" t="s">
        <v>2504</v>
      </c>
      <c r="E233" s="143" t="s">
        <v>2504</v>
      </c>
      <c r="F233" s="143" t="s">
        <v>2504</v>
      </c>
      <c r="G233" s="143" t="s">
        <v>2504</v>
      </c>
      <c r="H233" s="143" t="s">
        <v>2504</v>
      </c>
      <c r="I233" s="143" t="s">
        <v>2504</v>
      </c>
      <c r="J233" s="143" t="s">
        <v>2504</v>
      </c>
      <c r="K233" s="143" t="s">
        <v>2504</v>
      </c>
      <c r="L233" s="143" t="s">
        <v>2504</v>
      </c>
      <c r="M233" s="143" t="s">
        <v>2504</v>
      </c>
      <c r="N233" s="143" t="s">
        <v>2504</v>
      </c>
      <c r="O233" s="143" t="s">
        <v>2504</v>
      </c>
      <c r="P233" s="143" t="s">
        <v>2504</v>
      </c>
      <c r="Q233" s="148" t="s">
        <v>2466</v>
      </c>
      <c r="R233" s="148" t="s">
        <v>630</v>
      </c>
      <c r="S233" s="148" t="s">
        <v>840</v>
      </c>
      <c r="T233" s="149">
        <v>1000</v>
      </c>
      <c r="U233" s="148" t="s">
        <v>591</v>
      </c>
      <c r="V233" s="150">
        <v>113930.69</v>
      </c>
      <c r="W233" s="151">
        <v>2705.2</v>
      </c>
    </row>
    <row r="234" spans="1:23" ht="15" customHeight="1" x14ac:dyDescent="0.25">
      <c r="A234" s="148" t="s">
        <v>2437</v>
      </c>
      <c r="B234" s="148" t="s">
        <v>2467</v>
      </c>
      <c r="C234" s="143" t="s">
        <v>2504</v>
      </c>
      <c r="D234" s="143" t="s">
        <v>2504</v>
      </c>
      <c r="E234" s="143" t="s">
        <v>2504</v>
      </c>
      <c r="F234" s="143" t="s">
        <v>2504</v>
      </c>
      <c r="G234" s="143" t="s">
        <v>2504</v>
      </c>
      <c r="H234" s="143" t="s">
        <v>2504</v>
      </c>
      <c r="I234" s="143" t="s">
        <v>2504</v>
      </c>
      <c r="J234" s="143" t="s">
        <v>2504</v>
      </c>
      <c r="K234" s="143" t="s">
        <v>2504</v>
      </c>
      <c r="L234" s="143" t="s">
        <v>2504</v>
      </c>
      <c r="M234" s="143" t="s">
        <v>2504</v>
      </c>
      <c r="N234" s="143" t="s">
        <v>2504</v>
      </c>
      <c r="O234" s="143" t="s">
        <v>2504</v>
      </c>
      <c r="P234" s="143" t="s">
        <v>2504</v>
      </c>
      <c r="Q234" s="148" t="s">
        <v>2468</v>
      </c>
      <c r="R234" s="148" t="s">
        <v>630</v>
      </c>
      <c r="S234" s="148" t="s">
        <v>886</v>
      </c>
      <c r="T234" s="149">
        <v>1000</v>
      </c>
      <c r="U234" s="148" t="s">
        <v>591</v>
      </c>
      <c r="V234" s="150">
        <v>105580.69</v>
      </c>
      <c r="W234" s="151">
        <v>28167.87</v>
      </c>
    </row>
    <row r="235" spans="1:23" ht="15" customHeight="1" x14ac:dyDescent="0.25">
      <c r="A235" s="148" t="s">
        <v>2437</v>
      </c>
      <c r="B235" s="148" t="s">
        <v>2469</v>
      </c>
      <c r="C235" s="143" t="s">
        <v>2504</v>
      </c>
      <c r="D235" s="143" t="s">
        <v>2504</v>
      </c>
      <c r="E235" s="143" t="s">
        <v>2504</v>
      </c>
      <c r="F235" s="143" t="s">
        <v>2504</v>
      </c>
      <c r="G235" s="143" t="s">
        <v>2504</v>
      </c>
      <c r="H235" s="143" t="s">
        <v>2504</v>
      </c>
      <c r="I235" s="143" t="s">
        <v>2504</v>
      </c>
      <c r="J235" s="143" t="s">
        <v>2504</v>
      </c>
      <c r="K235" s="143" t="s">
        <v>2504</v>
      </c>
      <c r="L235" s="143" t="s">
        <v>2504</v>
      </c>
      <c r="M235" s="143" t="s">
        <v>2504</v>
      </c>
      <c r="N235" s="143" t="s">
        <v>2504</v>
      </c>
      <c r="O235" s="143" t="s">
        <v>2504</v>
      </c>
      <c r="P235" s="143" t="s">
        <v>2504</v>
      </c>
      <c r="Q235" s="148" t="s">
        <v>2470</v>
      </c>
      <c r="R235" s="148" t="s">
        <v>630</v>
      </c>
      <c r="S235" s="148" t="s">
        <v>2195</v>
      </c>
      <c r="T235" s="149">
        <v>1000</v>
      </c>
      <c r="U235" s="148" t="s">
        <v>591</v>
      </c>
      <c r="V235" s="150">
        <v>109071.37</v>
      </c>
      <c r="W235" s="151">
        <v>2261.34</v>
      </c>
    </row>
    <row r="236" spans="1:23" ht="15" customHeight="1" x14ac:dyDescent="0.25">
      <c r="A236" s="148" t="s">
        <v>2437</v>
      </c>
      <c r="B236" s="148" t="s">
        <v>2471</v>
      </c>
      <c r="C236" s="143" t="s">
        <v>2504</v>
      </c>
      <c r="D236" s="143" t="s">
        <v>2504</v>
      </c>
      <c r="E236" s="143" t="s">
        <v>2504</v>
      </c>
      <c r="F236" s="143" t="s">
        <v>2504</v>
      </c>
      <c r="G236" s="143" t="s">
        <v>2504</v>
      </c>
      <c r="H236" s="143" t="s">
        <v>2504</v>
      </c>
      <c r="I236" s="143" t="s">
        <v>2504</v>
      </c>
      <c r="J236" s="143" t="s">
        <v>2504</v>
      </c>
      <c r="K236" s="143" t="s">
        <v>2504</v>
      </c>
      <c r="L236" s="143" t="s">
        <v>2504</v>
      </c>
      <c r="M236" s="143" t="s">
        <v>2504</v>
      </c>
      <c r="N236" s="143" t="s">
        <v>2504</v>
      </c>
      <c r="O236" s="143" t="s">
        <v>2504</v>
      </c>
      <c r="P236" s="143" t="s">
        <v>2504</v>
      </c>
      <c r="Q236" s="148" t="s">
        <v>2472</v>
      </c>
      <c r="R236" s="148" t="s">
        <v>630</v>
      </c>
      <c r="S236" s="148" t="s">
        <v>817</v>
      </c>
      <c r="T236" s="149">
        <v>1000</v>
      </c>
      <c r="U236" s="148" t="s">
        <v>591</v>
      </c>
      <c r="V236" s="150">
        <v>175519.38</v>
      </c>
      <c r="W236" s="151">
        <v>23683.84</v>
      </c>
    </row>
    <row r="237" spans="1:23" ht="15" customHeight="1" x14ac:dyDescent="0.25">
      <c r="A237" s="148" t="s">
        <v>2437</v>
      </c>
      <c r="B237" s="148" t="s">
        <v>2473</v>
      </c>
      <c r="C237" s="143" t="s">
        <v>2504</v>
      </c>
      <c r="D237" s="143" t="s">
        <v>2504</v>
      </c>
      <c r="E237" s="143" t="s">
        <v>2504</v>
      </c>
      <c r="F237" s="143" t="s">
        <v>2504</v>
      </c>
      <c r="G237" s="143" t="s">
        <v>2504</v>
      </c>
      <c r="H237" s="143" t="s">
        <v>2504</v>
      </c>
      <c r="I237" s="143" t="s">
        <v>2504</v>
      </c>
      <c r="J237" s="143" t="s">
        <v>2504</v>
      </c>
      <c r="K237" s="143" t="s">
        <v>2504</v>
      </c>
      <c r="L237" s="143" t="s">
        <v>2504</v>
      </c>
      <c r="M237" s="143" t="s">
        <v>2504</v>
      </c>
      <c r="N237" s="143" t="s">
        <v>2504</v>
      </c>
      <c r="O237" s="143" t="s">
        <v>2504</v>
      </c>
      <c r="P237" s="143" t="s">
        <v>2504</v>
      </c>
      <c r="Q237" s="148" t="s">
        <v>2474</v>
      </c>
      <c r="R237" s="148" t="s">
        <v>606</v>
      </c>
      <c r="S237" s="148" t="s">
        <v>2475</v>
      </c>
      <c r="T237" s="149">
        <v>200</v>
      </c>
      <c r="U237" s="148" t="s">
        <v>591</v>
      </c>
      <c r="V237" s="150">
        <v>28863.08</v>
      </c>
      <c r="W237" s="151">
        <f>V237*1000</f>
        <v>28863080</v>
      </c>
    </row>
    <row r="238" spans="1:23" ht="15" customHeight="1" x14ac:dyDescent="0.25">
      <c r="A238" s="148" t="s">
        <v>2437</v>
      </c>
      <c r="B238" s="148" t="s">
        <v>2476</v>
      </c>
      <c r="C238" s="143" t="s">
        <v>2504</v>
      </c>
      <c r="D238" s="143" t="s">
        <v>2504</v>
      </c>
      <c r="E238" s="143" t="s">
        <v>2504</v>
      </c>
      <c r="F238" s="143" t="s">
        <v>2504</v>
      </c>
      <c r="G238" s="143" t="s">
        <v>2504</v>
      </c>
      <c r="H238" s="143" t="s">
        <v>2504</v>
      </c>
      <c r="I238" s="143" t="s">
        <v>2504</v>
      </c>
      <c r="J238" s="143" t="s">
        <v>2504</v>
      </c>
      <c r="K238" s="143" t="s">
        <v>2504</v>
      </c>
      <c r="L238" s="143" t="s">
        <v>2504</v>
      </c>
      <c r="M238" s="143" t="s">
        <v>2504</v>
      </c>
      <c r="N238" s="143" t="s">
        <v>2504</v>
      </c>
      <c r="O238" s="143" t="s">
        <v>2504</v>
      </c>
      <c r="P238" s="143" t="s">
        <v>2504</v>
      </c>
      <c r="Q238" s="148" t="s">
        <v>2477</v>
      </c>
      <c r="R238" s="148" t="s">
        <v>594</v>
      </c>
      <c r="S238" s="148" t="s">
        <v>2257</v>
      </c>
      <c r="T238" s="149">
        <v>200</v>
      </c>
      <c r="U238" s="148" t="s">
        <v>591</v>
      </c>
      <c r="V238" s="150">
        <v>38764.86</v>
      </c>
      <c r="W238" s="151">
        <v>1734.71</v>
      </c>
    </row>
    <row r="239" spans="1:23" ht="15" customHeight="1" x14ac:dyDescent="0.25">
      <c r="A239" s="148" t="s">
        <v>2437</v>
      </c>
      <c r="B239" s="148" t="s">
        <v>2480</v>
      </c>
      <c r="C239" s="143" t="s">
        <v>2504</v>
      </c>
      <c r="D239" s="143" t="s">
        <v>2504</v>
      </c>
      <c r="E239" s="143" t="s">
        <v>2504</v>
      </c>
      <c r="F239" s="143" t="s">
        <v>2504</v>
      </c>
      <c r="G239" s="143" t="s">
        <v>2504</v>
      </c>
      <c r="H239" s="143" t="s">
        <v>2504</v>
      </c>
      <c r="I239" s="143" t="s">
        <v>2504</v>
      </c>
      <c r="J239" s="143" t="s">
        <v>2504</v>
      </c>
      <c r="K239" s="143" t="s">
        <v>2504</v>
      </c>
      <c r="L239" s="143" t="s">
        <v>2504</v>
      </c>
      <c r="M239" s="143" t="s">
        <v>2504</v>
      </c>
      <c r="N239" s="143" t="s">
        <v>2504</v>
      </c>
      <c r="O239" s="143" t="s">
        <v>2504</v>
      </c>
      <c r="P239" s="143" t="s">
        <v>2504</v>
      </c>
      <c r="Q239" s="148" t="s">
        <v>2481</v>
      </c>
      <c r="R239" s="148" t="s">
        <v>594</v>
      </c>
      <c r="S239" s="148" t="s">
        <v>595</v>
      </c>
      <c r="T239" s="149">
        <v>0.95</v>
      </c>
      <c r="U239" s="148" t="s">
        <v>591</v>
      </c>
      <c r="V239" s="150">
        <v>92.26</v>
      </c>
      <c r="W239" s="151">
        <v>18166.23</v>
      </c>
    </row>
    <row r="240" spans="1:23" ht="15" customHeight="1" x14ac:dyDescent="0.25">
      <c r="A240" s="148" t="s">
        <v>2437</v>
      </c>
      <c r="B240" s="148" t="s">
        <v>2482</v>
      </c>
      <c r="C240" s="143" t="s">
        <v>2504</v>
      </c>
      <c r="D240" s="143" t="s">
        <v>2504</v>
      </c>
      <c r="E240" s="143" t="s">
        <v>2504</v>
      </c>
      <c r="F240" s="143" t="s">
        <v>2504</v>
      </c>
      <c r="G240" s="143" t="s">
        <v>2504</v>
      </c>
      <c r="H240" s="143" t="s">
        <v>2504</v>
      </c>
      <c r="I240" s="143" t="s">
        <v>2504</v>
      </c>
      <c r="J240" s="143" t="s">
        <v>2504</v>
      </c>
      <c r="K240" s="143" t="s">
        <v>2504</v>
      </c>
      <c r="L240" s="143" t="s">
        <v>2504</v>
      </c>
      <c r="M240" s="143" t="s">
        <v>2504</v>
      </c>
      <c r="N240" s="143" t="s">
        <v>2504</v>
      </c>
      <c r="O240" s="143" t="s">
        <v>2504</v>
      </c>
      <c r="P240" s="143" t="s">
        <v>2504</v>
      </c>
      <c r="Q240" s="148" t="s">
        <v>2483</v>
      </c>
      <c r="R240" s="148" t="s">
        <v>630</v>
      </c>
      <c r="S240" s="148" t="s">
        <v>631</v>
      </c>
      <c r="T240" s="149">
        <v>1</v>
      </c>
      <c r="U240" s="148" t="s">
        <v>591</v>
      </c>
      <c r="V240" s="150">
        <v>87.18</v>
      </c>
      <c r="W240" s="151">
        <v>1979.93</v>
      </c>
    </row>
    <row r="241" spans="1:23" ht="15" customHeight="1" x14ac:dyDescent="0.25">
      <c r="A241" s="148" t="s">
        <v>2437</v>
      </c>
      <c r="B241" s="148" t="s">
        <v>2484</v>
      </c>
      <c r="C241" s="143" t="s">
        <v>2504</v>
      </c>
      <c r="D241" s="143" t="s">
        <v>2504</v>
      </c>
      <c r="E241" s="143" t="s">
        <v>2504</v>
      </c>
      <c r="F241" s="143" t="s">
        <v>2504</v>
      </c>
      <c r="G241" s="143" t="s">
        <v>2504</v>
      </c>
      <c r="H241" s="143" t="s">
        <v>2504</v>
      </c>
      <c r="I241" s="143" t="s">
        <v>2504</v>
      </c>
      <c r="J241" s="143" t="s">
        <v>2504</v>
      </c>
      <c r="K241" s="143" t="s">
        <v>2504</v>
      </c>
      <c r="L241" s="143" t="s">
        <v>2504</v>
      </c>
      <c r="M241" s="143" t="s">
        <v>2504</v>
      </c>
      <c r="N241" s="143" t="s">
        <v>2504</v>
      </c>
      <c r="O241" s="143" t="s">
        <v>2504</v>
      </c>
      <c r="P241" s="143" t="s">
        <v>2504</v>
      </c>
      <c r="Q241" s="148" t="s">
        <v>2485</v>
      </c>
      <c r="R241" s="148" t="s">
        <v>606</v>
      </c>
      <c r="S241" s="148" t="s">
        <v>607</v>
      </c>
      <c r="T241" s="149">
        <v>1</v>
      </c>
      <c r="U241" s="148" t="s">
        <v>591</v>
      </c>
      <c r="V241" s="150">
        <v>110.82</v>
      </c>
      <c r="W241" s="151">
        <v>792.14</v>
      </c>
    </row>
    <row r="242" spans="1:23" ht="15" customHeight="1" x14ac:dyDescent="0.25">
      <c r="A242" s="148" t="s">
        <v>2437</v>
      </c>
      <c r="B242" s="148" t="s">
        <v>2486</v>
      </c>
      <c r="C242" s="143" t="s">
        <v>2504</v>
      </c>
      <c r="D242" s="143" t="s">
        <v>2504</v>
      </c>
      <c r="E242" s="143" t="s">
        <v>2504</v>
      </c>
      <c r="F242" s="143" t="s">
        <v>2504</v>
      </c>
      <c r="G242" s="143" t="s">
        <v>2504</v>
      </c>
      <c r="H242" s="143" t="s">
        <v>2504</v>
      </c>
      <c r="I242" s="143" t="s">
        <v>2504</v>
      </c>
      <c r="J242" s="143" t="s">
        <v>2504</v>
      </c>
      <c r="K242" s="143" t="s">
        <v>2504</v>
      </c>
      <c r="L242" s="143" t="s">
        <v>2504</v>
      </c>
      <c r="M242" s="143" t="s">
        <v>2504</v>
      </c>
      <c r="N242" s="143" t="s">
        <v>2504</v>
      </c>
      <c r="O242" s="143" t="s">
        <v>2504</v>
      </c>
      <c r="P242" s="143" t="s">
        <v>2504</v>
      </c>
      <c r="Q242" s="148" t="s">
        <v>2487</v>
      </c>
      <c r="R242" s="148" t="s">
        <v>705</v>
      </c>
      <c r="S242" s="148" t="s">
        <v>2026</v>
      </c>
      <c r="T242" s="149">
        <v>16</v>
      </c>
      <c r="U242" s="148" t="s">
        <v>591</v>
      </c>
      <c r="V242" s="150">
        <v>3880.43</v>
      </c>
      <c r="W242" s="151">
        <v>793.04</v>
      </c>
    </row>
    <row r="243" spans="1:23" ht="15" customHeight="1" x14ac:dyDescent="0.25">
      <c r="A243" s="148" t="s">
        <v>2437</v>
      </c>
      <c r="B243" s="148" t="s">
        <v>2488</v>
      </c>
      <c r="C243" s="143" t="s">
        <v>2504</v>
      </c>
      <c r="D243" s="143" t="s">
        <v>2504</v>
      </c>
      <c r="E243" s="143" t="s">
        <v>2504</v>
      </c>
      <c r="F243" s="143" t="s">
        <v>2504</v>
      </c>
      <c r="G243" s="143" t="s">
        <v>2504</v>
      </c>
      <c r="H243" s="143" t="s">
        <v>2504</v>
      </c>
      <c r="I243" s="143" t="s">
        <v>2504</v>
      </c>
      <c r="J243" s="143" t="s">
        <v>2504</v>
      </c>
      <c r="K243" s="143" t="s">
        <v>2504</v>
      </c>
      <c r="L243" s="143" t="s">
        <v>2504</v>
      </c>
      <c r="M243" s="143" t="s">
        <v>2504</v>
      </c>
      <c r="N243" s="143" t="s">
        <v>2504</v>
      </c>
      <c r="O243" s="143" t="s">
        <v>2504</v>
      </c>
      <c r="P243" s="143" t="s">
        <v>2504</v>
      </c>
      <c r="Q243" s="148" t="s">
        <v>2489</v>
      </c>
      <c r="R243" s="148" t="s">
        <v>1025</v>
      </c>
      <c r="S243" s="148" t="s">
        <v>1206</v>
      </c>
      <c r="T243" s="149">
        <v>200</v>
      </c>
      <c r="U243" s="148" t="s">
        <v>591</v>
      </c>
      <c r="V243" s="150">
        <v>32490.44</v>
      </c>
      <c r="W243" s="151">
        <v>9109.77</v>
      </c>
    </row>
    <row r="244" spans="1:23" ht="15" customHeight="1" x14ac:dyDescent="0.25">
      <c r="A244" s="148" t="s">
        <v>2437</v>
      </c>
      <c r="B244" s="148" t="s">
        <v>2491</v>
      </c>
      <c r="C244" s="143" t="s">
        <v>2504</v>
      </c>
      <c r="D244" s="143" t="s">
        <v>2504</v>
      </c>
      <c r="E244" s="143" t="s">
        <v>2504</v>
      </c>
      <c r="F244" s="143" t="s">
        <v>2504</v>
      </c>
      <c r="G244" s="143" t="s">
        <v>2504</v>
      </c>
      <c r="H244" s="143" t="s">
        <v>2504</v>
      </c>
      <c r="I244" s="143" t="s">
        <v>2504</v>
      </c>
      <c r="J244" s="143" t="s">
        <v>2504</v>
      </c>
      <c r="K244" s="143" t="s">
        <v>2504</v>
      </c>
      <c r="L244" s="143" t="s">
        <v>2504</v>
      </c>
      <c r="M244" s="143" t="s">
        <v>2504</v>
      </c>
      <c r="N244" s="143" t="s">
        <v>2504</v>
      </c>
      <c r="O244" s="143" t="s">
        <v>2504</v>
      </c>
      <c r="P244" s="143" t="s">
        <v>2504</v>
      </c>
      <c r="Q244" s="148" t="s">
        <v>2492</v>
      </c>
      <c r="R244" s="148" t="s">
        <v>606</v>
      </c>
      <c r="S244" s="148" t="s">
        <v>607</v>
      </c>
      <c r="T244" s="149">
        <v>1</v>
      </c>
      <c r="U244" s="148" t="s">
        <v>591</v>
      </c>
      <c r="V244" s="150">
        <v>115.7</v>
      </c>
      <c r="W244" s="151">
        <f>V244*1000</f>
        <v>115700</v>
      </c>
    </row>
    <row r="245" spans="1:23" ht="15" customHeight="1" x14ac:dyDescent="0.25">
      <c r="A245" s="148" t="s">
        <v>2437</v>
      </c>
      <c r="B245" s="148" t="s">
        <v>2493</v>
      </c>
      <c r="C245" s="143" t="s">
        <v>2504</v>
      </c>
      <c r="D245" s="143" t="s">
        <v>2504</v>
      </c>
      <c r="E245" s="143" t="s">
        <v>2504</v>
      </c>
      <c r="F245" s="143" t="s">
        <v>2504</v>
      </c>
      <c r="G245" s="143" t="s">
        <v>2504</v>
      </c>
      <c r="H245" s="143" t="s">
        <v>2504</v>
      </c>
      <c r="I245" s="143" t="s">
        <v>2504</v>
      </c>
      <c r="J245" s="143" t="s">
        <v>2504</v>
      </c>
      <c r="K245" s="143" t="s">
        <v>2504</v>
      </c>
      <c r="L245" s="143" t="s">
        <v>2504</v>
      </c>
      <c r="M245" s="143" t="s">
        <v>2504</v>
      </c>
      <c r="N245" s="143" t="s">
        <v>2504</v>
      </c>
      <c r="O245" s="143" t="s">
        <v>2504</v>
      </c>
      <c r="P245" s="143" t="s">
        <v>2504</v>
      </c>
      <c r="Q245" s="148" t="s">
        <v>2494</v>
      </c>
      <c r="R245" s="148" t="s">
        <v>594</v>
      </c>
      <c r="S245" s="148" t="s">
        <v>595</v>
      </c>
      <c r="T245" s="149">
        <v>4</v>
      </c>
      <c r="U245" s="148" t="s">
        <v>591</v>
      </c>
      <c r="V245" s="150">
        <v>349.16</v>
      </c>
      <c r="W245" s="151">
        <v>4142.5</v>
      </c>
    </row>
    <row r="246" spans="1:23" ht="15" customHeight="1" x14ac:dyDescent="0.25">
      <c r="A246" s="148" t="s">
        <v>2437</v>
      </c>
      <c r="B246" s="148" t="s">
        <v>2495</v>
      </c>
      <c r="C246" s="143" t="s">
        <v>2504</v>
      </c>
      <c r="D246" s="143" t="s">
        <v>2504</v>
      </c>
      <c r="E246" s="143" t="s">
        <v>2504</v>
      </c>
      <c r="F246" s="143" t="s">
        <v>2504</v>
      </c>
      <c r="G246" s="143" t="s">
        <v>2504</v>
      </c>
      <c r="H246" s="143" t="s">
        <v>2504</v>
      </c>
      <c r="I246" s="143" t="s">
        <v>2504</v>
      </c>
      <c r="J246" s="143" t="s">
        <v>2504</v>
      </c>
      <c r="K246" s="143" t="s">
        <v>2504</v>
      </c>
      <c r="L246" s="143" t="s">
        <v>2504</v>
      </c>
      <c r="M246" s="143" t="s">
        <v>2504</v>
      </c>
      <c r="N246" s="143" t="s">
        <v>2504</v>
      </c>
      <c r="O246" s="143" t="s">
        <v>2504</v>
      </c>
      <c r="P246" s="143" t="s">
        <v>2504</v>
      </c>
      <c r="Q246" s="148" t="s">
        <v>2496</v>
      </c>
      <c r="R246" s="148" t="s">
        <v>600</v>
      </c>
      <c r="S246" s="148" t="s">
        <v>1078</v>
      </c>
      <c r="T246" s="149">
        <v>200</v>
      </c>
      <c r="U246" s="148" t="s">
        <v>591</v>
      </c>
      <c r="V246" s="150">
        <v>23379.9</v>
      </c>
      <c r="W246" s="151">
        <v>43508.17</v>
      </c>
    </row>
    <row r="247" spans="1:23" ht="15" customHeight="1" x14ac:dyDescent="0.25">
      <c r="A247" s="148" t="s">
        <v>2437</v>
      </c>
      <c r="B247" s="148" t="s">
        <v>2497</v>
      </c>
      <c r="C247" s="143" t="s">
        <v>2504</v>
      </c>
      <c r="D247" s="143" t="s">
        <v>2504</v>
      </c>
      <c r="E247" s="143" t="s">
        <v>2504</v>
      </c>
      <c r="F247" s="143" t="s">
        <v>2504</v>
      </c>
      <c r="G247" s="143" t="s">
        <v>2504</v>
      </c>
      <c r="H247" s="143" t="s">
        <v>2504</v>
      </c>
      <c r="I247" s="143" t="s">
        <v>2504</v>
      </c>
      <c r="J247" s="143" t="s">
        <v>2504</v>
      </c>
      <c r="K247" s="143" t="s">
        <v>2504</v>
      </c>
      <c r="L247" s="143" t="s">
        <v>2504</v>
      </c>
      <c r="M247" s="143" t="s">
        <v>2504</v>
      </c>
      <c r="N247" s="143" t="s">
        <v>2504</v>
      </c>
      <c r="O247" s="143" t="s">
        <v>2504</v>
      </c>
      <c r="P247" s="143" t="s">
        <v>2504</v>
      </c>
      <c r="Q247" s="148" t="s">
        <v>2498</v>
      </c>
      <c r="R247" s="148" t="s">
        <v>1025</v>
      </c>
      <c r="S247" s="148" t="s">
        <v>2499</v>
      </c>
      <c r="T247" s="149">
        <v>1</v>
      </c>
      <c r="U247" s="148" t="s">
        <v>591</v>
      </c>
      <c r="V247" s="150">
        <v>66.930000000000007</v>
      </c>
      <c r="W247" s="151">
        <f>V247*1000</f>
        <v>66930</v>
      </c>
    </row>
    <row r="248" spans="1:23" ht="15" customHeight="1" x14ac:dyDescent="0.25">
      <c r="A248" s="148">
        <v>670</v>
      </c>
      <c r="B248" s="148" t="s">
        <v>932</v>
      </c>
      <c r="C248" s="143" t="s">
        <v>2504</v>
      </c>
      <c r="D248" s="143" t="s">
        <v>2504</v>
      </c>
      <c r="E248" s="143" t="s">
        <v>2504</v>
      </c>
      <c r="F248" s="143" t="s">
        <v>2504</v>
      </c>
      <c r="G248" s="143" t="s">
        <v>2504</v>
      </c>
      <c r="H248" s="143" t="s">
        <v>2504</v>
      </c>
      <c r="I248" s="143" t="s">
        <v>2504</v>
      </c>
      <c r="J248" s="143" t="s">
        <v>2504</v>
      </c>
      <c r="K248" s="143" t="s">
        <v>2504</v>
      </c>
      <c r="L248" s="143" t="s">
        <v>2504</v>
      </c>
      <c r="M248" s="143" t="s">
        <v>2504</v>
      </c>
      <c r="N248" s="143" t="s">
        <v>2504</v>
      </c>
      <c r="O248" s="143" t="s">
        <v>2504</v>
      </c>
      <c r="P248" s="143" t="s">
        <v>2504</v>
      </c>
      <c r="Q248" s="148" t="s">
        <v>933</v>
      </c>
      <c r="R248" s="148" t="s">
        <v>600</v>
      </c>
      <c r="S248" s="148" t="s">
        <v>934</v>
      </c>
      <c r="T248" s="149">
        <v>0.31</v>
      </c>
      <c r="U248" s="148" t="s">
        <v>935</v>
      </c>
      <c r="V248" s="150">
        <v>52.68</v>
      </c>
      <c r="W248" s="151">
        <f t="shared" ref="W248:W253" si="1">V248*1000</f>
        <v>52680</v>
      </c>
    </row>
    <row r="249" spans="1:23" ht="15" customHeight="1" x14ac:dyDescent="0.25">
      <c r="A249" s="148">
        <v>10772</v>
      </c>
      <c r="B249" s="148" t="s">
        <v>1850</v>
      </c>
      <c r="C249" s="143" t="s">
        <v>2504</v>
      </c>
      <c r="D249" s="143" t="s">
        <v>2504</v>
      </c>
      <c r="E249" s="143" t="s">
        <v>2504</v>
      </c>
      <c r="F249" s="143" t="s">
        <v>2504</v>
      </c>
      <c r="G249" s="143" t="s">
        <v>2504</v>
      </c>
      <c r="H249" s="143" t="s">
        <v>2504</v>
      </c>
      <c r="I249" s="143" t="s">
        <v>2504</v>
      </c>
      <c r="J249" s="143" t="s">
        <v>2504</v>
      </c>
      <c r="K249" s="143" t="s">
        <v>2504</v>
      </c>
      <c r="L249" s="143" t="s">
        <v>2504</v>
      </c>
      <c r="M249" s="143" t="s">
        <v>2504</v>
      </c>
      <c r="N249" s="143" t="s">
        <v>2504</v>
      </c>
      <c r="O249" s="143" t="s">
        <v>2504</v>
      </c>
      <c r="P249" s="143" t="s">
        <v>2504</v>
      </c>
      <c r="Q249" s="148" t="s">
        <v>1851</v>
      </c>
      <c r="R249" s="148" t="s">
        <v>1025</v>
      </c>
      <c r="S249" s="148" t="s">
        <v>1817</v>
      </c>
      <c r="T249" s="149">
        <v>200</v>
      </c>
      <c r="U249" s="148" t="s">
        <v>935</v>
      </c>
      <c r="V249" s="150">
        <v>17776.18</v>
      </c>
      <c r="W249" s="151">
        <f t="shared" si="1"/>
        <v>17776180</v>
      </c>
    </row>
    <row r="250" spans="1:23" ht="15" customHeight="1" x14ac:dyDescent="0.25">
      <c r="A250" s="148">
        <v>16921</v>
      </c>
      <c r="B250" s="148" t="s">
        <v>2407</v>
      </c>
      <c r="C250" s="143" t="s">
        <v>2504</v>
      </c>
      <c r="D250" s="143" t="s">
        <v>2504</v>
      </c>
      <c r="E250" s="143" t="s">
        <v>2504</v>
      </c>
      <c r="F250" s="143" t="s">
        <v>2504</v>
      </c>
      <c r="G250" s="143" t="s">
        <v>2504</v>
      </c>
      <c r="H250" s="143" t="s">
        <v>2504</v>
      </c>
      <c r="I250" s="143" t="s">
        <v>2504</v>
      </c>
      <c r="J250" s="143" t="s">
        <v>2504</v>
      </c>
      <c r="K250" s="143" t="s">
        <v>2504</v>
      </c>
      <c r="L250" s="143" t="s">
        <v>2504</v>
      </c>
      <c r="M250" s="143" t="s">
        <v>2504</v>
      </c>
      <c r="N250" s="143" t="s">
        <v>2504</v>
      </c>
      <c r="O250" s="143" t="s">
        <v>2504</v>
      </c>
      <c r="P250" s="143" t="s">
        <v>2504</v>
      </c>
      <c r="Q250" s="148" t="s">
        <v>2408</v>
      </c>
      <c r="R250" s="148" t="s">
        <v>594</v>
      </c>
      <c r="S250" s="148" t="s">
        <v>2406</v>
      </c>
      <c r="T250" s="149">
        <v>0.95</v>
      </c>
      <c r="U250" s="148" t="s">
        <v>935</v>
      </c>
      <c r="V250" s="150">
        <v>112.11</v>
      </c>
      <c r="W250" s="151">
        <f t="shared" si="1"/>
        <v>112110</v>
      </c>
    </row>
    <row r="251" spans="1:23" ht="15" customHeight="1" x14ac:dyDescent="0.25">
      <c r="A251" s="148">
        <v>11</v>
      </c>
      <c r="B251" s="148" t="s">
        <v>592</v>
      </c>
      <c r="C251" s="143" t="s">
        <v>2504</v>
      </c>
      <c r="D251" s="143" t="s">
        <v>2504</v>
      </c>
      <c r="E251" s="143" t="s">
        <v>2504</v>
      </c>
      <c r="F251" s="143" t="s">
        <v>2504</v>
      </c>
      <c r="G251" s="143" t="s">
        <v>2504</v>
      </c>
      <c r="H251" s="143" t="s">
        <v>2504</v>
      </c>
      <c r="I251" s="143" t="s">
        <v>2504</v>
      </c>
      <c r="J251" s="143" t="s">
        <v>2504</v>
      </c>
      <c r="K251" s="143" t="s">
        <v>2504</v>
      </c>
      <c r="L251" s="143" t="s">
        <v>2504</v>
      </c>
      <c r="M251" s="143" t="s">
        <v>2504</v>
      </c>
      <c r="N251" s="143" t="s">
        <v>2504</v>
      </c>
      <c r="O251" s="143" t="s">
        <v>2504</v>
      </c>
      <c r="P251" s="143" t="s">
        <v>2504</v>
      </c>
      <c r="Q251" s="148" t="s">
        <v>593</v>
      </c>
      <c r="R251" s="148" t="s">
        <v>594</v>
      </c>
      <c r="S251" s="148" t="s">
        <v>595</v>
      </c>
      <c r="T251" s="149">
        <v>0.95</v>
      </c>
      <c r="U251" s="148" t="s">
        <v>596</v>
      </c>
      <c r="V251" s="150">
        <v>101.1</v>
      </c>
      <c r="W251" s="151">
        <f t="shared" si="1"/>
        <v>101100</v>
      </c>
    </row>
    <row r="252" spans="1:23" ht="15" customHeight="1" x14ac:dyDescent="0.25">
      <c r="A252" s="148">
        <v>20</v>
      </c>
      <c r="B252" s="148" t="s">
        <v>602</v>
      </c>
      <c r="C252" s="143" t="s">
        <v>2504</v>
      </c>
      <c r="D252" s="143" t="s">
        <v>2504</v>
      </c>
      <c r="E252" s="143" t="s">
        <v>2504</v>
      </c>
      <c r="F252" s="143" t="s">
        <v>2504</v>
      </c>
      <c r="G252" s="143" t="s">
        <v>2504</v>
      </c>
      <c r="H252" s="143" t="s">
        <v>2504</v>
      </c>
      <c r="I252" s="143" t="s">
        <v>2504</v>
      </c>
      <c r="J252" s="143" t="s">
        <v>2504</v>
      </c>
      <c r="K252" s="143" t="s">
        <v>2504</v>
      </c>
      <c r="L252" s="143" t="s">
        <v>2504</v>
      </c>
      <c r="M252" s="143" t="s">
        <v>2504</v>
      </c>
      <c r="N252" s="143" t="s">
        <v>2504</v>
      </c>
      <c r="O252" s="143" t="s">
        <v>2504</v>
      </c>
      <c r="P252" s="143" t="s">
        <v>2504</v>
      </c>
      <c r="Q252" s="148" t="s">
        <v>603</v>
      </c>
      <c r="R252" s="148" t="s">
        <v>594</v>
      </c>
      <c r="S252" s="148" t="s">
        <v>604</v>
      </c>
      <c r="T252" s="149">
        <v>0.95</v>
      </c>
      <c r="U252" s="148" t="s">
        <v>596</v>
      </c>
      <c r="V252" s="150">
        <v>113.22</v>
      </c>
      <c r="W252" s="151">
        <f t="shared" si="1"/>
        <v>113220</v>
      </c>
    </row>
    <row r="253" spans="1:23" ht="15" customHeight="1" x14ac:dyDescent="0.25">
      <c r="A253" s="148">
        <v>45</v>
      </c>
      <c r="B253" s="148" t="s">
        <v>609</v>
      </c>
      <c r="C253" s="143" t="s">
        <v>2504</v>
      </c>
      <c r="D253" s="143" t="s">
        <v>2504</v>
      </c>
      <c r="E253" s="143" t="s">
        <v>2504</v>
      </c>
      <c r="F253" s="143" t="s">
        <v>2504</v>
      </c>
      <c r="G253" s="143" t="s">
        <v>2504</v>
      </c>
      <c r="H253" s="143" t="s">
        <v>2504</v>
      </c>
      <c r="I253" s="143" t="s">
        <v>2504</v>
      </c>
      <c r="J253" s="143" t="s">
        <v>2504</v>
      </c>
      <c r="K253" s="143" t="s">
        <v>2504</v>
      </c>
      <c r="L253" s="143" t="s">
        <v>2504</v>
      </c>
      <c r="M253" s="143" t="s">
        <v>2504</v>
      </c>
      <c r="N253" s="143" t="s">
        <v>2504</v>
      </c>
      <c r="O253" s="143" t="s">
        <v>2504</v>
      </c>
      <c r="P253" s="143" t="s">
        <v>2504</v>
      </c>
      <c r="Q253" s="148" t="s">
        <v>610</v>
      </c>
      <c r="R253" s="148" t="s">
        <v>594</v>
      </c>
      <c r="S253" s="148" t="s">
        <v>604</v>
      </c>
      <c r="T253" s="149">
        <v>3.8</v>
      </c>
      <c r="U253" s="148" t="s">
        <v>596</v>
      </c>
      <c r="V253" s="150">
        <v>412.42</v>
      </c>
      <c r="W253" s="151">
        <f t="shared" si="1"/>
        <v>412420</v>
      </c>
    </row>
    <row r="254" spans="1:23" ht="15" customHeight="1" x14ac:dyDescent="0.25">
      <c r="A254" s="148">
        <v>51</v>
      </c>
      <c r="B254" s="148" t="s">
        <v>619</v>
      </c>
      <c r="C254" s="143" t="s">
        <v>2504</v>
      </c>
      <c r="D254" s="143" t="s">
        <v>2504</v>
      </c>
      <c r="E254" s="143" t="s">
        <v>2504</v>
      </c>
      <c r="F254" s="143" t="s">
        <v>2504</v>
      </c>
      <c r="G254" s="143" t="s">
        <v>2504</v>
      </c>
      <c r="H254" s="143" t="s">
        <v>2504</v>
      </c>
      <c r="I254" s="143" t="s">
        <v>2504</v>
      </c>
      <c r="J254" s="143" t="s">
        <v>2504</v>
      </c>
      <c r="K254" s="143" t="s">
        <v>2504</v>
      </c>
      <c r="L254" s="143" t="s">
        <v>2504</v>
      </c>
      <c r="M254" s="143" t="s">
        <v>2504</v>
      </c>
      <c r="N254" s="143" t="s">
        <v>2504</v>
      </c>
      <c r="O254" s="143" t="s">
        <v>2504</v>
      </c>
      <c r="P254" s="143" t="s">
        <v>2504</v>
      </c>
      <c r="Q254" s="148" t="s">
        <v>620</v>
      </c>
      <c r="R254" s="148" t="s">
        <v>594</v>
      </c>
      <c r="S254" s="148" t="s">
        <v>604</v>
      </c>
      <c r="T254" s="149">
        <v>3.8</v>
      </c>
      <c r="U254" s="148" t="s">
        <v>596</v>
      </c>
      <c r="V254" s="150">
        <v>421.9</v>
      </c>
      <c r="W254" s="151">
        <v>21618.13</v>
      </c>
    </row>
    <row r="255" spans="1:23" ht="15" customHeight="1" x14ac:dyDescent="0.25">
      <c r="A255" s="148">
        <v>57</v>
      </c>
      <c r="B255" s="148" t="s">
        <v>622</v>
      </c>
      <c r="C255" s="143" t="s">
        <v>2504</v>
      </c>
      <c r="D255" s="143" t="s">
        <v>2504</v>
      </c>
      <c r="E255" s="143" t="s">
        <v>2504</v>
      </c>
      <c r="F255" s="143" t="s">
        <v>2504</v>
      </c>
      <c r="G255" s="143" t="s">
        <v>2504</v>
      </c>
      <c r="H255" s="143" t="s">
        <v>2504</v>
      </c>
      <c r="I255" s="143" t="s">
        <v>2504</v>
      </c>
      <c r="J255" s="143" t="s">
        <v>2504</v>
      </c>
      <c r="K255" s="143" t="s">
        <v>2504</v>
      </c>
      <c r="L255" s="143" t="s">
        <v>2504</v>
      </c>
      <c r="M255" s="143" t="s">
        <v>2504</v>
      </c>
      <c r="N255" s="143" t="s">
        <v>2504</v>
      </c>
      <c r="O255" s="143" t="s">
        <v>2504</v>
      </c>
      <c r="P255" s="143" t="s">
        <v>2504</v>
      </c>
      <c r="Q255" s="148" t="s">
        <v>623</v>
      </c>
      <c r="R255" s="148" t="s">
        <v>594</v>
      </c>
      <c r="S255" s="148" t="s">
        <v>624</v>
      </c>
      <c r="T255" s="149">
        <v>0.95</v>
      </c>
      <c r="U255" s="148" t="s">
        <v>596</v>
      </c>
      <c r="V255" s="150">
        <v>99.75</v>
      </c>
      <c r="W255" s="151">
        <v>2010.72</v>
      </c>
    </row>
    <row r="256" spans="1:23" ht="15" customHeight="1" x14ac:dyDescent="0.25">
      <c r="A256" s="148">
        <v>59</v>
      </c>
      <c r="B256" s="148" t="s">
        <v>625</v>
      </c>
      <c r="C256" s="143" t="s">
        <v>2504</v>
      </c>
      <c r="D256" s="143" t="s">
        <v>2504</v>
      </c>
      <c r="E256" s="143" t="s">
        <v>2504</v>
      </c>
      <c r="F256" s="143" t="s">
        <v>2504</v>
      </c>
      <c r="G256" s="143" t="s">
        <v>2504</v>
      </c>
      <c r="H256" s="143" t="s">
        <v>2504</v>
      </c>
      <c r="I256" s="143" t="s">
        <v>2504</v>
      </c>
      <c r="J256" s="143" t="s">
        <v>2504</v>
      </c>
      <c r="K256" s="143" t="s">
        <v>2504</v>
      </c>
      <c r="L256" s="143" t="s">
        <v>2504</v>
      </c>
      <c r="M256" s="143" t="s">
        <v>2504</v>
      </c>
      <c r="N256" s="143" t="s">
        <v>2504</v>
      </c>
      <c r="O256" s="143" t="s">
        <v>2504</v>
      </c>
      <c r="P256" s="143" t="s">
        <v>2504</v>
      </c>
      <c r="Q256" s="148" t="s">
        <v>626</v>
      </c>
      <c r="R256" s="148" t="s">
        <v>589</v>
      </c>
      <c r="S256" s="148" t="s">
        <v>627</v>
      </c>
      <c r="T256" s="149">
        <v>0.95</v>
      </c>
      <c r="U256" s="148" t="s">
        <v>596</v>
      </c>
      <c r="V256" s="150">
        <v>83.04</v>
      </c>
      <c r="W256" s="151">
        <v>21265.87</v>
      </c>
    </row>
    <row r="257" spans="1:23" ht="15" customHeight="1" x14ac:dyDescent="0.25">
      <c r="A257" s="148">
        <v>62</v>
      </c>
      <c r="B257" s="148" t="s">
        <v>632</v>
      </c>
      <c r="C257" s="143" t="s">
        <v>2504</v>
      </c>
      <c r="D257" s="143" t="s">
        <v>2504</v>
      </c>
      <c r="E257" s="143" t="s">
        <v>2504</v>
      </c>
      <c r="F257" s="143" t="s">
        <v>2504</v>
      </c>
      <c r="G257" s="143" t="s">
        <v>2504</v>
      </c>
      <c r="H257" s="143" t="s">
        <v>2504</v>
      </c>
      <c r="I257" s="143" t="s">
        <v>2504</v>
      </c>
      <c r="J257" s="143" t="s">
        <v>2504</v>
      </c>
      <c r="K257" s="143" t="s">
        <v>2504</v>
      </c>
      <c r="L257" s="143" t="s">
        <v>2504</v>
      </c>
      <c r="M257" s="143" t="s">
        <v>2504</v>
      </c>
      <c r="N257" s="143" t="s">
        <v>2504</v>
      </c>
      <c r="O257" s="143" t="s">
        <v>2504</v>
      </c>
      <c r="P257" s="143" t="s">
        <v>2504</v>
      </c>
      <c r="Q257" s="152" t="s">
        <v>633</v>
      </c>
      <c r="R257" s="148" t="s">
        <v>630</v>
      </c>
      <c r="S257" s="148" t="s">
        <v>634</v>
      </c>
      <c r="T257" s="149">
        <v>19</v>
      </c>
      <c r="U257" s="148" t="s">
        <v>596</v>
      </c>
      <c r="V257" s="150">
        <v>1974.72</v>
      </c>
      <c r="W257" s="151">
        <f>V257*1000</f>
        <v>1974720</v>
      </c>
    </row>
    <row r="258" spans="1:23" ht="15" customHeight="1" x14ac:dyDescent="0.25">
      <c r="A258" s="148">
        <v>68</v>
      </c>
      <c r="B258" s="148" t="s">
        <v>637</v>
      </c>
      <c r="C258" s="143" t="s">
        <v>2504</v>
      </c>
      <c r="D258" s="143" t="s">
        <v>2504</v>
      </c>
      <c r="E258" s="143" t="s">
        <v>2504</v>
      </c>
      <c r="F258" s="143" t="s">
        <v>2504</v>
      </c>
      <c r="G258" s="143" t="s">
        <v>2504</v>
      </c>
      <c r="H258" s="143" t="s">
        <v>2504</v>
      </c>
      <c r="I258" s="143" t="s">
        <v>2504</v>
      </c>
      <c r="J258" s="143" t="s">
        <v>2504</v>
      </c>
      <c r="K258" s="143" t="s">
        <v>2504</v>
      </c>
      <c r="L258" s="143" t="s">
        <v>2504</v>
      </c>
      <c r="M258" s="143" t="s">
        <v>2504</v>
      </c>
      <c r="N258" s="143" t="s">
        <v>2504</v>
      </c>
      <c r="O258" s="143" t="s">
        <v>2504</v>
      </c>
      <c r="P258" s="143" t="s">
        <v>2504</v>
      </c>
      <c r="Q258" s="148" t="s">
        <v>638</v>
      </c>
      <c r="R258" s="148" t="s">
        <v>606</v>
      </c>
      <c r="S258" s="148" t="s">
        <v>618</v>
      </c>
      <c r="T258" s="149">
        <v>19</v>
      </c>
      <c r="U258" s="148" t="s">
        <v>596</v>
      </c>
      <c r="V258" s="150">
        <v>1629.39</v>
      </c>
      <c r="W258" s="151">
        <f>V258*1000</f>
        <v>1629390</v>
      </c>
    </row>
    <row r="259" spans="1:23" ht="15" customHeight="1" x14ac:dyDescent="0.25">
      <c r="A259" s="148">
        <v>70</v>
      </c>
      <c r="B259" s="148" t="s">
        <v>639</v>
      </c>
      <c r="C259" s="143" t="s">
        <v>2504</v>
      </c>
      <c r="D259" s="143" t="s">
        <v>2504</v>
      </c>
      <c r="E259" s="143" t="s">
        <v>2504</v>
      </c>
      <c r="F259" s="143" t="s">
        <v>2504</v>
      </c>
      <c r="G259" s="143" t="s">
        <v>2504</v>
      </c>
      <c r="H259" s="143" t="s">
        <v>2504</v>
      </c>
      <c r="I259" s="143" t="s">
        <v>2504</v>
      </c>
      <c r="J259" s="143" t="s">
        <v>2504</v>
      </c>
      <c r="K259" s="143" t="s">
        <v>2504</v>
      </c>
      <c r="L259" s="143" t="s">
        <v>2504</v>
      </c>
      <c r="M259" s="143" t="s">
        <v>2504</v>
      </c>
      <c r="N259" s="143" t="s">
        <v>2504</v>
      </c>
      <c r="O259" s="143" t="s">
        <v>2504</v>
      </c>
      <c r="P259" s="143" t="s">
        <v>2504</v>
      </c>
      <c r="Q259" s="148" t="s">
        <v>640</v>
      </c>
      <c r="R259" s="148" t="s">
        <v>606</v>
      </c>
      <c r="S259" s="148" t="s">
        <v>618</v>
      </c>
      <c r="T259" s="149">
        <v>200</v>
      </c>
      <c r="U259" s="148" t="s">
        <v>596</v>
      </c>
      <c r="V259" s="150">
        <v>17259.29</v>
      </c>
      <c r="W259" s="151">
        <f>V259*4</f>
        <v>69037.16</v>
      </c>
    </row>
    <row r="260" spans="1:23" ht="15" customHeight="1" x14ac:dyDescent="0.25">
      <c r="A260" s="148">
        <v>72</v>
      </c>
      <c r="B260" s="148" t="s">
        <v>641</v>
      </c>
      <c r="C260" s="143" t="s">
        <v>2504</v>
      </c>
      <c r="D260" s="143" t="s">
        <v>2504</v>
      </c>
      <c r="E260" s="143" t="s">
        <v>2504</v>
      </c>
      <c r="F260" s="143" t="s">
        <v>2504</v>
      </c>
      <c r="G260" s="143" t="s">
        <v>2504</v>
      </c>
      <c r="H260" s="143" t="s">
        <v>2504</v>
      </c>
      <c r="I260" s="143" t="s">
        <v>2504</v>
      </c>
      <c r="J260" s="143" t="s">
        <v>2504</v>
      </c>
      <c r="K260" s="143" t="s">
        <v>2504</v>
      </c>
      <c r="L260" s="143" t="s">
        <v>2504</v>
      </c>
      <c r="M260" s="143" t="s">
        <v>2504</v>
      </c>
      <c r="N260" s="143" t="s">
        <v>2504</v>
      </c>
      <c r="O260" s="143" t="s">
        <v>2504</v>
      </c>
      <c r="P260" s="143" t="s">
        <v>2504</v>
      </c>
      <c r="Q260" s="152" t="s">
        <v>642</v>
      </c>
      <c r="R260" s="148" t="s">
        <v>594</v>
      </c>
      <c r="S260" s="148" t="s">
        <v>643</v>
      </c>
      <c r="T260" s="149">
        <v>0.95</v>
      </c>
      <c r="U260" s="148" t="s">
        <v>596</v>
      </c>
      <c r="V260" s="150">
        <v>117.74</v>
      </c>
      <c r="W260" s="151">
        <v>22412.39</v>
      </c>
    </row>
    <row r="261" spans="1:23" ht="15" customHeight="1" x14ac:dyDescent="0.25">
      <c r="A261" s="148">
        <v>88</v>
      </c>
      <c r="B261" s="148" t="s">
        <v>648</v>
      </c>
      <c r="C261" s="143" t="s">
        <v>2504</v>
      </c>
      <c r="D261" s="143" t="s">
        <v>2504</v>
      </c>
      <c r="E261" s="143" t="s">
        <v>2504</v>
      </c>
      <c r="F261" s="143" t="s">
        <v>2504</v>
      </c>
      <c r="G261" s="143" t="s">
        <v>2504</v>
      </c>
      <c r="H261" s="143" t="s">
        <v>2504</v>
      </c>
      <c r="I261" s="143" t="s">
        <v>2504</v>
      </c>
      <c r="J261" s="143" t="s">
        <v>2504</v>
      </c>
      <c r="K261" s="143" t="s">
        <v>2504</v>
      </c>
      <c r="L261" s="143" t="s">
        <v>2504</v>
      </c>
      <c r="M261" s="143" t="s">
        <v>2504</v>
      </c>
      <c r="N261" s="143" t="s">
        <v>2504</v>
      </c>
      <c r="O261" s="143" t="s">
        <v>2504</v>
      </c>
      <c r="P261" s="143" t="s">
        <v>2504</v>
      </c>
      <c r="Q261" s="148" t="s">
        <v>649</v>
      </c>
      <c r="R261" s="148" t="s">
        <v>600</v>
      </c>
      <c r="S261" s="148" t="s">
        <v>650</v>
      </c>
      <c r="T261" s="149">
        <v>0.25</v>
      </c>
      <c r="U261" s="148" t="s">
        <v>596</v>
      </c>
      <c r="V261" s="150">
        <v>33.28</v>
      </c>
      <c r="W261" s="151">
        <v>23068.240000000002</v>
      </c>
    </row>
    <row r="262" spans="1:23" ht="15" customHeight="1" x14ac:dyDescent="0.25">
      <c r="A262" s="148">
        <v>93</v>
      </c>
      <c r="B262" s="148" t="s">
        <v>654</v>
      </c>
      <c r="C262" s="143" t="s">
        <v>2504</v>
      </c>
      <c r="D262" s="143" t="s">
        <v>2504</v>
      </c>
      <c r="E262" s="143" t="s">
        <v>2504</v>
      </c>
      <c r="F262" s="143" t="s">
        <v>2504</v>
      </c>
      <c r="G262" s="143" t="s">
        <v>2504</v>
      </c>
      <c r="H262" s="143" t="s">
        <v>2504</v>
      </c>
      <c r="I262" s="143" t="s">
        <v>2504</v>
      </c>
      <c r="J262" s="143" t="s">
        <v>2504</v>
      </c>
      <c r="K262" s="143" t="s">
        <v>2504</v>
      </c>
      <c r="L262" s="143" t="s">
        <v>2504</v>
      </c>
      <c r="M262" s="143" t="s">
        <v>2504</v>
      </c>
      <c r="N262" s="143" t="s">
        <v>2504</v>
      </c>
      <c r="O262" s="143" t="s">
        <v>2504</v>
      </c>
      <c r="P262" s="143" t="s">
        <v>2504</v>
      </c>
      <c r="Q262" s="148" t="s">
        <v>655</v>
      </c>
      <c r="R262" s="148" t="s">
        <v>594</v>
      </c>
      <c r="S262" s="148" t="s">
        <v>595</v>
      </c>
      <c r="T262" s="149">
        <v>3.8</v>
      </c>
      <c r="U262" s="148" t="s">
        <v>596</v>
      </c>
      <c r="V262" s="150">
        <v>581.5</v>
      </c>
      <c r="W262" s="151">
        <v>23178.99</v>
      </c>
    </row>
    <row r="263" spans="1:23" ht="15" customHeight="1" x14ac:dyDescent="0.25">
      <c r="A263" s="148">
        <v>94</v>
      </c>
      <c r="B263" s="148" t="s">
        <v>656</v>
      </c>
      <c r="C263" s="143" t="s">
        <v>2504</v>
      </c>
      <c r="D263" s="143" t="s">
        <v>2504</v>
      </c>
      <c r="E263" s="143" t="s">
        <v>2504</v>
      </c>
      <c r="F263" s="143" t="s">
        <v>2504</v>
      </c>
      <c r="G263" s="143" t="s">
        <v>2504</v>
      </c>
      <c r="H263" s="143" t="s">
        <v>2504</v>
      </c>
      <c r="I263" s="143" t="s">
        <v>2504</v>
      </c>
      <c r="J263" s="143" t="s">
        <v>2504</v>
      </c>
      <c r="K263" s="143" t="s">
        <v>2504</v>
      </c>
      <c r="L263" s="143" t="s">
        <v>2504</v>
      </c>
      <c r="M263" s="143" t="s">
        <v>2504</v>
      </c>
      <c r="N263" s="143" t="s">
        <v>2504</v>
      </c>
      <c r="O263" s="143" t="s">
        <v>2504</v>
      </c>
      <c r="P263" s="143" t="s">
        <v>2504</v>
      </c>
      <c r="Q263" s="148" t="s">
        <v>657</v>
      </c>
      <c r="R263" s="148" t="s">
        <v>594</v>
      </c>
      <c r="S263" s="148" t="s">
        <v>595</v>
      </c>
      <c r="T263" s="149">
        <v>3.8</v>
      </c>
      <c r="U263" s="148" t="s">
        <v>596</v>
      </c>
      <c r="V263" s="150">
        <v>558.79</v>
      </c>
      <c r="W263" s="151">
        <v>21009.22</v>
      </c>
    </row>
    <row r="264" spans="1:23" ht="15" customHeight="1" x14ac:dyDescent="0.25">
      <c r="A264" s="148">
        <v>95</v>
      </c>
      <c r="B264" s="148" t="s">
        <v>658</v>
      </c>
      <c r="C264" s="143" t="s">
        <v>2504</v>
      </c>
      <c r="D264" s="143" t="s">
        <v>2504</v>
      </c>
      <c r="E264" s="143" t="s">
        <v>2504</v>
      </c>
      <c r="F264" s="143" t="s">
        <v>2504</v>
      </c>
      <c r="G264" s="143" t="s">
        <v>2504</v>
      </c>
      <c r="H264" s="143" t="s">
        <v>2504</v>
      </c>
      <c r="I264" s="143" t="s">
        <v>2504</v>
      </c>
      <c r="J264" s="143" t="s">
        <v>2504</v>
      </c>
      <c r="K264" s="143" t="s">
        <v>2504</v>
      </c>
      <c r="L264" s="143" t="s">
        <v>2504</v>
      </c>
      <c r="M264" s="143" t="s">
        <v>2504</v>
      </c>
      <c r="N264" s="143" t="s">
        <v>2504</v>
      </c>
      <c r="O264" s="143" t="s">
        <v>2504</v>
      </c>
      <c r="P264" s="143" t="s">
        <v>2504</v>
      </c>
      <c r="Q264" s="148" t="s">
        <v>659</v>
      </c>
      <c r="R264" s="148" t="s">
        <v>594</v>
      </c>
      <c r="S264" s="148" t="s">
        <v>595</v>
      </c>
      <c r="T264" s="149">
        <v>3.8</v>
      </c>
      <c r="U264" s="148" t="s">
        <v>596</v>
      </c>
      <c r="V264" s="150">
        <v>571.57000000000005</v>
      </c>
      <c r="W264" s="151">
        <v>2200.54</v>
      </c>
    </row>
    <row r="265" spans="1:23" ht="15" customHeight="1" x14ac:dyDescent="0.25">
      <c r="A265" s="148">
        <v>122</v>
      </c>
      <c r="B265" s="148" t="s">
        <v>667</v>
      </c>
      <c r="C265" s="143" t="s">
        <v>2504</v>
      </c>
      <c r="D265" s="143" t="s">
        <v>2504</v>
      </c>
      <c r="E265" s="143" t="s">
        <v>2504</v>
      </c>
      <c r="F265" s="143" t="s">
        <v>2504</v>
      </c>
      <c r="G265" s="143" t="s">
        <v>2504</v>
      </c>
      <c r="H265" s="143" t="s">
        <v>2504</v>
      </c>
      <c r="I265" s="143" t="s">
        <v>2504</v>
      </c>
      <c r="J265" s="143" t="s">
        <v>2504</v>
      </c>
      <c r="K265" s="143" t="s">
        <v>2504</v>
      </c>
      <c r="L265" s="143" t="s">
        <v>2504</v>
      </c>
      <c r="M265" s="143" t="s">
        <v>2504</v>
      </c>
      <c r="N265" s="143" t="s">
        <v>2504</v>
      </c>
      <c r="O265" s="143" t="s">
        <v>2504</v>
      </c>
      <c r="P265" s="143" t="s">
        <v>2504</v>
      </c>
      <c r="Q265" s="148" t="s">
        <v>668</v>
      </c>
      <c r="R265" s="148" t="s">
        <v>594</v>
      </c>
      <c r="S265" s="148" t="s">
        <v>669</v>
      </c>
      <c r="T265" s="149">
        <v>0.95</v>
      </c>
      <c r="U265" s="148" t="s">
        <v>596</v>
      </c>
      <c r="V265" s="150">
        <v>123.07</v>
      </c>
      <c r="W265" s="151">
        <f>V265*1000</f>
        <v>123070</v>
      </c>
    </row>
    <row r="266" spans="1:23" ht="15" customHeight="1" x14ac:dyDescent="0.25">
      <c r="A266" s="148">
        <v>123</v>
      </c>
      <c r="B266" s="148" t="s">
        <v>670</v>
      </c>
      <c r="C266" s="143" t="s">
        <v>2504</v>
      </c>
      <c r="D266" s="143" t="s">
        <v>2504</v>
      </c>
      <c r="E266" s="143" t="s">
        <v>2504</v>
      </c>
      <c r="F266" s="143" t="s">
        <v>2504</v>
      </c>
      <c r="G266" s="143" t="s">
        <v>2504</v>
      </c>
      <c r="H266" s="143" t="s">
        <v>2504</v>
      </c>
      <c r="I266" s="143" t="s">
        <v>2504</v>
      </c>
      <c r="J266" s="143" t="s">
        <v>2504</v>
      </c>
      <c r="K266" s="143" t="s">
        <v>2504</v>
      </c>
      <c r="L266" s="143" t="s">
        <v>2504</v>
      </c>
      <c r="M266" s="143" t="s">
        <v>2504</v>
      </c>
      <c r="N266" s="143" t="s">
        <v>2504</v>
      </c>
      <c r="O266" s="143" t="s">
        <v>2504</v>
      </c>
      <c r="P266" s="143" t="s">
        <v>2504</v>
      </c>
      <c r="Q266" s="148" t="s">
        <v>671</v>
      </c>
      <c r="R266" s="148" t="s">
        <v>594</v>
      </c>
      <c r="S266" s="148" t="s">
        <v>669</v>
      </c>
      <c r="T266" s="149">
        <v>0.95</v>
      </c>
      <c r="U266" s="148" t="s">
        <v>596</v>
      </c>
      <c r="V266" s="150">
        <v>139.25</v>
      </c>
      <c r="W266" s="151">
        <f>V266*12</f>
        <v>1671</v>
      </c>
    </row>
    <row r="267" spans="1:23" ht="15" customHeight="1" x14ac:dyDescent="0.25">
      <c r="A267" s="148">
        <v>199</v>
      </c>
      <c r="B267" s="148" t="s">
        <v>700</v>
      </c>
      <c r="C267" s="143" t="s">
        <v>2504</v>
      </c>
      <c r="D267" s="143" t="s">
        <v>2504</v>
      </c>
      <c r="E267" s="143" t="s">
        <v>2504</v>
      </c>
      <c r="F267" s="143" t="s">
        <v>2504</v>
      </c>
      <c r="G267" s="143" t="s">
        <v>2504</v>
      </c>
      <c r="H267" s="143" t="s">
        <v>2504</v>
      </c>
      <c r="I267" s="143" t="s">
        <v>2504</v>
      </c>
      <c r="J267" s="143" t="s">
        <v>2504</v>
      </c>
      <c r="K267" s="143" t="s">
        <v>2504</v>
      </c>
      <c r="L267" s="143" t="s">
        <v>2504</v>
      </c>
      <c r="M267" s="143" t="s">
        <v>2504</v>
      </c>
      <c r="N267" s="143" t="s">
        <v>2504</v>
      </c>
      <c r="O267" s="143" t="s">
        <v>2504</v>
      </c>
      <c r="P267" s="143" t="s">
        <v>2504</v>
      </c>
      <c r="Q267" s="148" t="s">
        <v>701</v>
      </c>
      <c r="R267" s="148" t="s">
        <v>702</v>
      </c>
      <c r="S267" s="148" t="s">
        <v>703</v>
      </c>
      <c r="T267" s="149">
        <v>200</v>
      </c>
      <c r="U267" s="148" t="s">
        <v>596</v>
      </c>
      <c r="V267" s="150">
        <v>16163.94</v>
      </c>
      <c r="W267" s="151">
        <f>V267*12</f>
        <v>193967.28</v>
      </c>
    </row>
    <row r="268" spans="1:23" ht="15" customHeight="1" x14ac:dyDescent="0.25">
      <c r="A268" s="148">
        <v>301</v>
      </c>
      <c r="B268" s="148" t="s">
        <v>741</v>
      </c>
      <c r="C268" s="143" t="s">
        <v>2504</v>
      </c>
      <c r="D268" s="143" t="s">
        <v>2504</v>
      </c>
      <c r="E268" s="143" t="s">
        <v>2504</v>
      </c>
      <c r="F268" s="143" t="s">
        <v>2504</v>
      </c>
      <c r="G268" s="143" t="s">
        <v>2504</v>
      </c>
      <c r="H268" s="143" t="s">
        <v>2504</v>
      </c>
      <c r="I268" s="143" t="s">
        <v>2504</v>
      </c>
      <c r="J268" s="143" t="s">
        <v>2504</v>
      </c>
      <c r="K268" s="143" t="s">
        <v>2504</v>
      </c>
      <c r="L268" s="143" t="s">
        <v>2504</v>
      </c>
      <c r="M268" s="143" t="s">
        <v>2504</v>
      </c>
      <c r="N268" s="143" t="s">
        <v>2504</v>
      </c>
      <c r="O268" s="143" t="s">
        <v>2504</v>
      </c>
      <c r="P268" s="143" t="s">
        <v>2504</v>
      </c>
      <c r="Q268" s="148" t="s">
        <v>742</v>
      </c>
      <c r="R268" s="148" t="s">
        <v>594</v>
      </c>
      <c r="S268" s="148" t="s">
        <v>674</v>
      </c>
      <c r="T268" s="149">
        <v>0.95</v>
      </c>
      <c r="U268" s="148" t="s">
        <v>596</v>
      </c>
      <c r="V268" s="150">
        <v>112.85</v>
      </c>
      <c r="W268" s="151">
        <f>V268*15</f>
        <v>1692.75</v>
      </c>
    </row>
    <row r="269" spans="1:23" ht="15" customHeight="1" x14ac:dyDescent="0.25">
      <c r="A269" s="148">
        <v>302</v>
      </c>
      <c r="B269" s="148" t="s">
        <v>743</v>
      </c>
      <c r="C269" s="143" t="s">
        <v>2504</v>
      </c>
      <c r="D269" s="143" t="s">
        <v>2504</v>
      </c>
      <c r="E269" s="143" t="s">
        <v>2504</v>
      </c>
      <c r="F269" s="143" t="s">
        <v>2504</v>
      </c>
      <c r="G269" s="143" t="s">
        <v>2504</v>
      </c>
      <c r="H269" s="143" t="s">
        <v>2504</v>
      </c>
      <c r="I269" s="143" t="s">
        <v>2504</v>
      </c>
      <c r="J269" s="143" t="s">
        <v>2504</v>
      </c>
      <c r="K269" s="143" t="s">
        <v>2504</v>
      </c>
      <c r="L269" s="143" t="s">
        <v>2504</v>
      </c>
      <c r="M269" s="143" t="s">
        <v>2504</v>
      </c>
      <c r="N269" s="143" t="s">
        <v>2504</v>
      </c>
      <c r="O269" s="143" t="s">
        <v>2504</v>
      </c>
      <c r="P269" s="143" t="s">
        <v>2504</v>
      </c>
      <c r="Q269" s="148" t="s">
        <v>744</v>
      </c>
      <c r="R269" s="148" t="s">
        <v>630</v>
      </c>
      <c r="S269" s="148" t="s">
        <v>745</v>
      </c>
      <c r="T269" s="149">
        <v>1</v>
      </c>
      <c r="U269" s="148" t="s">
        <v>596</v>
      </c>
      <c r="V269" s="150">
        <v>171.02</v>
      </c>
      <c r="W269" s="151">
        <f>V269*4</f>
        <v>684.08</v>
      </c>
    </row>
    <row r="270" spans="1:23" ht="15" customHeight="1" x14ac:dyDescent="0.25">
      <c r="A270" s="148">
        <v>304</v>
      </c>
      <c r="B270" s="148" t="s">
        <v>746</v>
      </c>
      <c r="C270" s="143" t="s">
        <v>2504</v>
      </c>
      <c r="D270" s="143" t="s">
        <v>2504</v>
      </c>
      <c r="E270" s="143" t="s">
        <v>2504</v>
      </c>
      <c r="F270" s="143" t="s">
        <v>2504</v>
      </c>
      <c r="G270" s="143" t="s">
        <v>2504</v>
      </c>
      <c r="H270" s="143" t="s">
        <v>2504</v>
      </c>
      <c r="I270" s="143" t="s">
        <v>2504</v>
      </c>
      <c r="J270" s="143" t="s">
        <v>2504</v>
      </c>
      <c r="K270" s="143" t="s">
        <v>2504</v>
      </c>
      <c r="L270" s="143" t="s">
        <v>2504</v>
      </c>
      <c r="M270" s="143" t="s">
        <v>2504</v>
      </c>
      <c r="N270" s="143" t="s">
        <v>2504</v>
      </c>
      <c r="O270" s="143" t="s">
        <v>2504</v>
      </c>
      <c r="P270" s="143" t="s">
        <v>2504</v>
      </c>
      <c r="Q270" s="148" t="s">
        <v>747</v>
      </c>
      <c r="R270" s="148" t="s">
        <v>630</v>
      </c>
      <c r="S270" s="148" t="s">
        <v>745</v>
      </c>
      <c r="T270" s="149">
        <v>200</v>
      </c>
      <c r="U270" s="148" t="s">
        <v>596</v>
      </c>
      <c r="V270" s="150">
        <v>35156.54</v>
      </c>
      <c r="W270" s="151">
        <v>672.06</v>
      </c>
    </row>
    <row r="271" spans="1:23" ht="15" customHeight="1" x14ac:dyDescent="0.25">
      <c r="A271" s="148">
        <v>312</v>
      </c>
      <c r="B271" s="148" t="s">
        <v>748</v>
      </c>
      <c r="C271" s="143" t="s">
        <v>2504</v>
      </c>
      <c r="D271" s="143" t="s">
        <v>2504</v>
      </c>
      <c r="E271" s="143" t="s">
        <v>2504</v>
      </c>
      <c r="F271" s="143" t="s">
        <v>2504</v>
      </c>
      <c r="G271" s="143" t="s">
        <v>2504</v>
      </c>
      <c r="H271" s="143" t="s">
        <v>2504</v>
      </c>
      <c r="I271" s="143" t="s">
        <v>2504</v>
      </c>
      <c r="J271" s="143" t="s">
        <v>2504</v>
      </c>
      <c r="K271" s="143" t="s">
        <v>2504</v>
      </c>
      <c r="L271" s="143" t="s">
        <v>2504</v>
      </c>
      <c r="M271" s="143" t="s">
        <v>2504</v>
      </c>
      <c r="N271" s="143" t="s">
        <v>2504</v>
      </c>
      <c r="O271" s="143" t="s">
        <v>2504</v>
      </c>
      <c r="P271" s="143" t="s">
        <v>2504</v>
      </c>
      <c r="Q271" s="148" t="s">
        <v>749</v>
      </c>
      <c r="R271" s="148" t="s">
        <v>594</v>
      </c>
      <c r="S271" s="148" t="s">
        <v>750</v>
      </c>
      <c r="T271" s="149">
        <v>5</v>
      </c>
      <c r="U271" s="148" t="s">
        <v>596</v>
      </c>
      <c r="V271" s="150">
        <v>591.75</v>
      </c>
      <c r="W271" s="151">
        <f>V271*15</f>
        <v>8876.25</v>
      </c>
    </row>
    <row r="272" spans="1:23" ht="15" customHeight="1" x14ac:dyDescent="0.25">
      <c r="A272" s="148">
        <v>313</v>
      </c>
      <c r="B272" s="148" t="s">
        <v>751</v>
      </c>
      <c r="C272" s="143" t="s">
        <v>2504</v>
      </c>
      <c r="D272" s="143" t="s">
        <v>2504</v>
      </c>
      <c r="E272" s="143" t="s">
        <v>2504</v>
      </c>
      <c r="F272" s="143" t="s">
        <v>2504</v>
      </c>
      <c r="G272" s="143" t="s">
        <v>2504</v>
      </c>
      <c r="H272" s="143" t="s">
        <v>2504</v>
      </c>
      <c r="I272" s="143" t="s">
        <v>2504</v>
      </c>
      <c r="J272" s="143" t="s">
        <v>2504</v>
      </c>
      <c r="K272" s="143" t="s">
        <v>2504</v>
      </c>
      <c r="L272" s="143" t="s">
        <v>2504</v>
      </c>
      <c r="M272" s="143" t="s">
        <v>2504</v>
      </c>
      <c r="N272" s="143" t="s">
        <v>2504</v>
      </c>
      <c r="O272" s="143" t="s">
        <v>2504</v>
      </c>
      <c r="P272" s="143" t="s">
        <v>2504</v>
      </c>
      <c r="Q272" s="148" t="s">
        <v>752</v>
      </c>
      <c r="R272" s="148" t="s">
        <v>594</v>
      </c>
      <c r="S272" s="148" t="s">
        <v>750</v>
      </c>
      <c r="T272" s="149">
        <v>19</v>
      </c>
      <c r="U272" s="148" t="s">
        <v>596</v>
      </c>
      <c r="V272" s="150">
        <v>2169.71</v>
      </c>
      <c r="W272" s="151">
        <f>V272*4</f>
        <v>8678.84</v>
      </c>
    </row>
    <row r="273" spans="1:23" ht="15" customHeight="1" x14ac:dyDescent="0.25">
      <c r="A273" s="148">
        <v>318</v>
      </c>
      <c r="B273" s="148" t="s">
        <v>753</v>
      </c>
      <c r="C273" s="143" t="s">
        <v>2504</v>
      </c>
      <c r="D273" s="143" t="s">
        <v>2504</v>
      </c>
      <c r="E273" s="143" t="s">
        <v>2504</v>
      </c>
      <c r="F273" s="143" t="s">
        <v>2504</v>
      </c>
      <c r="G273" s="143" t="s">
        <v>2504</v>
      </c>
      <c r="H273" s="143" t="s">
        <v>2504</v>
      </c>
      <c r="I273" s="143" t="s">
        <v>2504</v>
      </c>
      <c r="J273" s="143" t="s">
        <v>2504</v>
      </c>
      <c r="K273" s="143" t="s">
        <v>2504</v>
      </c>
      <c r="L273" s="143" t="s">
        <v>2504</v>
      </c>
      <c r="M273" s="143" t="s">
        <v>2504</v>
      </c>
      <c r="N273" s="143" t="s">
        <v>2504</v>
      </c>
      <c r="O273" s="143" t="s">
        <v>2504</v>
      </c>
      <c r="P273" s="143" t="s">
        <v>2504</v>
      </c>
      <c r="Q273" s="148" t="s">
        <v>754</v>
      </c>
      <c r="R273" s="148" t="s">
        <v>594</v>
      </c>
      <c r="S273" s="148" t="s">
        <v>750</v>
      </c>
      <c r="T273" s="149">
        <v>19</v>
      </c>
      <c r="U273" s="148" t="s">
        <v>596</v>
      </c>
      <c r="V273" s="150">
        <v>2335.2800000000002</v>
      </c>
      <c r="W273" s="151">
        <v>18479.37</v>
      </c>
    </row>
    <row r="274" spans="1:23" ht="15" customHeight="1" x14ac:dyDescent="0.25">
      <c r="A274" s="148">
        <v>319</v>
      </c>
      <c r="B274" s="148" t="s">
        <v>755</v>
      </c>
      <c r="C274" s="143" t="s">
        <v>2504</v>
      </c>
      <c r="D274" s="143" t="s">
        <v>2504</v>
      </c>
      <c r="E274" s="143" t="s">
        <v>2504</v>
      </c>
      <c r="F274" s="143" t="s">
        <v>2504</v>
      </c>
      <c r="G274" s="143" t="s">
        <v>2504</v>
      </c>
      <c r="H274" s="143" t="s">
        <v>2504</v>
      </c>
      <c r="I274" s="143" t="s">
        <v>2504</v>
      </c>
      <c r="J274" s="143" t="s">
        <v>2504</v>
      </c>
      <c r="K274" s="143" t="s">
        <v>2504</v>
      </c>
      <c r="L274" s="143" t="s">
        <v>2504</v>
      </c>
      <c r="M274" s="143" t="s">
        <v>2504</v>
      </c>
      <c r="N274" s="143" t="s">
        <v>2504</v>
      </c>
      <c r="O274" s="143" t="s">
        <v>2504</v>
      </c>
      <c r="P274" s="143" t="s">
        <v>2504</v>
      </c>
      <c r="Q274" s="148" t="s">
        <v>756</v>
      </c>
      <c r="R274" s="148" t="s">
        <v>594</v>
      </c>
      <c r="S274" s="148" t="s">
        <v>750</v>
      </c>
      <c r="T274" s="149">
        <v>200</v>
      </c>
      <c r="U274" s="148" t="s">
        <v>596</v>
      </c>
      <c r="V274" s="150">
        <v>24257.18</v>
      </c>
      <c r="W274" s="151">
        <f>V274*24</f>
        <v>582172.32000000007</v>
      </c>
    </row>
    <row r="275" spans="1:23" ht="15" customHeight="1" x14ac:dyDescent="0.25">
      <c r="A275" s="148">
        <v>320</v>
      </c>
      <c r="B275" s="148" t="s">
        <v>757</v>
      </c>
      <c r="C275" s="143" t="s">
        <v>2504</v>
      </c>
      <c r="D275" s="143" t="s">
        <v>2504</v>
      </c>
      <c r="E275" s="143" t="s">
        <v>2504</v>
      </c>
      <c r="F275" s="143" t="s">
        <v>2504</v>
      </c>
      <c r="G275" s="143" t="s">
        <v>2504</v>
      </c>
      <c r="H275" s="143" t="s">
        <v>2504</v>
      </c>
      <c r="I275" s="143" t="s">
        <v>2504</v>
      </c>
      <c r="J275" s="143" t="s">
        <v>2504</v>
      </c>
      <c r="K275" s="143" t="s">
        <v>2504</v>
      </c>
      <c r="L275" s="143" t="s">
        <v>2504</v>
      </c>
      <c r="M275" s="143" t="s">
        <v>2504</v>
      </c>
      <c r="N275" s="143" t="s">
        <v>2504</v>
      </c>
      <c r="O275" s="143" t="s">
        <v>2504</v>
      </c>
      <c r="P275" s="143" t="s">
        <v>2504</v>
      </c>
      <c r="Q275" s="148" t="s">
        <v>758</v>
      </c>
      <c r="R275" s="148" t="s">
        <v>594</v>
      </c>
      <c r="S275" s="148" t="s">
        <v>759</v>
      </c>
      <c r="T275" s="149">
        <v>0.95</v>
      </c>
      <c r="U275" s="148" t="s">
        <v>596</v>
      </c>
      <c r="V275" s="150">
        <v>171.91</v>
      </c>
      <c r="W275" s="151">
        <f>V275*12</f>
        <v>2062.92</v>
      </c>
    </row>
    <row r="276" spans="1:23" ht="15" customHeight="1" x14ac:dyDescent="0.25">
      <c r="A276" s="148">
        <v>321</v>
      </c>
      <c r="B276" s="148" t="s">
        <v>760</v>
      </c>
      <c r="C276" s="143" t="s">
        <v>2504</v>
      </c>
      <c r="D276" s="143" t="s">
        <v>2504</v>
      </c>
      <c r="E276" s="143" t="s">
        <v>2504</v>
      </c>
      <c r="F276" s="143" t="s">
        <v>2504</v>
      </c>
      <c r="G276" s="143" t="s">
        <v>2504</v>
      </c>
      <c r="H276" s="143" t="s">
        <v>2504</v>
      </c>
      <c r="I276" s="143" t="s">
        <v>2504</v>
      </c>
      <c r="J276" s="143" t="s">
        <v>2504</v>
      </c>
      <c r="K276" s="143" t="s">
        <v>2504</v>
      </c>
      <c r="L276" s="143" t="s">
        <v>2504</v>
      </c>
      <c r="M276" s="143" t="s">
        <v>2504</v>
      </c>
      <c r="N276" s="143" t="s">
        <v>2504</v>
      </c>
      <c r="O276" s="143" t="s">
        <v>2504</v>
      </c>
      <c r="P276" s="143" t="s">
        <v>2504</v>
      </c>
      <c r="Q276" s="148" t="s">
        <v>761</v>
      </c>
      <c r="R276" s="148" t="s">
        <v>594</v>
      </c>
      <c r="S276" s="148" t="s">
        <v>759</v>
      </c>
      <c r="T276" s="149">
        <v>19</v>
      </c>
      <c r="U276" s="148" t="s">
        <v>596</v>
      </c>
      <c r="V276" s="150">
        <v>3360.66</v>
      </c>
      <c r="W276" s="151">
        <v>414.69</v>
      </c>
    </row>
    <row r="277" spans="1:23" ht="15" customHeight="1" x14ac:dyDescent="0.25">
      <c r="A277" s="148">
        <v>322</v>
      </c>
      <c r="B277" s="148" t="s">
        <v>762</v>
      </c>
      <c r="C277" s="143" t="s">
        <v>2504</v>
      </c>
      <c r="D277" s="143" t="s">
        <v>2504</v>
      </c>
      <c r="E277" s="143" t="s">
        <v>2504</v>
      </c>
      <c r="F277" s="143" t="s">
        <v>2504</v>
      </c>
      <c r="G277" s="143" t="s">
        <v>2504</v>
      </c>
      <c r="H277" s="143" t="s">
        <v>2504</v>
      </c>
      <c r="I277" s="143" t="s">
        <v>2504</v>
      </c>
      <c r="J277" s="143" t="s">
        <v>2504</v>
      </c>
      <c r="K277" s="143" t="s">
        <v>2504</v>
      </c>
      <c r="L277" s="143" t="s">
        <v>2504</v>
      </c>
      <c r="M277" s="143" t="s">
        <v>2504</v>
      </c>
      <c r="N277" s="143" t="s">
        <v>2504</v>
      </c>
      <c r="O277" s="143" t="s">
        <v>2504</v>
      </c>
      <c r="P277" s="143" t="s">
        <v>2504</v>
      </c>
      <c r="Q277" s="148" t="s">
        <v>763</v>
      </c>
      <c r="R277" s="148" t="s">
        <v>594</v>
      </c>
      <c r="S277" s="148" t="s">
        <v>759</v>
      </c>
      <c r="T277" s="149">
        <v>200</v>
      </c>
      <c r="U277" s="148" t="s">
        <v>596</v>
      </c>
      <c r="V277" s="150">
        <v>27851.02</v>
      </c>
      <c r="W277" s="151">
        <v>1806.8</v>
      </c>
    </row>
    <row r="278" spans="1:23" ht="15" customHeight="1" x14ac:dyDescent="0.25">
      <c r="A278" s="148">
        <v>324</v>
      </c>
      <c r="B278" s="148" t="s">
        <v>764</v>
      </c>
      <c r="C278" s="143" t="s">
        <v>2504</v>
      </c>
      <c r="D278" s="143" t="s">
        <v>2504</v>
      </c>
      <c r="E278" s="143" t="s">
        <v>2504</v>
      </c>
      <c r="F278" s="143" t="s">
        <v>2504</v>
      </c>
      <c r="G278" s="143" t="s">
        <v>2504</v>
      </c>
      <c r="H278" s="143" t="s">
        <v>2504</v>
      </c>
      <c r="I278" s="143" t="s">
        <v>2504</v>
      </c>
      <c r="J278" s="143" t="s">
        <v>2504</v>
      </c>
      <c r="K278" s="143" t="s">
        <v>2504</v>
      </c>
      <c r="L278" s="143" t="s">
        <v>2504</v>
      </c>
      <c r="M278" s="143" t="s">
        <v>2504</v>
      </c>
      <c r="N278" s="143" t="s">
        <v>2504</v>
      </c>
      <c r="O278" s="143" t="s">
        <v>2504</v>
      </c>
      <c r="P278" s="143" t="s">
        <v>2504</v>
      </c>
      <c r="Q278" s="148" t="s">
        <v>765</v>
      </c>
      <c r="R278" s="148" t="s">
        <v>606</v>
      </c>
      <c r="S278" s="148" t="s">
        <v>766</v>
      </c>
      <c r="T278" s="149">
        <v>19</v>
      </c>
      <c r="U278" s="148" t="s">
        <v>596</v>
      </c>
      <c r="V278" s="150">
        <v>5319.69</v>
      </c>
      <c r="W278" s="151">
        <v>19463.45</v>
      </c>
    </row>
    <row r="279" spans="1:23" ht="15" customHeight="1" x14ac:dyDescent="0.25">
      <c r="A279" s="148">
        <v>336</v>
      </c>
      <c r="B279" s="148" t="s">
        <v>767</v>
      </c>
      <c r="C279" s="143" t="s">
        <v>2504</v>
      </c>
      <c r="D279" s="143" t="s">
        <v>2504</v>
      </c>
      <c r="E279" s="143" t="s">
        <v>2504</v>
      </c>
      <c r="F279" s="143" t="s">
        <v>2504</v>
      </c>
      <c r="G279" s="143" t="s">
        <v>2504</v>
      </c>
      <c r="H279" s="143" t="s">
        <v>2504</v>
      </c>
      <c r="I279" s="143" t="s">
        <v>2504</v>
      </c>
      <c r="J279" s="143" t="s">
        <v>2504</v>
      </c>
      <c r="K279" s="143" t="s">
        <v>2504</v>
      </c>
      <c r="L279" s="143" t="s">
        <v>2504</v>
      </c>
      <c r="M279" s="143" t="s">
        <v>2504</v>
      </c>
      <c r="N279" s="143" t="s">
        <v>2504</v>
      </c>
      <c r="O279" s="143" t="s">
        <v>2504</v>
      </c>
      <c r="P279" s="143" t="s">
        <v>2504</v>
      </c>
      <c r="Q279" s="148" t="s">
        <v>768</v>
      </c>
      <c r="R279" s="148" t="s">
        <v>600</v>
      </c>
      <c r="S279" s="148" t="s">
        <v>613</v>
      </c>
      <c r="T279" s="149">
        <v>0.95</v>
      </c>
      <c r="U279" s="148" t="s">
        <v>596</v>
      </c>
      <c r="V279" s="150">
        <v>49.27</v>
      </c>
      <c r="W279" s="151">
        <f>V279*12</f>
        <v>591.24</v>
      </c>
    </row>
    <row r="280" spans="1:23" ht="15" customHeight="1" x14ac:dyDescent="0.25">
      <c r="A280" s="148">
        <v>366</v>
      </c>
      <c r="B280" s="148" t="s">
        <v>773</v>
      </c>
      <c r="C280" s="143" t="s">
        <v>2504</v>
      </c>
      <c r="D280" s="143" t="s">
        <v>2504</v>
      </c>
      <c r="E280" s="143" t="s">
        <v>2504</v>
      </c>
      <c r="F280" s="143" t="s">
        <v>2504</v>
      </c>
      <c r="G280" s="143" t="s">
        <v>2504</v>
      </c>
      <c r="H280" s="143" t="s">
        <v>2504</v>
      </c>
      <c r="I280" s="143" t="s">
        <v>2504</v>
      </c>
      <c r="J280" s="143" t="s">
        <v>2504</v>
      </c>
      <c r="K280" s="143" t="s">
        <v>2504</v>
      </c>
      <c r="L280" s="143" t="s">
        <v>2504</v>
      </c>
      <c r="M280" s="143" t="s">
        <v>2504</v>
      </c>
      <c r="N280" s="143" t="s">
        <v>2504</v>
      </c>
      <c r="O280" s="143" t="s">
        <v>2504</v>
      </c>
      <c r="P280" s="143" t="s">
        <v>2504</v>
      </c>
      <c r="Q280" s="148" t="s">
        <v>774</v>
      </c>
      <c r="R280" s="148" t="s">
        <v>600</v>
      </c>
      <c r="S280" s="148" t="s">
        <v>770</v>
      </c>
      <c r="T280" s="149">
        <v>0.443</v>
      </c>
      <c r="U280" s="148" t="s">
        <v>596</v>
      </c>
      <c r="V280" s="150">
        <v>9.26</v>
      </c>
      <c r="W280" s="151">
        <v>822.82</v>
      </c>
    </row>
    <row r="281" spans="1:23" ht="15" customHeight="1" x14ac:dyDescent="0.25">
      <c r="A281" s="148">
        <v>370</v>
      </c>
      <c r="B281" s="148" t="s">
        <v>777</v>
      </c>
      <c r="C281" s="143" t="s">
        <v>2504</v>
      </c>
      <c r="D281" s="143" t="s">
        <v>2504</v>
      </c>
      <c r="E281" s="143" t="s">
        <v>2504</v>
      </c>
      <c r="F281" s="143" t="s">
        <v>2504</v>
      </c>
      <c r="G281" s="143" t="s">
        <v>2504</v>
      </c>
      <c r="H281" s="143" t="s">
        <v>2504</v>
      </c>
      <c r="I281" s="143" t="s">
        <v>2504</v>
      </c>
      <c r="J281" s="143" t="s">
        <v>2504</v>
      </c>
      <c r="K281" s="143" t="s">
        <v>2504</v>
      </c>
      <c r="L281" s="143" t="s">
        <v>2504</v>
      </c>
      <c r="M281" s="143" t="s">
        <v>2504</v>
      </c>
      <c r="N281" s="143" t="s">
        <v>2504</v>
      </c>
      <c r="O281" s="143" t="s">
        <v>2504</v>
      </c>
      <c r="P281" s="143" t="s">
        <v>2504</v>
      </c>
      <c r="Q281" s="148" t="s">
        <v>778</v>
      </c>
      <c r="R281" s="148" t="s">
        <v>594</v>
      </c>
      <c r="S281" s="148" t="s">
        <v>776</v>
      </c>
      <c r="T281" s="149">
        <v>19</v>
      </c>
      <c r="U281" s="148" t="s">
        <v>596</v>
      </c>
      <c r="V281" s="150">
        <v>2080.5500000000002</v>
      </c>
      <c r="W281" s="151">
        <f>V281*24</f>
        <v>49933.200000000004</v>
      </c>
    </row>
    <row r="282" spans="1:23" ht="15" customHeight="1" x14ac:dyDescent="0.25">
      <c r="A282" s="148">
        <v>411</v>
      </c>
      <c r="B282" s="148" t="s">
        <v>790</v>
      </c>
      <c r="C282" s="143" t="s">
        <v>2504</v>
      </c>
      <c r="D282" s="143" t="s">
        <v>2504</v>
      </c>
      <c r="E282" s="143" t="s">
        <v>2504</v>
      </c>
      <c r="F282" s="143" t="s">
        <v>2504</v>
      </c>
      <c r="G282" s="143" t="s">
        <v>2504</v>
      </c>
      <c r="H282" s="143" t="s">
        <v>2504</v>
      </c>
      <c r="I282" s="143" t="s">
        <v>2504</v>
      </c>
      <c r="J282" s="143" t="s">
        <v>2504</v>
      </c>
      <c r="K282" s="143" t="s">
        <v>2504</v>
      </c>
      <c r="L282" s="143" t="s">
        <v>2504</v>
      </c>
      <c r="M282" s="143" t="s">
        <v>2504</v>
      </c>
      <c r="N282" s="143" t="s">
        <v>2504</v>
      </c>
      <c r="O282" s="143" t="s">
        <v>2504</v>
      </c>
      <c r="P282" s="143" t="s">
        <v>2504</v>
      </c>
      <c r="Q282" s="148" t="s">
        <v>791</v>
      </c>
      <c r="R282" s="148" t="s">
        <v>589</v>
      </c>
      <c r="S282" s="148" t="s">
        <v>590</v>
      </c>
      <c r="T282" s="149">
        <v>0.95</v>
      </c>
      <c r="U282" s="148" t="s">
        <v>596</v>
      </c>
      <c r="V282" s="150">
        <v>51.56</v>
      </c>
      <c r="W282" s="151">
        <f>V282*24</f>
        <v>1237.44</v>
      </c>
    </row>
    <row r="283" spans="1:23" ht="15" customHeight="1" x14ac:dyDescent="0.25">
      <c r="A283" s="148">
        <v>414</v>
      </c>
      <c r="B283" s="148" t="s">
        <v>792</v>
      </c>
      <c r="C283" s="143" t="s">
        <v>2504</v>
      </c>
      <c r="D283" s="143" t="s">
        <v>2504</v>
      </c>
      <c r="E283" s="143" t="s">
        <v>2504</v>
      </c>
      <c r="F283" s="143" t="s">
        <v>2504</v>
      </c>
      <c r="G283" s="143" t="s">
        <v>2504</v>
      </c>
      <c r="H283" s="143" t="s">
        <v>2504</v>
      </c>
      <c r="I283" s="143" t="s">
        <v>2504</v>
      </c>
      <c r="J283" s="143" t="s">
        <v>2504</v>
      </c>
      <c r="K283" s="143" t="s">
        <v>2504</v>
      </c>
      <c r="L283" s="143" t="s">
        <v>2504</v>
      </c>
      <c r="M283" s="143" t="s">
        <v>2504</v>
      </c>
      <c r="N283" s="143" t="s">
        <v>2504</v>
      </c>
      <c r="O283" s="143" t="s">
        <v>2504</v>
      </c>
      <c r="P283" s="143" t="s">
        <v>2504</v>
      </c>
      <c r="Q283" s="148" t="s">
        <v>793</v>
      </c>
      <c r="R283" s="148" t="s">
        <v>589</v>
      </c>
      <c r="S283" s="148" t="s">
        <v>794</v>
      </c>
      <c r="T283" s="149">
        <v>1</v>
      </c>
      <c r="U283" s="148" t="s">
        <v>596</v>
      </c>
      <c r="V283" s="150">
        <v>40.28</v>
      </c>
      <c r="W283" s="151">
        <v>18157.86</v>
      </c>
    </row>
    <row r="284" spans="1:23" ht="15" customHeight="1" x14ac:dyDescent="0.25">
      <c r="A284" s="148">
        <v>425</v>
      </c>
      <c r="B284" s="148" t="s">
        <v>801</v>
      </c>
      <c r="C284" s="143" t="s">
        <v>2504</v>
      </c>
      <c r="D284" s="143" t="s">
        <v>2504</v>
      </c>
      <c r="E284" s="143" t="s">
        <v>2504</v>
      </c>
      <c r="F284" s="143" t="s">
        <v>2504</v>
      </c>
      <c r="G284" s="143" t="s">
        <v>2504</v>
      </c>
      <c r="H284" s="143" t="s">
        <v>2504</v>
      </c>
      <c r="I284" s="143" t="s">
        <v>2504</v>
      </c>
      <c r="J284" s="143" t="s">
        <v>2504</v>
      </c>
      <c r="K284" s="143" t="s">
        <v>2504</v>
      </c>
      <c r="L284" s="143" t="s">
        <v>2504</v>
      </c>
      <c r="M284" s="143" t="s">
        <v>2504</v>
      </c>
      <c r="N284" s="143" t="s">
        <v>2504</v>
      </c>
      <c r="O284" s="143" t="s">
        <v>2504</v>
      </c>
      <c r="P284" s="143" t="s">
        <v>2504</v>
      </c>
      <c r="Q284" s="148" t="s">
        <v>802</v>
      </c>
      <c r="R284" s="148" t="s">
        <v>594</v>
      </c>
      <c r="S284" s="148" t="s">
        <v>759</v>
      </c>
      <c r="T284" s="149">
        <v>0.95</v>
      </c>
      <c r="U284" s="148" t="s">
        <v>596</v>
      </c>
      <c r="V284" s="150">
        <v>171.7</v>
      </c>
      <c r="W284" s="151">
        <v>23035.22</v>
      </c>
    </row>
    <row r="285" spans="1:23" ht="15" customHeight="1" x14ac:dyDescent="0.25">
      <c r="A285" s="148">
        <v>426</v>
      </c>
      <c r="B285" s="148" t="s">
        <v>803</v>
      </c>
      <c r="C285" s="143" t="s">
        <v>2504</v>
      </c>
      <c r="D285" s="143" t="s">
        <v>2504</v>
      </c>
      <c r="E285" s="143" t="s">
        <v>2504</v>
      </c>
      <c r="F285" s="143" t="s">
        <v>2504</v>
      </c>
      <c r="G285" s="143" t="s">
        <v>2504</v>
      </c>
      <c r="H285" s="143" t="s">
        <v>2504</v>
      </c>
      <c r="I285" s="143" t="s">
        <v>2504</v>
      </c>
      <c r="J285" s="143" t="s">
        <v>2504</v>
      </c>
      <c r="K285" s="143" t="s">
        <v>2504</v>
      </c>
      <c r="L285" s="143" t="s">
        <v>2504</v>
      </c>
      <c r="M285" s="143" t="s">
        <v>2504</v>
      </c>
      <c r="N285" s="143" t="s">
        <v>2504</v>
      </c>
      <c r="O285" s="143" t="s">
        <v>2504</v>
      </c>
      <c r="P285" s="143" t="s">
        <v>2504</v>
      </c>
      <c r="Q285" s="148" t="s">
        <v>804</v>
      </c>
      <c r="R285" s="148" t="s">
        <v>589</v>
      </c>
      <c r="S285" s="148" t="s">
        <v>627</v>
      </c>
      <c r="T285" s="149">
        <v>200</v>
      </c>
      <c r="U285" s="148" t="s">
        <v>596</v>
      </c>
      <c r="V285" s="150">
        <v>17313.86</v>
      </c>
      <c r="W285" s="151">
        <v>2181.56</v>
      </c>
    </row>
    <row r="286" spans="1:23" ht="15" customHeight="1" x14ac:dyDescent="0.25">
      <c r="A286" s="148">
        <v>427</v>
      </c>
      <c r="B286" s="148" t="s">
        <v>805</v>
      </c>
      <c r="C286" s="143" t="s">
        <v>2504</v>
      </c>
      <c r="D286" s="143" t="s">
        <v>2504</v>
      </c>
      <c r="E286" s="143" t="s">
        <v>2504</v>
      </c>
      <c r="F286" s="143" t="s">
        <v>2504</v>
      </c>
      <c r="G286" s="143" t="s">
        <v>2504</v>
      </c>
      <c r="H286" s="143" t="s">
        <v>2504</v>
      </c>
      <c r="I286" s="143" t="s">
        <v>2504</v>
      </c>
      <c r="J286" s="143" t="s">
        <v>2504</v>
      </c>
      <c r="K286" s="143" t="s">
        <v>2504</v>
      </c>
      <c r="L286" s="143" t="s">
        <v>2504</v>
      </c>
      <c r="M286" s="143" t="s">
        <v>2504</v>
      </c>
      <c r="N286" s="143" t="s">
        <v>2504</v>
      </c>
      <c r="O286" s="143" t="s">
        <v>2504</v>
      </c>
      <c r="P286" s="143" t="s">
        <v>2504</v>
      </c>
      <c r="Q286" s="148" t="s">
        <v>806</v>
      </c>
      <c r="R286" s="148" t="s">
        <v>589</v>
      </c>
      <c r="S286" s="148" t="s">
        <v>627</v>
      </c>
      <c r="T286" s="149">
        <v>3.7850000000000001</v>
      </c>
      <c r="U286" s="148" t="s">
        <v>596</v>
      </c>
      <c r="V286" s="150">
        <v>352.53</v>
      </c>
      <c r="W286" s="151">
        <f>V286*6</f>
        <v>2115.1799999999998</v>
      </c>
    </row>
    <row r="287" spans="1:23" ht="15" customHeight="1" x14ac:dyDescent="0.25">
      <c r="A287" s="148">
        <v>439</v>
      </c>
      <c r="B287" s="148" t="s">
        <v>815</v>
      </c>
      <c r="C287" s="143" t="s">
        <v>2504</v>
      </c>
      <c r="D287" s="143" t="s">
        <v>2504</v>
      </c>
      <c r="E287" s="143" t="s">
        <v>2504</v>
      </c>
      <c r="F287" s="143" t="s">
        <v>2504</v>
      </c>
      <c r="G287" s="143" t="s">
        <v>2504</v>
      </c>
      <c r="H287" s="143" t="s">
        <v>2504</v>
      </c>
      <c r="I287" s="143" t="s">
        <v>2504</v>
      </c>
      <c r="J287" s="143" t="s">
        <v>2504</v>
      </c>
      <c r="K287" s="143" t="s">
        <v>2504</v>
      </c>
      <c r="L287" s="143" t="s">
        <v>2504</v>
      </c>
      <c r="M287" s="143" t="s">
        <v>2504</v>
      </c>
      <c r="N287" s="143" t="s">
        <v>2504</v>
      </c>
      <c r="O287" s="143" t="s">
        <v>2504</v>
      </c>
      <c r="P287" s="143" t="s">
        <v>2504</v>
      </c>
      <c r="Q287" s="148" t="s">
        <v>816</v>
      </c>
      <c r="R287" s="148" t="s">
        <v>630</v>
      </c>
      <c r="S287" s="148" t="s">
        <v>817</v>
      </c>
      <c r="T287" s="149">
        <v>1</v>
      </c>
      <c r="U287" s="148" t="s">
        <v>596</v>
      </c>
      <c r="V287" s="150">
        <v>201.44</v>
      </c>
      <c r="W287" s="151">
        <f>V287*6</f>
        <v>1208.6399999999999</v>
      </c>
    </row>
    <row r="288" spans="1:23" ht="15" customHeight="1" x14ac:dyDescent="0.25">
      <c r="A288" s="148">
        <v>440</v>
      </c>
      <c r="B288" s="148" t="s">
        <v>818</v>
      </c>
      <c r="C288" s="143" t="s">
        <v>2504</v>
      </c>
      <c r="D288" s="143" t="s">
        <v>2504</v>
      </c>
      <c r="E288" s="143" t="s">
        <v>2504</v>
      </c>
      <c r="F288" s="143" t="s">
        <v>2504</v>
      </c>
      <c r="G288" s="143" t="s">
        <v>2504</v>
      </c>
      <c r="H288" s="143" t="s">
        <v>2504</v>
      </c>
      <c r="I288" s="143" t="s">
        <v>2504</v>
      </c>
      <c r="J288" s="143" t="s">
        <v>2504</v>
      </c>
      <c r="K288" s="143" t="s">
        <v>2504</v>
      </c>
      <c r="L288" s="143" t="s">
        <v>2504</v>
      </c>
      <c r="M288" s="143" t="s">
        <v>2504</v>
      </c>
      <c r="N288" s="143" t="s">
        <v>2504</v>
      </c>
      <c r="O288" s="143" t="s">
        <v>2504</v>
      </c>
      <c r="P288" s="143" t="s">
        <v>2504</v>
      </c>
      <c r="Q288" s="148" t="s">
        <v>819</v>
      </c>
      <c r="R288" s="148" t="s">
        <v>630</v>
      </c>
      <c r="S288" s="148" t="s">
        <v>817</v>
      </c>
      <c r="T288" s="149">
        <v>19</v>
      </c>
      <c r="U288" s="148" t="s">
        <v>596</v>
      </c>
      <c r="V288" s="150">
        <v>3926.95</v>
      </c>
      <c r="W288" s="151">
        <f>V288*6</f>
        <v>23561.699999999997</v>
      </c>
    </row>
    <row r="289" spans="1:23" ht="15" customHeight="1" x14ac:dyDescent="0.25">
      <c r="A289" s="148">
        <v>441</v>
      </c>
      <c r="B289" s="148" t="s">
        <v>820</v>
      </c>
      <c r="C289" s="143" t="s">
        <v>2504</v>
      </c>
      <c r="D289" s="143" t="s">
        <v>2504</v>
      </c>
      <c r="E289" s="143" t="s">
        <v>2504</v>
      </c>
      <c r="F289" s="143" t="s">
        <v>2504</v>
      </c>
      <c r="G289" s="143" t="s">
        <v>2504</v>
      </c>
      <c r="H289" s="143" t="s">
        <v>2504</v>
      </c>
      <c r="I289" s="143" t="s">
        <v>2504</v>
      </c>
      <c r="J289" s="143" t="s">
        <v>2504</v>
      </c>
      <c r="K289" s="143" t="s">
        <v>2504</v>
      </c>
      <c r="L289" s="143" t="s">
        <v>2504</v>
      </c>
      <c r="M289" s="143" t="s">
        <v>2504</v>
      </c>
      <c r="N289" s="143" t="s">
        <v>2504</v>
      </c>
      <c r="O289" s="143" t="s">
        <v>2504</v>
      </c>
      <c r="P289" s="143" t="s">
        <v>2504</v>
      </c>
      <c r="Q289" s="148" t="s">
        <v>821</v>
      </c>
      <c r="R289" s="148" t="s">
        <v>630</v>
      </c>
      <c r="S289" s="148" t="s">
        <v>817</v>
      </c>
      <c r="T289" s="149">
        <v>200</v>
      </c>
      <c r="U289" s="148" t="s">
        <v>596</v>
      </c>
      <c r="V289" s="150">
        <v>41239.230000000003</v>
      </c>
      <c r="W289" s="151">
        <f>V289*6</f>
        <v>247435.38</v>
      </c>
    </row>
    <row r="290" spans="1:23" ht="15" customHeight="1" x14ac:dyDescent="0.25">
      <c r="A290" s="148">
        <v>448</v>
      </c>
      <c r="B290" s="148" t="s">
        <v>828</v>
      </c>
      <c r="C290" s="143" t="s">
        <v>2504</v>
      </c>
      <c r="D290" s="143" t="s">
        <v>2504</v>
      </c>
      <c r="E290" s="143" t="s">
        <v>2504</v>
      </c>
      <c r="F290" s="143" t="s">
        <v>2504</v>
      </c>
      <c r="G290" s="143" t="s">
        <v>2504</v>
      </c>
      <c r="H290" s="143" t="s">
        <v>2504</v>
      </c>
      <c r="I290" s="143" t="s">
        <v>2504</v>
      </c>
      <c r="J290" s="143" t="s">
        <v>2504</v>
      </c>
      <c r="K290" s="143" t="s">
        <v>2504</v>
      </c>
      <c r="L290" s="143" t="s">
        <v>2504</v>
      </c>
      <c r="M290" s="143" t="s">
        <v>2504</v>
      </c>
      <c r="N290" s="143" t="s">
        <v>2504</v>
      </c>
      <c r="O290" s="143" t="s">
        <v>2504</v>
      </c>
      <c r="P290" s="143" t="s">
        <v>2504</v>
      </c>
      <c r="Q290" s="148" t="s">
        <v>829</v>
      </c>
      <c r="R290" s="148" t="s">
        <v>630</v>
      </c>
      <c r="S290" s="148" t="s">
        <v>830</v>
      </c>
      <c r="T290" s="149">
        <v>5</v>
      </c>
      <c r="U290" s="148" t="s">
        <v>596</v>
      </c>
      <c r="V290" s="150">
        <v>494.39</v>
      </c>
      <c r="W290" s="151">
        <f>V290*24</f>
        <v>11865.36</v>
      </c>
    </row>
    <row r="291" spans="1:23" ht="15" customHeight="1" x14ac:dyDescent="0.25">
      <c r="A291" s="148">
        <v>455</v>
      </c>
      <c r="B291" s="148" t="s">
        <v>831</v>
      </c>
      <c r="C291" s="143" t="s">
        <v>2504</v>
      </c>
      <c r="D291" s="143" t="s">
        <v>2504</v>
      </c>
      <c r="E291" s="143" t="s">
        <v>2504</v>
      </c>
      <c r="F291" s="143" t="s">
        <v>2504</v>
      </c>
      <c r="G291" s="143" t="s">
        <v>2504</v>
      </c>
      <c r="H291" s="143" t="s">
        <v>2504</v>
      </c>
      <c r="I291" s="143" t="s">
        <v>2504</v>
      </c>
      <c r="J291" s="143" t="s">
        <v>2504</v>
      </c>
      <c r="K291" s="143" t="s">
        <v>2504</v>
      </c>
      <c r="L291" s="143" t="s">
        <v>2504</v>
      </c>
      <c r="M291" s="143" t="s">
        <v>2504</v>
      </c>
      <c r="N291" s="143" t="s">
        <v>2504</v>
      </c>
      <c r="O291" s="143" t="s">
        <v>2504</v>
      </c>
      <c r="P291" s="143" t="s">
        <v>2504</v>
      </c>
      <c r="Q291" s="148" t="s">
        <v>832</v>
      </c>
      <c r="R291" s="148" t="s">
        <v>630</v>
      </c>
      <c r="S291" s="148" t="s">
        <v>830</v>
      </c>
      <c r="T291" s="149">
        <v>200</v>
      </c>
      <c r="U291" s="148" t="s">
        <v>596</v>
      </c>
      <c r="V291" s="150">
        <v>18085.96</v>
      </c>
      <c r="W291" s="151">
        <f>V291*12</f>
        <v>217031.52</v>
      </c>
    </row>
    <row r="292" spans="1:23" ht="15" customHeight="1" x14ac:dyDescent="0.25">
      <c r="A292" s="148">
        <v>458</v>
      </c>
      <c r="B292" s="148" t="s">
        <v>836</v>
      </c>
      <c r="C292" s="143" t="s">
        <v>2504</v>
      </c>
      <c r="D292" s="143" t="s">
        <v>2504</v>
      </c>
      <c r="E292" s="143" t="s">
        <v>2504</v>
      </c>
      <c r="F292" s="143" t="s">
        <v>2504</v>
      </c>
      <c r="G292" s="143" t="s">
        <v>2504</v>
      </c>
      <c r="H292" s="143" t="s">
        <v>2504</v>
      </c>
      <c r="I292" s="143" t="s">
        <v>2504</v>
      </c>
      <c r="J292" s="143" t="s">
        <v>2504</v>
      </c>
      <c r="K292" s="143" t="s">
        <v>2504</v>
      </c>
      <c r="L292" s="143" t="s">
        <v>2504</v>
      </c>
      <c r="M292" s="143" t="s">
        <v>2504</v>
      </c>
      <c r="N292" s="143" t="s">
        <v>2504</v>
      </c>
      <c r="O292" s="143" t="s">
        <v>2504</v>
      </c>
      <c r="P292" s="143" t="s">
        <v>2504</v>
      </c>
      <c r="Q292" s="148" t="s">
        <v>837</v>
      </c>
      <c r="R292" s="148" t="s">
        <v>630</v>
      </c>
      <c r="S292" s="148" t="s">
        <v>835</v>
      </c>
      <c r="T292" s="149">
        <v>200</v>
      </c>
      <c r="U292" s="148" t="s">
        <v>596</v>
      </c>
      <c r="V292" s="150">
        <v>18786.150000000001</v>
      </c>
      <c r="W292" s="151">
        <f>V292*6</f>
        <v>112716.90000000001</v>
      </c>
    </row>
    <row r="293" spans="1:23" ht="15" customHeight="1" x14ac:dyDescent="0.25">
      <c r="A293" s="148">
        <v>461</v>
      </c>
      <c r="B293" s="148" t="s">
        <v>838</v>
      </c>
      <c r="C293" s="143" t="s">
        <v>2504</v>
      </c>
      <c r="D293" s="143" t="s">
        <v>2504</v>
      </c>
      <c r="E293" s="143" t="s">
        <v>2504</v>
      </c>
      <c r="F293" s="143" t="s">
        <v>2504</v>
      </c>
      <c r="G293" s="143" t="s">
        <v>2504</v>
      </c>
      <c r="H293" s="143" t="s">
        <v>2504</v>
      </c>
      <c r="I293" s="143" t="s">
        <v>2504</v>
      </c>
      <c r="J293" s="143" t="s">
        <v>2504</v>
      </c>
      <c r="K293" s="143" t="s">
        <v>2504</v>
      </c>
      <c r="L293" s="143" t="s">
        <v>2504</v>
      </c>
      <c r="M293" s="143" t="s">
        <v>2504</v>
      </c>
      <c r="N293" s="143" t="s">
        <v>2504</v>
      </c>
      <c r="O293" s="143" t="s">
        <v>2504</v>
      </c>
      <c r="P293" s="143" t="s">
        <v>2504</v>
      </c>
      <c r="Q293" s="148" t="s">
        <v>839</v>
      </c>
      <c r="R293" s="148" t="s">
        <v>630</v>
      </c>
      <c r="S293" s="148" t="s">
        <v>840</v>
      </c>
      <c r="T293" s="149">
        <v>200</v>
      </c>
      <c r="U293" s="148" t="s">
        <v>596</v>
      </c>
      <c r="V293" s="150">
        <v>25205.42</v>
      </c>
      <c r="W293" s="151">
        <f>V293*6</f>
        <v>151232.51999999999</v>
      </c>
    </row>
    <row r="294" spans="1:23" ht="15" customHeight="1" x14ac:dyDescent="0.25">
      <c r="A294" s="148">
        <v>480</v>
      </c>
      <c r="B294" s="148" t="s">
        <v>843</v>
      </c>
      <c r="C294" s="143" t="s">
        <v>2504</v>
      </c>
      <c r="D294" s="143" t="s">
        <v>2504</v>
      </c>
      <c r="E294" s="143" t="s">
        <v>2504</v>
      </c>
      <c r="F294" s="143" t="s">
        <v>2504</v>
      </c>
      <c r="G294" s="143" t="s">
        <v>2504</v>
      </c>
      <c r="H294" s="143" t="s">
        <v>2504</v>
      </c>
      <c r="I294" s="143" t="s">
        <v>2504</v>
      </c>
      <c r="J294" s="143" t="s">
        <v>2504</v>
      </c>
      <c r="K294" s="143" t="s">
        <v>2504</v>
      </c>
      <c r="L294" s="143" t="s">
        <v>2504</v>
      </c>
      <c r="M294" s="143" t="s">
        <v>2504</v>
      </c>
      <c r="N294" s="143" t="s">
        <v>2504</v>
      </c>
      <c r="O294" s="143" t="s">
        <v>2504</v>
      </c>
      <c r="P294" s="143" t="s">
        <v>2504</v>
      </c>
      <c r="Q294" s="148" t="s">
        <v>844</v>
      </c>
      <c r="R294" s="148" t="s">
        <v>594</v>
      </c>
      <c r="S294" s="148" t="s">
        <v>759</v>
      </c>
      <c r="T294" s="149">
        <v>19</v>
      </c>
      <c r="U294" s="148" t="s">
        <v>596</v>
      </c>
      <c r="V294" s="150">
        <v>3306.87</v>
      </c>
      <c r="W294" s="151">
        <f>V294*6</f>
        <v>19841.22</v>
      </c>
    </row>
    <row r="295" spans="1:23" ht="15" customHeight="1" x14ac:dyDescent="0.25">
      <c r="A295" s="148">
        <v>484</v>
      </c>
      <c r="B295" s="148" t="s">
        <v>845</v>
      </c>
      <c r="C295" s="143" t="s">
        <v>2504</v>
      </c>
      <c r="D295" s="143" t="s">
        <v>2504</v>
      </c>
      <c r="E295" s="143" t="s">
        <v>2504</v>
      </c>
      <c r="F295" s="143" t="s">
        <v>2504</v>
      </c>
      <c r="G295" s="143" t="s">
        <v>2504</v>
      </c>
      <c r="H295" s="143" t="s">
        <v>2504</v>
      </c>
      <c r="I295" s="143" t="s">
        <v>2504</v>
      </c>
      <c r="J295" s="143" t="s">
        <v>2504</v>
      </c>
      <c r="K295" s="143" t="s">
        <v>2504</v>
      </c>
      <c r="L295" s="143" t="s">
        <v>2504</v>
      </c>
      <c r="M295" s="143" t="s">
        <v>2504</v>
      </c>
      <c r="N295" s="143" t="s">
        <v>2504</v>
      </c>
      <c r="O295" s="143" t="s">
        <v>2504</v>
      </c>
      <c r="P295" s="143" t="s">
        <v>2504</v>
      </c>
      <c r="Q295" s="148" t="s">
        <v>846</v>
      </c>
      <c r="R295" s="148" t="s">
        <v>630</v>
      </c>
      <c r="S295" s="148" t="s">
        <v>835</v>
      </c>
      <c r="T295" s="149">
        <v>200</v>
      </c>
      <c r="U295" s="148" t="s">
        <v>596</v>
      </c>
      <c r="V295" s="150">
        <v>19381.71</v>
      </c>
      <c r="W295" s="151">
        <f>V295*6</f>
        <v>116290.26</v>
      </c>
    </row>
    <row r="296" spans="1:23" ht="15" customHeight="1" x14ac:dyDescent="0.25">
      <c r="A296" s="148">
        <v>489</v>
      </c>
      <c r="B296" s="148" t="s">
        <v>849</v>
      </c>
      <c r="C296" s="143" t="s">
        <v>2504</v>
      </c>
      <c r="D296" s="143" t="s">
        <v>2504</v>
      </c>
      <c r="E296" s="143" t="s">
        <v>2504</v>
      </c>
      <c r="F296" s="143" t="s">
        <v>2504</v>
      </c>
      <c r="G296" s="143" t="s">
        <v>2504</v>
      </c>
      <c r="H296" s="143" t="s">
        <v>2504</v>
      </c>
      <c r="I296" s="143" t="s">
        <v>2504</v>
      </c>
      <c r="J296" s="143" t="s">
        <v>2504</v>
      </c>
      <c r="K296" s="143" t="s">
        <v>2504</v>
      </c>
      <c r="L296" s="143" t="s">
        <v>2504</v>
      </c>
      <c r="M296" s="143" t="s">
        <v>2504</v>
      </c>
      <c r="N296" s="143" t="s">
        <v>2504</v>
      </c>
      <c r="O296" s="143" t="s">
        <v>2504</v>
      </c>
      <c r="P296" s="143" t="s">
        <v>2504</v>
      </c>
      <c r="Q296" s="148" t="s">
        <v>850</v>
      </c>
      <c r="R296" s="148" t="s">
        <v>606</v>
      </c>
      <c r="S296" s="148" t="s">
        <v>618</v>
      </c>
      <c r="T296" s="149">
        <v>0.95</v>
      </c>
      <c r="U296" s="148" t="s">
        <v>596</v>
      </c>
      <c r="V296" s="150">
        <v>87.54</v>
      </c>
      <c r="W296" s="151">
        <v>12303.7</v>
      </c>
    </row>
    <row r="297" spans="1:23" ht="15" customHeight="1" x14ac:dyDescent="0.25">
      <c r="A297" s="148">
        <v>496</v>
      </c>
      <c r="B297" s="148" t="s">
        <v>856</v>
      </c>
      <c r="C297" s="143" t="s">
        <v>2504</v>
      </c>
      <c r="D297" s="143" t="s">
        <v>2504</v>
      </c>
      <c r="E297" s="143" t="s">
        <v>2504</v>
      </c>
      <c r="F297" s="143" t="s">
        <v>2504</v>
      </c>
      <c r="G297" s="143" t="s">
        <v>2504</v>
      </c>
      <c r="H297" s="143" t="s">
        <v>2504</v>
      </c>
      <c r="I297" s="143" t="s">
        <v>2504</v>
      </c>
      <c r="J297" s="143" t="s">
        <v>2504</v>
      </c>
      <c r="K297" s="143" t="s">
        <v>2504</v>
      </c>
      <c r="L297" s="143" t="s">
        <v>2504</v>
      </c>
      <c r="M297" s="143" t="s">
        <v>2504</v>
      </c>
      <c r="N297" s="143" t="s">
        <v>2504</v>
      </c>
      <c r="O297" s="143" t="s">
        <v>2504</v>
      </c>
      <c r="P297" s="143" t="s">
        <v>2504</v>
      </c>
      <c r="Q297" s="148" t="s">
        <v>857</v>
      </c>
      <c r="R297" s="148" t="s">
        <v>594</v>
      </c>
      <c r="S297" s="148" t="s">
        <v>858</v>
      </c>
      <c r="T297" s="149">
        <v>0.95</v>
      </c>
      <c r="U297" s="148" t="s">
        <v>596</v>
      </c>
      <c r="V297" s="150">
        <v>148.61000000000001</v>
      </c>
      <c r="W297" s="151">
        <v>1651.4</v>
      </c>
    </row>
    <row r="298" spans="1:23" ht="15" customHeight="1" x14ac:dyDescent="0.25">
      <c r="A298" s="148">
        <v>527</v>
      </c>
      <c r="B298" s="148" t="s">
        <v>864</v>
      </c>
      <c r="C298" s="143" t="s">
        <v>2504</v>
      </c>
      <c r="D298" s="143" t="s">
        <v>2504</v>
      </c>
      <c r="E298" s="143" t="s">
        <v>2504</v>
      </c>
      <c r="F298" s="143" t="s">
        <v>2504</v>
      </c>
      <c r="G298" s="143" t="s">
        <v>2504</v>
      </c>
      <c r="H298" s="143" t="s">
        <v>2504</v>
      </c>
      <c r="I298" s="143" t="s">
        <v>2504</v>
      </c>
      <c r="J298" s="143" t="s">
        <v>2504</v>
      </c>
      <c r="K298" s="143" t="s">
        <v>2504</v>
      </c>
      <c r="L298" s="143" t="s">
        <v>2504</v>
      </c>
      <c r="M298" s="143" t="s">
        <v>2504</v>
      </c>
      <c r="N298" s="143" t="s">
        <v>2504</v>
      </c>
      <c r="O298" s="143" t="s">
        <v>2504</v>
      </c>
      <c r="P298" s="143" t="s">
        <v>2504</v>
      </c>
      <c r="Q298" s="148" t="s">
        <v>865</v>
      </c>
      <c r="R298" s="148" t="s">
        <v>594</v>
      </c>
      <c r="S298" s="148" t="s">
        <v>595</v>
      </c>
      <c r="T298" s="149">
        <v>4</v>
      </c>
      <c r="U298" s="148" t="s">
        <v>596</v>
      </c>
      <c r="V298" s="150">
        <v>426.04</v>
      </c>
      <c r="W298" s="151">
        <v>1931.92</v>
      </c>
    </row>
    <row r="299" spans="1:23" ht="15" customHeight="1" x14ac:dyDescent="0.25">
      <c r="A299" s="148">
        <v>535</v>
      </c>
      <c r="B299" s="148" t="s">
        <v>870</v>
      </c>
      <c r="C299" s="143" t="s">
        <v>2504</v>
      </c>
      <c r="D299" s="143" t="s">
        <v>2504</v>
      </c>
      <c r="E299" s="143" t="s">
        <v>2504</v>
      </c>
      <c r="F299" s="143" t="s">
        <v>2504</v>
      </c>
      <c r="G299" s="143" t="s">
        <v>2504</v>
      </c>
      <c r="H299" s="143" t="s">
        <v>2504</v>
      </c>
      <c r="I299" s="143" t="s">
        <v>2504</v>
      </c>
      <c r="J299" s="143" t="s">
        <v>2504</v>
      </c>
      <c r="K299" s="143" t="s">
        <v>2504</v>
      </c>
      <c r="L299" s="143" t="s">
        <v>2504</v>
      </c>
      <c r="M299" s="143" t="s">
        <v>2504</v>
      </c>
      <c r="N299" s="143" t="s">
        <v>2504</v>
      </c>
      <c r="O299" s="143" t="s">
        <v>2504</v>
      </c>
      <c r="P299" s="143" t="s">
        <v>2504</v>
      </c>
      <c r="Q299" s="148" t="s">
        <v>871</v>
      </c>
      <c r="R299" s="148" t="s">
        <v>606</v>
      </c>
      <c r="S299" s="148" t="s">
        <v>618</v>
      </c>
      <c r="T299" s="149">
        <v>5</v>
      </c>
      <c r="U299" s="148" t="s">
        <v>596</v>
      </c>
      <c r="V299" s="150">
        <v>444.84</v>
      </c>
      <c r="W299" s="151">
        <v>1189.6099999999999</v>
      </c>
    </row>
    <row r="300" spans="1:23" ht="15" customHeight="1" x14ac:dyDescent="0.25">
      <c r="A300" s="148">
        <v>538</v>
      </c>
      <c r="B300" s="148" t="s">
        <v>874</v>
      </c>
      <c r="C300" s="143" t="s">
        <v>2504</v>
      </c>
      <c r="D300" s="143" t="s">
        <v>2504</v>
      </c>
      <c r="E300" s="143" t="s">
        <v>2504</v>
      </c>
      <c r="F300" s="143" t="s">
        <v>2504</v>
      </c>
      <c r="G300" s="143" t="s">
        <v>2504</v>
      </c>
      <c r="H300" s="143" t="s">
        <v>2504</v>
      </c>
      <c r="I300" s="143" t="s">
        <v>2504</v>
      </c>
      <c r="J300" s="143" t="s">
        <v>2504</v>
      </c>
      <c r="K300" s="143" t="s">
        <v>2504</v>
      </c>
      <c r="L300" s="143" t="s">
        <v>2504</v>
      </c>
      <c r="M300" s="143" t="s">
        <v>2504</v>
      </c>
      <c r="N300" s="143" t="s">
        <v>2504</v>
      </c>
      <c r="O300" s="143" t="s">
        <v>2504</v>
      </c>
      <c r="P300" s="143" t="s">
        <v>2504</v>
      </c>
      <c r="Q300" s="148" t="s">
        <v>875</v>
      </c>
      <c r="R300" s="148" t="s">
        <v>606</v>
      </c>
      <c r="S300" s="148" t="s">
        <v>645</v>
      </c>
      <c r="T300" s="149">
        <v>5</v>
      </c>
      <c r="U300" s="148" t="s">
        <v>596</v>
      </c>
      <c r="V300" s="150">
        <v>501.3</v>
      </c>
      <c r="W300" s="151">
        <v>2417.38</v>
      </c>
    </row>
    <row r="301" spans="1:23" ht="15" customHeight="1" x14ac:dyDescent="0.25">
      <c r="A301" s="148">
        <v>558</v>
      </c>
      <c r="B301" s="148" t="s">
        <v>882</v>
      </c>
      <c r="C301" s="143" t="s">
        <v>2504</v>
      </c>
      <c r="D301" s="143" t="s">
        <v>2504</v>
      </c>
      <c r="E301" s="143" t="s">
        <v>2504</v>
      </c>
      <c r="F301" s="143" t="s">
        <v>2504</v>
      </c>
      <c r="G301" s="143" t="s">
        <v>2504</v>
      </c>
      <c r="H301" s="143" t="s">
        <v>2504</v>
      </c>
      <c r="I301" s="143" t="s">
        <v>2504</v>
      </c>
      <c r="J301" s="143" t="s">
        <v>2504</v>
      </c>
      <c r="K301" s="143" t="s">
        <v>2504</v>
      </c>
      <c r="L301" s="143" t="s">
        <v>2504</v>
      </c>
      <c r="M301" s="143" t="s">
        <v>2504</v>
      </c>
      <c r="N301" s="143" t="s">
        <v>2504</v>
      </c>
      <c r="O301" s="143" t="s">
        <v>2504</v>
      </c>
      <c r="P301" s="143" t="s">
        <v>2504</v>
      </c>
      <c r="Q301" s="148" t="s">
        <v>883</v>
      </c>
      <c r="R301" s="148" t="s">
        <v>594</v>
      </c>
      <c r="S301" s="148" t="s">
        <v>669</v>
      </c>
      <c r="T301" s="149">
        <v>19</v>
      </c>
      <c r="U301" s="148" t="s">
        <v>596</v>
      </c>
      <c r="V301" s="150">
        <v>2723.76</v>
      </c>
      <c r="W301" s="151">
        <f>V301*1000</f>
        <v>2723760</v>
      </c>
    </row>
    <row r="302" spans="1:23" ht="15" customHeight="1" x14ac:dyDescent="0.25">
      <c r="A302" s="148">
        <v>604</v>
      </c>
      <c r="B302" s="148" t="s">
        <v>897</v>
      </c>
      <c r="C302" s="143" t="s">
        <v>2504</v>
      </c>
      <c r="D302" s="143" t="s">
        <v>2504</v>
      </c>
      <c r="E302" s="143" t="s">
        <v>2504</v>
      </c>
      <c r="F302" s="143" t="s">
        <v>2504</v>
      </c>
      <c r="G302" s="143" t="s">
        <v>2504</v>
      </c>
      <c r="H302" s="143" t="s">
        <v>2504</v>
      </c>
      <c r="I302" s="143" t="s">
        <v>2504</v>
      </c>
      <c r="J302" s="143" t="s">
        <v>2504</v>
      </c>
      <c r="K302" s="143" t="s">
        <v>2504</v>
      </c>
      <c r="L302" s="143" t="s">
        <v>2504</v>
      </c>
      <c r="M302" s="143" t="s">
        <v>2504</v>
      </c>
      <c r="N302" s="143" t="s">
        <v>2504</v>
      </c>
      <c r="O302" s="143" t="s">
        <v>2504</v>
      </c>
      <c r="P302" s="143" t="s">
        <v>2504</v>
      </c>
      <c r="Q302" s="148" t="s">
        <v>898</v>
      </c>
      <c r="R302" s="148" t="s">
        <v>589</v>
      </c>
      <c r="S302" s="148" t="s">
        <v>627</v>
      </c>
      <c r="T302" s="149">
        <v>0.95</v>
      </c>
      <c r="U302" s="148" t="s">
        <v>596</v>
      </c>
      <c r="V302" s="150">
        <v>88.53</v>
      </c>
      <c r="W302" s="151">
        <f t="shared" ref="W302:W350" si="2">V302*1000</f>
        <v>88530</v>
      </c>
    </row>
    <row r="303" spans="1:23" ht="15" customHeight="1" x14ac:dyDescent="0.25">
      <c r="A303" s="148">
        <v>654</v>
      </c>
      <c r="B303" s="148" t="s">
        <v>928</v>
      </c>
      <c r="C303" s="143" t="s">
        <v>2504</v>
      </c>
      <c r="D303" s="143" t="s">
        <v>2504</v>
      </c>
      <c r="E303" s="143" t="s">
        <v>2504</v>
      </c>
      <c r="F303" s="143" t="s">
        <v>2504</v>
      </c>
      <c r="G303" s="143" t="s">
        <v>2504</v>
      </c>
      <c r="H303" s="143" t="s">
        <v>2504</v>
      </c>
      <c r="I303" s="143" t="s">
        <v>2504</v>
      </c>
      <c r="J303" s="143" t="s">
        <v>2504</v>
      </c>
      <c r="K303" s="143" t="s">
        <v>2504</v>
      </c>
      <c r="L303" s="143" t="s">
        <v>2504</v>
      </c>
      <c r="M303" s="143" t="s">
        <v>2504</v>
      </c>
      <c r="N303" s="143" t="s">
        <v>2504</v>
      </c>
      <c r="O303" s="143" t="s">
        <v>2504</v>
      </c>
      <c r="P303" s="143" t="s">
        <v>2504</v>
      </c>
      <c r="Q303" s="148" t="s">
        <v>929</v>
      </c>
      <c r="R303" s="148" t="s">
        <v>694</v>
      </c>
      <c r="S303" s="148" t="s">
        <v>698</v>
      </c>
      <c r="T303" s="149">
        <v>0.95</v>
      </c>
      <c r="U303" s="148" t="s">
        <v>596</v>
      </c>
      <c r="V303" s="150">
        <v>115.47</v>
      </c>
      <c r="W303" s="151">
        <f t="shared" si="2"/>
        <v>115470</v>
      </c>
    </row>
    <row r="304" spans="1:23" ht="15" customHeight="1" x14ac:dyDescent="0.25">
      <c r="A304" s="148">
        <v>758</v>
      </c>
      <c r="B304" s="148" t="s">
        <v>953</v>
      </c>
      <c r="C304" s="143" t="s">
        <v>2504</v>
      </c>
      <c r="D304" s="143" t="s">
        <v>2504</v>
      </c>
      <c r="E304" s="143" t="s">
        <v>2504</v>
      </c>
      <c r="F304" s="143" t="s">
        <v>2504</v>
      </c>
      <c r="G304" s="143" t="s">
        <v>2504</v>
      </c>
      <c r="H304" s="143" t="s">
        <v>2504</v>
      </c>
      <c r="I304" s="143" t="s">
        <v>2504</v>
      </c>
      <c r="J304" s="143" t="s">
        <v>2504</v>
      </c>
      <c r="K304" s="143" t="s">
        <v>2504</v>
      </c>
      <c r="L304" s="143" t="s">
        <v>2504</v>
      </c>
      <c r="M304" s="143" t="s">
        <v>2504</v>
      </c>
      <c r="N304" s="143" t="s">
        <v>2504</v>
      </c>
      <c r="O304" s="143" t="s">
        <v>2504</v>
      </c>
      <c r="P304" s="143" t="s">
        <v>2504</v>
      </c>
      <c r="Q304" s="148" t="s">
        <v>954</v>
      </c>
      <c r="R304" s="148" t="s">
        <v>705</v>
      </c>
      <c r="S304" s="148" t="s">
        <v>727</v>
      </c>
      <c r="T304" s="149">
        <v>7</v>
      </c>
      <c r="U304" s="148" t="s">
        <v>596</v>
      </c>
      <c r="V304" s="150">
        <v>882.56</v>
      </c>
      <c r="W304" s="151">
        <f t="shared" si="2"/>
        <v>882560</v>
      </c>
    </row>
    <row r="305" spans="1:23" ht="15" customHeight="1" x14ac:dyDescent="0.25">
      <c r="A305" s="148">
        <v>759</v>
      </c>
      <c r="B305" s="148" t="s">
        <v>955</v>
      </c>
      <c r="C305" s="143" t="s">
        <v>2504</v>
      </c>
      <c r="D305" s="143" t="s">
        <v>2504</v>
      </c>
      <c r="E305" s="143" t="s">
        <v>2504</v>
      </c>
      <c r="F305" s="143" t="s">
        <v>2504</v>
      </c>
      <c r="G305" s="143" t="s">
        <v>2504</v>
      </c>
      <c r="H305" s="143" t="s">
        <v>2504</v>
      </c>
      <c r="I305" s="143" t="s">
        <v>2504</v>
      </c>
      <c r="J305" s="143" t="s">
        <v>2504</v>
      </c>
      <c r="K305" s="143" t="s">
        <v>2504</v>
      </c>
      <c r="L305" s="143" t="s">
        <v>2504</v>
      </c>
      <c r="M305" s="143" t="s">
        <v>2504</v>
      </c>
      <c r="N305" s="143" t="s">
        <v>2504</v>
      </c>
      <c r="O305" s="143" t="s">
        <v>2504</v>
      </c>
      <c r="P305" s="143" t="s">
        <v>2504</v>
      </c>
      <c r="Q305" s="148" t="s">
        <v>956</v>
      </c>
      <c r="R305" s="148" t="s">
        <v>705</v>
      </c>
      <c r="S305" s="148" t="s">
        <v>727</v>
      </c>
      <c r="T305" s="149">
        <v>16</v>
      </c>
      <c r="U305" s="148" t="s">
        <v>596</v>
      </c>
      <c r="V305" s="150">
        <v>1960.16</v>
      </c>
      <c r="W305" s="151">
        <f t="shared" si="2"/>
        <v>1960160</v>
      </c>
    </row>
    <row r="306" spans="1:23" ht="15" customHeight="1" x14ac:dyDescent="0.25">
      <c r="A306" s="148">
        <v>765</v>
      </c>
      <c r="B306" s="148" t="s">
        <v>957</v>
      </c>
      <c r="C306" s="143" t="s">
        <v>2504</v>
      </c>
      <c r="D306" s="143" t="s">
        <v>2504</v>
      </c>
      <c r="E306" s="143" t="s">
        <v>2504</v>
      </c>
      <c r="F306" s="143" t="s">
        <v>2504</v>
      </c>
      <c r="G306" s="143" t="s">
        <v>2504</v>
      </c>
      <c r="H306" s="143" t="s">
        <v>2504</v>
      </c>
      <c r="I306" s="143" t="s">
        <v>2504</v>
      </c>
      <c r="J306" s="143" t="s">
        <v>2504</v>
      </c>
      <c r="K306" s="143" t="s">
        <v>2504</v>
      </c>
      <c r="L306" s="143" t="s">
        <v>2504</v>
      </c>
      <c r="M306" s="143" t="s">
        <v>2504</v>
      </c>
      <c r="N306" s="143" t="s">
        <v>2504</v>
      </c>
      <c r="O306" s="143" t="s">
        <v>2504</v>
      </c>
      <c r="P306" s="143" t="s">
        <v>2504</v>
      </c>
      <c r="Q306" s="148" t="s">
        <v>958</v>
      </c>
      <c r="R306" s="148" t="s">
        <v>606</v>
      </c>
      <c r="S306" s="148" t="s">
        <v>497</v>
      </c>
      <c r="T306" s="149">
        <v>200</v>
      </c>
      <c r="U306" s="148" t="s">
        <v>596</v>
      </c>
      <c r="V306" s="150">
        <v>55672.01</v>
      </c>
      <c r="W306" s="151">
        <f t="shared" si="2"/>
        <v>55672010</v>
      </c>
    </row>
    <row r="307" spans="1:23" ht="15" customHeight="1" x14ac:dyDescent="0.25">
      <c r="A307" s="148">
        <v>809</v>
      </c>
      <c r="B307" s="148" t="s">
        <v>970</v>
      </c>
      <c r="C307" s="143" t="s">
        <v>2504</v>
      </c>
      <c r="D307" s="143" t="s">
        <v>2504</v>
      </c>
      <c r="E307" s="143" t="s">
        <v>2504</v>
      </c>
      <c r="F307" s="143" t="s">
        <v>2504</v>
      </c>
      <c r="G307" s="143" t="s">
        <v>2504</v>
      </c>
      <c r="H307" s="143" t="s">
        <v>2504</v>
      </c>
      <c r="I307" s="143" t="s">
        <v>2504</v>
      </c>
      <c r="J307" s="143" t="s">
        <v>2504</v>
      </c>
      <c r="K307" s="143" t="s">
        <v>2504</v>
      </c>
      <c r="L307" s="143" t="s">
        <v>2504</v>
      </c>
      <c r="M307" s="143" t="s">
        <v>2504</v>
      </c>
      <c r="N307" s="143" t="s">
        <v>2504</v>
      </c>
      <c r="O307" s="143" t="s">
        <v>2504</v>
      </c>
      <c r="P307" s="143" t="s">
        <v>2504</v>
      </c>
      <c r="Q307" s="148" t="s">
        <v>971</v>
      </c>
      <c r="R307" s="148" t="s">
        <v>594</v>
      </c>
      <c r="S307" s="148" t="s">
        <v>604</v>
      </c>
      <c r="T307" s="149">
        <v>0.95</v>
      </c>
      <c r="U307" s="148" t="s">
        <v>596</v>
      </c>
      <c r="V307" s="150">
        <v>106.1</v>
      </c>
      <c r="W307" s="151">
        <f t="shared" si="2"/>
        <v>106100</v>
      </c>
    </row>
    <row r="308" spans="1:23" ht="15" customHeight="1" x14ac:dyDescent="0.25">
      <c r="A308" s="148">
        <v>810</v>
      </c>
      <c r="B308" s="148" t="s">
        <v>972</v>
      </c>
      <c r="C308" s="143" t="s">
        <v>2504</v>
      </c>
      <c r="D308" s="143" t="s">
        <v>2504</v>
      </c>
      <c r="E308" s="143" t="s">
        <v>2504</v>
      </c>
      <c r="F308" s="143" t="s">
        <v>2504</v>
      </c>
      <c r="G308" s="143" t="s">
        <v>2504</v>
      </c>
      <c r="H308" s="143" t="s">
        <v>2504</v>
      </c>
      <c r="I308" s="143" t="s">
        <v>2504</v>
      </c>
      <c r="J308" s="143" t="s">
        <v>2504</v>
      </c>
      <c r="K308" s="143" t="s">
        <v>2504</v>
      </c>
      <c r="L308" s="143" t="s">
        <v>2504</v>
      </c>
      <c r="M308" s="143" t="s">
        <v>2504</v>
      </c>
      <c r="N308" s="143" t="s">
        <v>2504</v>
      </c>
      <c r="O308" s="143" t="s">
        <v>2504</v>
      </c>
      <c r="P308" s="143" t="s">
        <v>2504</v>
      </c>
      <c r="Q308" s="148" t="s">
        <v>973</v>
      </c>
      <c r="R308" s="148" t="s">
        <v>594</v>
      </c>
      <c r="S308" s="148" t="s">
        <v>604</v>
      </c>
      <c r="T308" s="149">
        <v>5</v>
      </c>
      <c r="U308" s="148" t="s">
        <v>596</v>
      </c>
      <c r="V308" s="150">
        <v>556.6</v>
      </c>
      <c r="W308" s="151">
        <f t="shared" si="2"/>
        <v>556600</v>
      </c>
    </row>
    <row r="309" spans="1:23" ht="15" customHeight="1" x14ac:dyDescent="0.25">
      <c r="A309" s="148">
        <v>811</v>
      </c>
      <c r="B309" s="148" t="s">
        <v>974</v>
      </c>
      <c r="C309" s="143" t="s">
        <v>2504</v>
      </c>
      <c r="D309" s="143" t="s">
        <v>2504</v>
      </c>
      <c r="E309" s="143" t="s">
        <v>2504</v>
      </c>
      <c r="F309" s="143" t="s">
        <v>2504</v>
      </c>
      <c r="G309" s="143" t="s">
        <v>2504</v>
      </c>
      <c r="H309" s="143" t="s">
        <v>2504</v>
      </c>
      <c r="I309" s="143" t="s">
        <v>2504</v>
      </c>
      <c r="J309" s="143" t="s">
        <v>2504</v>
      </c>
      <c r="K309" s="143" t="s">
        <v>2504</v>
      </c>
      <c r="L309" s="143" t="s">
        <v>2504</v>
      </c>
      <c r="M309" s="143" t="s">
        <v>2504</v>
      </c>
      <c r="N309" s="143" t="s">
        <v>2504</v>
      </c>
      <c r="O309" s="143" t="s">
        <v>2504</v>
      </c>
      <c r="P309" s="143" t="s">
        <v>2504</v>
      </c>
      <c r="Q309" s="148" t="s">
        <v>975</v>
      </c>
      <c r="R309" s="148" t="s">
        <v>594</v>
      </c>
      <c r="S309" s="148" t="s">
        <v>604</v>
      </c>
      <c r="T309" s="149">
        <v>0.95</v>
      </c>
      <c r="U309" s="148" t="s">
        <v>596</v>
      </c>
      <c r="V309" s="150">
        <v>106.02</v>
      </c>
      <c r="W309" s="151">
        <f t="shared" si="2"/>
        <v>106020</v>
      </c>
    </row>
    <row r="310" spans="1:23" ht="15" customHeight="1" x14ac:dyDescent="0.25">
      <c r="A310" s="148">
        <v>812</v>
      </c>
      <c r="B310" s="148" t="s">
        <v>976</v>
      </c>
      <c r="C310" s="143" t="s">
        <v>2504</v>
      </c>
      <c r="D310" s="143" t="s">
        <v>2504</v>
      </c>
      <c r="E310" s="143" t="s">
        <v>2504</v>
      </c>
      <c r="F310" s="143" t="s">
        <v>2504</v>
      </c>
      <c r="G310" s="143" t="s">
        <v>2504</v>
      </c>
      <c r="H310" s="143" t="s">
        <v>2504</v>
      </c>
      <c r="I310" s="143" t="s">
        <v>2504</v>
      </c>
      <c r="J310" s="143" t="s">
        <v>2504</v>
      </c>
      <c r="K310" s="143" t="s">
        <v>2504</v>
      </c>
      <c r="L310" s="143" t="s">
        <v>2504</v>
      </c>
      <c r="M310" s="143" t="s">
        <v>2504</v>
      </c>
      <c r="N310" s="143" t="s">
        <v>2504</v>
      </c>
      <c r="O310" s="143" t="s">
        <v>2504</v>
      </c>
      <c r="P310" s="143" t="s">
        <v>2504</v>
      </c>
      <c r="Q310" s="148" t="s">
        <v>977</v>
      </c>
      <c r="R310" s="148" t="s">
        <v>594</v>
      </c>
      <c r="S310" s="148" t="s">
        <v>604</v>
      </c>
      <c r="T310" s="149">
        <v>5</v>
      </c>
      <c r="U310" s="148" t="s">
        <v>596</v>
      </c>
      <c r="V310" s="150">
        <v>552.80999999999995</v>
      </c>
      <c r="W310" s="151">
        <f t="shared" si="2"/>
        <v>552810</v>
      </c>
    </row>
    <row r="311" spans="1:23" ht="15" customHeight="1" x14ac:dyDescent="0.25">
      <c r="A311" s="148">
        <v>813</v>
      </c>
      <c r="B311" s="148" t="s">
        <v>978</v>
      </c>
      <c r="C311" s="143" t="s">
        <v>2504</v>
      </c>
      <c r="D311" s="143" t="s">
        <v>2504</v>
      </c>
      <c r="E311" s="143" t="s">
        <v>2504</v>
      </c>
      <c r="F311" s="143" t="s">
        <v>2504</v>
      </c>
      <c r="G311" s="143" t="s">
        <v>2504</v>
      </c>
      <c r="H311" s="143" t="s">
        <v>2504</v>
      </c>
      <c r="I311" s="143" t="s">
        <v>2504</v>
      </c>
      <c r="J311" s="143" t="s">
        <v>2504</v>
      </c>
      <c r="K311" s="143" t="s">
        <v>2504</v>
      </c>
      <c r="L311" s="143" t="s">
        <v>2504</v>
      </c>
      <c r="M311" s="143" t="s">
        <v>2504</v>
      </c>
      <c r="N311" s="143" t="s">
        <v>2504</v>
      </c>
      <c r="O311" s="143" t="s">
        <v>2504</v>
      </c>
      <c r="P311" s="143" t="s">
        <v>2504</v>
      </c>
      <c r="Q311" s="148" t="s">
        <v>979</v>
      </c>
      <c r="R311" s="148" t="s">
        <v>594</v>
      </c>
      <c r="S311" s="148" t="s">
        <v>604</v>
      </c>
      <c r="T311" s="149">
        <v>19</v>
      </c>
      <c r="U311" s="148" t="s">
        <v>596</v>
      </c>
      <c r="V311" s="150">
        <v>2019.52</v>
      </c>
      <c r="W311" s="151">
        <f t="shared" si="2"/>
        <v>2019520</v>
      </c>
    </row>
    <row r="312" spans="1:23" ht="15" customHeight="1" x14ac:dyDescent="0.25">
      <c r="A312" s="148">
        <v>814</v>
      </c>
      <c r="B312" s="148" t="s">
        <v>980</v>
      </c>
      <c r="C312" s="143" t="s">
        <v>2504</v>
      </c>
      <c r="D312" s="143" t="s">
        <v>2504</v>
      </c>
      <c r="E312" s="143" t="s">
        <v>2504</v>
      </c>
      <c r="F312" s="143" t="s">
        <v>2504</v>
      </c>
      <c r="G312" s="143" t="s">
        <v>2504</v>
      </c>
      <c r="H312" s="143" t="s">
        <v>2504</v>
      </c>
      <c r="I312" s="143" t="s">
        <v>2504</v>
      </c>
      <c r="J312" s="143" t="s">
        <v>2504</v>
      </c>
      <c r="K312" s="143" t="s">
        <v>2504</v>
      </c>
      <c r="L312" s="143" t="s">
        <v>2504</v>
      </c>
      <c r="M312" s="143" t="s">
        <v>2504</v>
      </c>
      <c r="N312" s="143" t="s">
        <v>2504</v>
      </c>
      <c r="O312" s="143" t="s">
        <v>2504</v>
      </c>
      <c r="P312" s="143" t="s">
        <v>2504</v>
      </c>
      <c r="Q312" s="148" t="s">
        <v>981</v>
      </c>
      <c r="R312" s="148" t="s">
        <v>594</v>
      </c>
      <c r="S312" s="148" t="s">
        <v>604</v>
      </c>
      <c r="T312" s="149">
        <v>200</v>
      </c>
      <c r="U312" s="148" t="s">
        <v>596</v>
      </c>
      <c r="V312" s="150">
        <v>20975.48</v>
      </c>
      <c r="W312" s="151">
        <f t="shared" si="2"/>
        <v>20975480</v>
      </c>
    </row>
    <row r="313" spans="1:23" ht="15" customHeight="1" x14ac:dyDescent="0.25">
      <c r="A313" s="148">
        <v>816</v>
      </c>
      <c r="B313" s="148" t="s">
        <v>982</v>
      </c>
      <c r="C313" s="143" t="s">
        <v>2504</v>
      </c>
      <c r="D313" s="143" t="s">
        <v>2504</v>
      </c>
      <c r="E313" s="143" t="s">
        <v>2504</v>
      </c>
      <c r="F313" s="143" t="s">
        <v>2504</v>
      </c>
      <c r="G313" s="143" t="s">
        <v>2504</v>
      </c>
      <c r="H313" s="143" t="s">
        <v>2504</v>
      </c>
      <c r="I313" s="143" t="s">
        <v>2504</v>
      </c>
      <c r="J313" s="143" t="s">
        <v>2504</v>
      </c>
      <c r="K313" s="143" t="s">
        <v>2504</v>
      </c>
      <c r="L313" s="143" t="s">
        <v>2504</v>
      </c>
      <c r="M313" s="143" t="s">
        <v>2504</v>
      </c>
      <c r="N313" s="143" t="s">
        <v>2504</v>
      </c>
      <c r="O313" s="143" t="s">
        <v>2504</v>
      </c>
      <c r="P313" s="143" t="s">
        <v>2504</v>
      </c>
      <c r="Q313" s="148" t="s">
        <v>983</v>
      </c>
      <c r="R313" s="148" t="s">
        <v>594</v>
      </c>
      <c r="S313" s="148" t="s">
        <v>604</v>
      </c>
      <c r="T313" s="149">
        <v>19</v>
      </c>
      <c r="U313" s="148" t="s">
        <v>596</v>
      </c>
      <c r="V313" s="150">
        <v>2017.98</v>
      </c>
      <c r="W313" s="151">
        <f t="shared" si="2"/>
        <v>2017980</v>
      </c>
    </row>
    <row r="314" spans="1:23" ht="15" customHeight="1" x14ac:dyDescent="0.25">
      <c r="A314" s="148">
        <v>822</v>
      </c>
      <c r="B314" s="148" t="s">
        <v>984</v>
      </c>
      <c r="C314" s="143" t="s">
        <v>2504</v>
      </c>
      <c r="D314" s="143" t="s">
        <v>2504</v>
      </c>
      <c r="E314" s="143" t="s">
        <v>2504</v>
      </c>
      <c r="F314" s="143" t="s">
        <v>2504</v>
      </c>
      <c r="G314" s="143" t="s">
        <v>2504</v>
      </c>
      <c r="H314" s="143" t="s">
        <v>2504</v>
      </c>
      <c r="I314" s="143" t="s">
        <v>2504</v>
      </c>
      <c r="J314" s="143" t="s">
        <v>2504</v>
      </c>
      <c r="K314" s="143" t="s">
        <v>2504</v>
      </c>
      <c r="L314" s="143" t="s">
        <v>2504</v>
      </c>
      <c r="M314" s="143" t="s">
        <v>2504</v>
      </c>
      <c r="N314" s="143" t="s">
        <v>2504</v>
      </c>
      <c r="O314" s="143" t="s">
        <v>2504</v>
      </c>
      <c r="P314" s="143" t="s">
        <v>2504</v>
      </c>
      <c r="Q314" s="148" t="s">
        <v>985</v>
      </c>
      <c r="R314" s="148" t="s">
        <v>594</v>
      </c>
      <c r="S314" s="148" t="s">
        <v>986</v>
      </c>
      <c r="T314" s="149">
        <v>200</v>
      </c>
      <c r="U314" s="148" t="s">
        <v>596</v>
      </c>
      <c r="V314" s="150">
        <v>21028.12</v>
      </c>
      <c r="W314" s="151">
        <f t="shared" si="2"/>
        <v>21028120</v>
      </c>
    </row>
    <row r="315" spans="1:23" ht="15" customHeight="1" x14ac:dyDescent="0.25">
      <c r="A315" s="148">
        <v>824</v>
      </c>
      <c r="B315" s="148" t="s">
        <v>988</v>
      </c>
      <c r="C315" s="143" t="s">
        <v>2504</v>
      </c>
      <c r="D315" s="143" t="s">
        <v>2504</v>
      </c>
      <c r="E315" s="143" t="s">
        <v>2504</v>
      </c>
      <c r="F315" s="143" t="s">
        <v>2504</v>
      </c>
      <c r="G315" s="143" t="s">
        <v>2504</v>
      </c>
      <c r="H315" s="143" t="s">
        <v>2504</v>
      </c>
      <c r="I315" s="143" t="s">
        <v>2504</v>
      </c>
      <c r="J315" s="143" t="s">
        <v>2504</v>
      </c>
      <c r="K315" s="143" t="s">
        <v>2504</v>
      </c>
      <c r="L315" s="143" t="s">
        <v>2504</v>
      </c>
      <c r="M315" s="143" t="s">
        <v>2504</v>
      </c>
      <c r="N315" s="143" t="s">
        <v>2504</v>
      </c>
      <c r="O315" s="143" t="s">
        <v>2504</v>
      </c>
      <c r="P315" s="143" t="s">
        <v>2504</v>
      </c>
      <c r="Q315" s="148" t="s">
        <v>989</v>
      </c>
      <c r="R315" s="148" t="s">
        <v>594</v>
      </c>
      <c r="S315" s="148" t="s">
        <v>604</v>
      </c>
      <c r="T315" s="149">
        <v>5</v>
      </c>
      <c r="U315" s="148" t="s">
        <v>596</v>
      </c>
      <c r="V315" s="150">
        <v>555.33000000000004</v>
      </c>
      <c r="W315" s="151">
        <f t="shared" si="2"/>
        <v>555330</v>
      </c>
    </row>
    <row r="316" spans="1:23" ht="15" customHeight="1" x14ac:dyDescent="0.25">
      <c r="A316" s="148">
        <v>825</v>
      </c>
      <c r="B316" s="148" t="s">
        <v>990</v>
      </c>
      <c r="C316" s="143" t="s">
        <v>2504</v>
      </c>
      <c r="D316" s="143" t="s">
        <v>2504</v>
      </c>
      <c r="E316" s="143" t="s">
        <v>2504</v>
      </c>
      <c r="F316" s="143" t="s">
        <v>2504</v>
      </c>
      <c r="G316" s="143" t="s">
        <v>2504</v>
      </c>
      <c r="H316" s="143" t="s">
        <v>2504</v>
      </c>
      <c r="I316" s="143" t="s">
        <v>2504</v>
      </c>
      <c r="J316" s="143" t="s">
        <v>2504</v>
      </c>
      <c r="K316" s="143" t="s">
        <v>2504</v>
      </c>
      <c r="L316" s="143" t="s">
        <v>2504</v>
      </c>
      <c r="M316" s="143" t="s">
        <v>2504</v>
      </c>
      <c r="N316" s="143" t="s">
        <v>2504</v>
      </c>
      <c r="O316" s="143" t="s">
        <v>2504</v>
      </c>
      <c r="P316" s="143" t="s">
        <v>2504</v>
      </c>
      <c r="Q316" s="148" t="s">
        <v>991</v>
      </c>
      <c r="R316" s="148" t="s">
        <v>594</v>
      </c>
      <c r="S316" s="148" t="s">
        <v>604</v>
      </c>
      <c r="T316" s="149">
        <v>0.95</v>
      </c>
      <c r="U316" s="148" t="s">
        <v>596</v>
      </c>
      <c r="V316" s="150">
        <v>105.93</v>
      </c>
      <c r="W316" s="151">
        <f t="shared" si="2"/>
        <v>105930</v>
      </c>
    </row>
    <row r="317" spans="1:23" ht="15" customHeight="1" x14ac:dyDescent="0.25">
      <c r="A317" s="148">
        <v>827</v>
      </c>
      <c r="B317" s="148" t="s">
        <v>992</v>
      </c>
      <c r="C317" s="143" t="s">
        <v>2504</v>
      </c>
      <c r="D317" s="143" t="s">
        <v>2504</v>
      </c>
      <c r="E317" s="143" t="s">
        <v>2504</v>
      </c>
      <c r="F317" s="143" t="s">
        <v>2504</v>
      </c>
      <c r="G317" s="143" t="s">
        <v>2504</v>
      </c>
      <c r="H317" s="143" t="s">
        <v>2504</v>
      </c>
      <c r="I317" s="143" t="s">
        <v>2504</v>
      </c>
      <c r="J317" s="143" t="s">
        <v>2504</v>
      </c>
      <c r="K317" s="143" t="s">
        <v>2504</v>
      </c>
      <c r="L317" s="143" t="s">
        <v>2504</v>
      </c>
      <c r="M317" s="143" t="s">
        <v>2504</v>
      </c>
      <c r="N317" s="143" t="s">
        <v>2504</v>
      </c>
      <c r="O317" s="143" t="s">
        <v>2504</v>
      </c>
      <c r="P317" s="143" t="s">
        <v>2504</v>
      </c>
      <c r="Q317" s="148" t="s">
        <v>993</v>
      </c>
      <c r="R317" s="148" t="s">
        <v>594</v>
      </c>
      <c r="S317" s="148" t="s">
        <v>986</v>
      </c>
      <c r="T317" s="149">
        <v>0.95</v>
      </c>
      <c r="U317" s="148" t="s">
        <v>596</v>
      </c>
      <c r="V317" s="150">
        <v>102.78</v>
      </c>
      <c r="W317" s="151">
        <f t="shared" si="2"/>
        <v>102780</v>
      </c>
    </row>
    <row r="318" spans="1:23" ht="15" customHeight="1" x14ac:dyDescent="0.25">
      <c r="A318" s="148">
        <v>831</v>
      </c>
      <c r="B318" s="148" t="s">
        <v>994</v>
      </c>
      <c r="C318" s="143" t="s">
        <v>2504</v>
      </c>
      <c r="D318" s="143" t="s">
        <v>2504</v>
      </c>
      <c r="E318" s="143" t="s">
        <v>2504</v>
      </c>
      <c r="F318" s="143" t="s">
        <v>2504</v>
      </c>
      <c r="G318" s="143" t="s">
        <v>2504</v>
      </c>
      <c r="H318" s="143" t="s">
        <v>2504</v>
      </c>
      <c r="I318" s="143" t="s">
        <v>2504</v>
      </c>
      <c r="J318" s="143" t="s">
        <v>2504</v>
      </c>
      <c r="K318" s="143" t="s">
        <v>2504</v>
      </c>
      <c r="L318" s="143" t="s">
        <v>2504</v>
      </c>
      <c r="M318" s="143" t="s">
        <v>2504</v>
      </c>
      <c r="N318" s="143" t="s">
        <v>2504</v>
      </c>
      <c r="O318" s="143" t="s">
        <v>2504</v>
      </c>
      <c r="P318" s="143" t="s">
        <v>2504</v>
      </c>
      <c r="Q318" s="148" t="s">
        <v>995</v>
      </c>
      <c r="R318" s="148" t="s">
        <v>600</v>
      </c>
      <c r="S318" s="148" t="s">
        <v>996</v>
      </c>
      <c r="T318" s="149">
        <v>0.25</v>
      </c>
      <c r="U318" s="148" t="s">
        <v>596</v>
      </c>
      <c r="V318" s="150">
        <v>41.26</v>
      </c>
      <c r="W318" s="151">
        <f t="shared" si="2"/>
        <v>41260</v>
      </c>
    </row>
    <row r="319" spans="1:23" ht="15" customHeight="1" x14ac:dyDescent="0.25">
      <c r="A319" s="148">
        <v>833</v>
      </c>
      <c r="B319" s="148" t="s">
        <v>997</v>
      </c>
      <c r="C319" s="143" t="s">
        <v>2504</v>
      </c>
      <c r="D319" s="143" t="s">
        <v>2504</v>
      </c>
      <c r="E319" s="143" t="s">
        <v>2504</v>
      </c>
      <c r="F319" s="143" t="s">
        <v>2504</v>
      </c>
      <c r="G319" s="143" t="s">
        <v>2504</v>
      </c>
      <c r="H319" s="143" t="s">
        <v>2504</v>
      </c>
      <c r="I319" s="143" t="s">
        <v>2504</v>
      </c>
      <c r="J319" s="143" t="s">
        <v>2504</v>
      </c>
      <c r="K319" s="143" t="s">
        <v>2504</v>
      </c>
      <c r="L319" s="143" t="s">
        <v>2504</v>
      </c>
      <c r="M319" s="143" t="s">
        <v>2504</v>
      </c>
      <c r="N319" s="143" t="s">
        <v>2504</v>
      </c>
      <c r="O319" s="143" t="s">
        <v>2504</v>
      </c>
      <c r="P319" s="143" t="s">
        <v>2504</v>
      </c>
      <c r="Q319" s="148" t="s">
        <v>998</v>
      </c>
      <c r="R319" s="148" t="s">
        <v>594</v>
      </c>
      <c r="S319" s="148" t="s">
        <v>604</v>
      </c>
      <c r="T319" s="149">
        <v>19</v>
      </c>
      <c r="U319" s="148" t="s">
        <v>596</v>
      </c>
      <c r="V319" s="150">
        <v>2014.73</v>
      </c>
      <c r="W319" s="151">
        <f t="shared" si="2"/>
        <v>2014730</v>
      </c>
    </row>
    <row r="320" spans="1:23" ht="15" customHeight="1" x14ac:dyDescent="0.25">
      <c r="A320" s="148">
        <v>835</v>
      </c>
      <c r="B320" s="148" t="s">
        <v>999</v>
      </c>
      <c r="C320" s="143" t="s">
        <v>2504</v>
      </c>
      <c r="D320" s="143" t="s">
        <v>2504</v>
      </c>
      <c r="E320" s="143" t="s">
        <v>2504</v>
      </c>
      <c r="F320" s="143" t="s">
        <v>2504</v>
      </c>
      <c r="G320" s="143" t="s">
        <v>2504</v>
      </c>
      <c r="H320" s="143" t="s">
        <v>2504</v>
      </c>
      <c r="I320" s="143" t="s">
        <v>2504</v>
      </c>
      <c r="J320" s="143" t="s">
        <v>2504</v>
      </c>
      <c r="K320" s="143" t="s">
        <v>2504</v>
      </c>
      <c r="L320" s="143" t="s">
        <v>2504</v>
      </c>
      <c r="M320" s="143" t="s">
        <v>2504</v>
      </c>
      <c r="N320" s="143" t="s">
        <v>2504</v>
      </c>
      <c r="O320" s="143" t="s">
        <v>2504</v>
      </c>
      <c r="P320" s="143" t="s">
        <v>2504</v>
      </c>
      <c r="Q320" s="148" t="s">
        <v>1000</v>
      </c>
      <c r="R320" s="148" t="s">
        <v>594</v>
      </c>
      <c r="S320" s="148" t="s">
        <v>986</v>
      </c>
      <c r="T320" s="149">
        <v>19</v>
      </c>
      <c r="U320" s="148" t="s">
        <v>596</v>
      </c>
      <c r="V320" s="150">
        <v>1962.24</v>
      </c>
      <c r="W320" s="151">
        <f t="shared" si="2"/>
        <v>1962240</v>
      </c>
    </row>
    <row r="321" spans="1:23" ht="15" customHeight="1" x14ac:dyDescent="0.25">
      <c r="A321" s="148">
        <v>837</v>
      </c>
      <c r="B321" s="148" t="s">
        <v>1001</v>
      </c>
      <c r="C321" s="143" t="s">
        <v>2504</v>
      </c>
      <c r="D321" s="143" t="s">
        <v>2504</v>
      </c>
      <c r="E321" s="143" t="s">
        <v>2504</v>
      </c>
      <c r="F321" s="143" t="s">
        <v>2504</v>
      </c>
      <c r="G321" s="143" t="s">
        <v>2504</v>
      </c>
      <c r="H321" s="143" t="s">
        <v>2504</v>
      </c>
      <c r="I321" s="143" t="s">
        <v>2504</v>
      </c>
      <c r="J321" s="143" t="s">
        <v>2504</v>
      </c>
      <c r="K321" s="143" t="s">
        <v>2504</v>
      </c>
      <c r="L321" s="143" t="s">
        <v>2504</v>
      </c>
      <c r="M321" s="143" t="s">
        <v>2504</v>
      </c>
      <c r="N321" s="143" t="s">
        <v>2504</v>
      </c>
      <c r="O321" s="143" t="s">
        <v>2504</v>
      </c>
      <c r="P321" s="143" t="s">
        <v>2504</v>
      </c>
      <c r="Q321" s="148" t="s">
        <v>1002</v>
      </c>
      <c r="R321" s="148" t="s">
        <v>594</v>
      </c>
      <c r="S321" s="148" t="s">
        <v>604</v>
      </c>
      <c r="T321" s="149">
        <v>19</v>
      </c>
      <c r="U321" s="148" t="s">
        <v>596</v>
      </c>
      <c r="V321" s="150">
        <v>2007.48</v>
      </c>
      <c r="W321" s="151">
        <f t="shared" si="2"/>
        <v>2007480</v>
      </c>
    </row>
    <row r="322" spans="1:23" ht="15" customHeight="1" x14ac:dyDescent="0.25">
      <c r="A322" s="148">
        <v>838</v>
      </c>
      <c r="B322" s="148" t="s">
        <v>1003</v>
      </c>
      <c r="C322" s="143" t="s">
        <v>2504</v>
      </c>
      <c r="D322" s="143" t="s">
        <v>2504</v>
      </c>
      <c r="E322" s="143" t="s">
        <v>2504</v>
      </c>
      <c r="F322" s="143" t="s">
        <v>2504</v>
      </c>
      <c r="G322" s="143" t="s">
        <v>2504</v>
      </c>
      <c r="H322" s="143" t="s">
        <v>2504</v>
      </c>
      <c r="I322" s="143" t="s">
        <v>2504</v>
      </c>
      <c r="J322" s="143" t="s">
        <v>2504</v>
      </c>
      <c r="K322" s="143" t="s">
        <v>2504</v>
      </c>
      <c r="L322" s="143" t="s">
        <v>2504</v>
      </c>
      <c r="M322" s="143" t="s">
        <v>2504</v>
      </c>
      <c r="N322" s="143" t="s">
        <v>2504</v>
      </c>
      <c r="O322" s="143" t="s">
        <v>2504</v>
      </c>
      <c r="P322" s="143" t="s">
        <v>2504</v>
      </c>
      <c r="Q322" s="148" t="s">
        <v>1004</v>
      </c>
      <c r="R322" s="148" t="s">
        <v>594</v>
      </c>
      <c r="S322" s="148" t="s">
        <v>604</v>
      </c>
      <c r="T322" s="149">
        <v>200</v>
      </c>
      <c r="U322" s="148" t="s">
        <v>596</v>
      </c>
      <c r="V322" s="150">
        <v>20848.95</v>
      </c>
      <c r="W322" s="151">
        <f t="shared" si="2"/>
        <v>20848950</v>
      </c>
    </row>
    <row r="323" spans="1:23" ht="15" customHeight="1" x14ac:dyDescent="0.25">
      <c r="A323" s="148">
        <v>858</v>
      </c>
      <c r="B323" s="148" t="s">
        <v>1005</v>
      </c>
      <c r="C323" s="143" t="s">
        <v>2504</v>
      </c>
      <c r="D323" s="143" t="s">
        <v>2504</v>
      </c>
      <c r="E323" s="143" t="s">
        <v>2504</v>
      </c>
      <c r="F323" s="143" t="s">
        <v>2504</v>
      </c>
      <c r="G323" s="143" t="s">
        <v>2504</v>
      </c>
      <c r="H323" s="143" t="s">
        <v>2504</v>
      </c>
      <c r="I323" s="143" t="s">
        <v>2504</v>
      </c>
      <c r="J323" s="143" t="s">
        <v>2504</v>
      </c>
      <c r="K323" s="143" t="s">
        <v>2504</v>
      </c>
      <c r="L323" s="143" t="s">
        <v>2504</v>
      </c>
      <c r="M323" s="143" t="s">
        <v>2504</v>
      </c>
      <c r="N323" s="143" t="s">
        <v>2504</v>
      </c>
      <c r="O323" s="143" t="s">
        <v>2504</v>
      </c>
      <c r="P323" s="143" t="s">
        <v>2504</v>
      </c>
      <c r="Q323" s="148" t="s">
        <v>1006</v>
      </c>
      <c r="R323" s="148" t="s">
        <v>630</v>
      </c>
      <c r="S323" s="148" t="s">
        <v>830</v>
      </c>
      <c r="T323" s="149">
        <v>0.95</v>
      </c>
      <c r="U323" s="148" t="s">
        <v>596</v>
      </c>
      <c r="V323" s="150">
        <v>88.26</v>
      </c>
      <c r="W323" s="151">
        <f t="shared" si="2"/>
        <v>88260</v>
      </c>
    </row>
    <row r="324" spans="1:23" ht="15" customHeight="1" x14ac:dyDescent="0.25">
      <c r="A324" s="148">
        <v>897</v>
      </c>
      <c r="B324" s="148" t="s">
        <v>1010</v>
      </c>
      <c r="C324" s="143" t="s">
        <v>2504</v>
      </c>
      <c r="D324" s="143" t="s">
        <v>2504</v>
      </c>
      <c r="E324" s="143" t="s">
        <v>2504</v>
      </c>
      <c r="F324" s="143" t="s">
        <v>2504</v>
      </c>
      <c r="G324" s="143" t="s">
        <v>2504</v>
      </c>
      <c r="H324" s="143" t="s">
        <v>2504</v>
      </c>
      <c r="I324" s="143" t="s">
        <v>2504</v>
      </c>
      <c r="J324" s="143" t="s">
        <v>2504</v>
      </c>
      <c r="K324" s="143" t="s">
        <v>2504</v>
      </c>
      <c r="L324" s="143" t="s">
        <v>2504</v>
      </c>
      <c r="M324" s="143" t="s">
        <v>2504</v>
      </c>
      <c r="N324" s="143" t="s">
        <v>2504</v>
      </c>
      <c r="O324" s="143" t="s">
        <v>2504</v>
      </c>
      <c r="P324" s="143" t="s">
        <v>2504</v>
      </c>
      <c r="Q324" s="148" t="s">
        <v>1011</v>
      </c>
      <c r="R324" s="148" t="s">
        <v>594</v>
      </c>
      <c r="S324" s="148" t="s">
        <v>1012</v>
      </c>
      <c r="T324" s="149">
        <v>0.95</v>
      </c>
      <c r="U324" s="148" t="s">
        <v>596</v>
      </c>
      <c r="V324" s="150">
        <v>136.91999999999999</v>
      </c>
      <c r="W324" s="151">
        <f t="shared" si="2"/>
        <v>136920</v>
      </c>
    </row>
    <row r="325" spans="1:23" ht="15" customHeight="1" x14ac:dyDescent="0.25">
      <c r="A325" s="148">
        <v>1012</v>
      </c>
      <c r="B325" s="148" t="s">
        <v>1023</v>
      </c>
      <c r="C325" s="143" t="s">
        <v>2504</v>
      </c>
      <c r="D325" s="143" t="s">
        <v>2504</v>
      </c>
      <c r="E325" s="143" t="s">
        <v>2504</v>
      </c>
      <c r="F325" s="143" t="s">
        <v>2504</v>
      </c>
      <c r="G325" s="143" t="s">
        <v>2504</v>
      </c>
      <c r="H325" s="143" t="s">
        <v>2504</v>
      </c>
      <c r="I325" s="143" t="s">
        <v>2504</v>
      </c>
      <c r="J325" s="143" t="s">
        <v>2504</v>
      </c>
      <c r="K325" s="143" t="s">
        <v>2504</v>
      </c>
      <c r="L325" s="143" t="s">
        <v>2504</v>
      </c>
      <c r="M325" s="143" t="s">
        <v>2504</v>
      </c>
      <c r="N325" s="143" t="s">
        <v>2504</v>
      </c>
      <c r="O325" s="143" t="s">
        <v>2504</v>
      </c>
      <c r="P325" s="143" t="s">
        <v>2504</v>
      </c>
      <c r="Q325" s="148" t="s">
        <v>1024</v>
      </c>
      <c r="R325" s="148" t="s">
        <v>1025</v>
      </c>
      <c r="S325" s="148" t="s">
        <v>1026</v>
      </c>
      <c r="T325" s="149">
        <v>19</v>
      </c>
      <c r="U325" s="148" t="s">
        <v>596</v>
      </c>
      <c r="V325" s="150">
        <v>1979.93</v>
      </c>
      <c r="W325" s="151">
        <f t="shared" si="2"/>
        <v>1979930</v>
      </c>
    </row>
    <row r="326" spans="1:23" ht="15" customHeight="1" x14ac:dyDescent="0.25">
      <c r="A326" s="148">
        <v>1197</v>
      </c>
      <c r="B326" s="148" t="s">
        <v>1046</v>
      </c>
      <c r="C326" s="143" t="s">
        <v>2504</v>
      </c>
      <c r="D326" s="143" t="s">
        <v>2504</v>
      </c>
      <c r="E326" s="143" t="s">
        <v>2504</v>
      </c>
      <c r="F326" s="143" t="s">
        <v>2504</v>
      </c>
      <c r="G326" s="143" t="s">
        <v>2504</v>
      </c>
      <c r="H326" s="143" t="s">
        <v>2504</v>
      </c>
      <c r="I326" s="143" t="s">
        <v>2504</v>
      </c>
      <c r="J326" s="143" t="s">
        <v>2504</v>
      </c>
      <c r="K326" s="143" t="s">
        <v>2504</v>
      </c>
      <c r="L326" s="143" t="s">
        <v>2504</v>
      </c>
      <c r="M326" s="143" t="s">
        <v>2504</v>
      </c>
      <c r="N326" s="143" t="s">
        <v>2504</v>
      </c>
      <c r="O326" s="143" t="s">
        <v>2504</v>
      </c>
      <c r="P326" s="143" t="s">
        <v>2504</v>
      </c>
      <c r="Q326" s="148" t="s">
        <v>1047</v>
      </c>
      <c r="R326" s="148" t="s">
        <v>594</v>
      </c>
      <c r="S326" s="148" t="s">
        <v>776</v>
      </c>
      <c r="T326" s="149">
        <v>200</v>
      </c>
      <c r="U326" s="148" t="s">
        <v>596</v>
      </c>
      <c r="V326" s="150">
        <v>21618.13</v>
      </c>
      <c r="W326" s="151">
        <f t="shared" si="2"/>
        <v>21618130</v>
      </c>
    </row>
    <row r="327" spans="1:23" ht="15" customHeight="1" x14ac:dyDescent="0.25">
      <c r="A327" s="148">
        <v>1212</v>
      </c>
      <c r="B327" s="148" t="s">
        <v>1052</v>
      </c>
      <c r="C327" s="143" t="s">
        <v>2504</v>
      </c>
      <c r="D327" s="143" t="s">
        <v>2504</v>
      </c>
      <c r="E327" s="143" t="s">
        <v>2504</v>
      </c>
      <c r="F327" s="143" t="s">
        <v>2504</v>
      </c>
      <c r="G327" s="143" t="s">
        <v>2504</v>
      </c>
      <c r="H327" s="143" t="s">
        <v>2504</v>
      </c>
      <c r="I327" s="143" t="s">
        <v>2504</v>
      </c>
      <c r="J327" s="143" t="s">
        <v>2504</v>
      </c>
      <c r="K327" s="143" t="s">
        <v>2504</v>
      </c>
      <c r="L327" s="143" t="s">
        <v>2504</v>
      </c>
      <c r="M327" s="143" t="s">
        <v>2504</v>
      </c>
      <c r="N327" s="143" t="s">
        <v>2504</v>
      </c>
      <c r="O327" s="143" t="s">
        <v>2504</v>
      </c>
      <c r="P327" s="143" t="s">
        <v>2504</v>
      </c>
      <c r="Q327" s="148" t="s">
        <v>1053</v>
      </c>
      <c r="R327" s="148" t="s">
        <v>589</v>
      </c>
      <c r="S327" s="148" t="s">
        <v>590</v>
      </c>
      <c r="T327" s="149">
        <v>3.7850000000000001</v>
      </c>
      <c r="U327" s="148" t="s">
        <v>596</v>
      </c>
      <c r="V327" s="150">
        <v>195.51</v>
      </c>
      <c r="W327" s="151">
        <f t="shared" si="2"/>
        <v>195510</v>
      </c>
    </row>
    <row r="328" spans="1:23" ht="15" customHeight="1" x14ac:dyDescent="0.25">
      <c r="A328" s="148">
        <v>1216</v>
      </c>
      <c r="B328" s="148" t="s">
        <v>1057</v>
      </c>
      <c r="C328" s="143" t="s">
        <v>2504</v>
      </c>
      <c r="D328" s="143" t="s">
        <v>2504</v>
      </c>
      <c r="E328" s="143" t="s">
        <v>2504</v>
      </c>
      <c r="F328" s="143" t="s">
        <v>2504</v>
      </c>
      <c r="G328" s="143" t="s">
        <v>2504</v>
      </c>
      <c r="H328" s="143" t="s">
        <v>2504</v>
      </c>
      <c r="I328" s="143" t="s">
        <v>2504</v>
      </c>
      <c r="J328" s="143" t="s">
        <v>2504</v>
      </c>
      <c r="K328" s="143" t="s">
        <v>2504</v>
      </c>
      <c r="L328" s="143" t="s">
        <v>2504</v>
      </c>
      <c r="M328" s="143" t="s">
        <v>2504</v>
      </c>
      <c r="N328" s="143" t="s">
        <v>2504</v>
      </c>
      <c r="O328" s="143" t="s">
        <v>2504</v>
      </c>
      <c r="P328" s="143" t="s">
        <v>2504</v>
      </c>
      <c r="Q328" s="148" t="s">
        <v>1058</v>
      </c>
      <c r="R328" s="148" t="s">
        <v>630</v>
      </c>
      <c r="S328" s="148" t="s">
        <v>1059</v>
      </c>
      <c r="T328" s="149">
        <v>200</v>
      </c>
      <c r="U328" s="148" t="s">
        <v>596</v>
      </c>
      <c r="V328" s="150">
        <v>21009.22</v>
      </c>
      <c r="W328" s="151">
        <f t="shared" si="2"/>
        <v>21009220</v>
      </c>
    </row>
    <row r="329" spans="1:23" ht="15" customHeight="1" x14ac:dyDescent="0.25">
      <c r="A329" s="148">
        <v>1226</v>
      </c>
      <c r="B329" s="148" t="s">
        <v>1063</v>
      </c>
      <c r="C329" s="143" t="s">
        <v>2504</v>
      </c>
      <c r="D329" s="143" t="s">
        <v>2504</v>
      </c>
      <c r="E329" s="143" t="s">
        <v>2504</v>
      </c>
      <c r="F329" s="143" t="s">
        <v>2504</v>
      </c>
      <c r="G329" s="143" t="s">
        <v>2504</v>
      </c>
      <c r="H329" s="143" t="s">
        <v>2504</v>
      </c>
      <c r="I329" s="143" t="s">
        <v>2504</v>
      </c>
      <c r="J329" s="143" t="s">
        <v>2504</v>
      </c>
      <c r="K329" s="143" t="s">
        <v>2504</v>
      </c>
      <c r="L329" s="143" t="s">
        <v>2504</v>
      </c>
      <c r="M329" s="143" t="s">
        <v>2504</v>
      </c>
      <c r="N329" s="143" t="s">
        <v>2504</v>
      </c>
      <c r="O329" s="143" t="s">
        <v>2504</v>
      </c>
      <c r="P329" s="143" t="s">
        <v>2504</v>
      </c>
      <c r="Q329" s="148" t="s">
        <v>1064</v>
      </c>
      <c r="R329" s="148" t="s">
        <v>705</v>
      </c>
      <c r="S329" s="148" t="s">
        <v>739</v>
      </c>
      <c r="T329" s="149">
        <v>0.85</v>
      </c>
      <c r="U329" s="148" t="s">
        <v>596</v>
      </c>
      <c r="V329" s="150">
        <v>132.33000000000001</v>
      </c>
      <c r="W329" s="151">
        <f t="shared" si="2"/>
        <v>132330</v>
      </c>
    </row>
    <row r="330" spans="1:23" ht="15" customHeight="1" x14ac:dyDescent="0.25">
      <c r="A330" s="148">
        <v>1232</v>
      </c>
      <c r="B330" s="148" t="s">
        <v>1065</v>
      </c>
      <c r="C330" s="143" t="s">
        <v>2504</v>
      </c>
      <c r="D330" s="143" t="s">
        <v>2504</v>
      </c>
      <c r="E330" s="143" t="s">
        <v>2504</v>
      </c>
      <c r="F330" s="143" t="s">
        <v>2504</v>
      </c>
      <c r="G330" s="143" t="s">
        <v>2504</v>
      </c>
      <c r="H330" s="143" t="s">
        <v>2504</v>
      </c>
      <c r="I330" s="143" t="s">
        <v>2504</v>
      </c>
      <c r="J330" s="143" t="s">
        <v>2504</v>
      </c>
      <c r="K330" s="143" t="s">
        <v>2504</v>
      </c>
      <c r="L330" s="143" t="s">
        <v>2504</v>
      </c>
      <c r="M330" s="143" t="s">
        <v>2504</v>
      </c>
      <c r="N330" s="143" t="s">
        <v>2504</v>
      </c>
      <c r="O330" s="143" t="s">
        <v>2504</v>
      </c>
      <c r="P330" s="143" t="s">
        <v>2504</v>
      </c>
      <c r="Q330" s="148" t="s">
        <v>1066</v>
      </c>
      <c r="R330" s="148" t="s">
        <v>594</v>
      </c>
      <c r="S330" s="148" t="s">
        <v>595</v>
      </c>
      <c r="T330" s="149">
        <v>0.95</v>
      </c>
      <c r="U330" s="148" t="s">
        <v>596</v>
      </c>
      <c r="V330" s="150">
        <v>105.02</v>
      </c>
      <c r="W330" s="151">
        <f t="shared" si="2"/>
        <v>105020</v>
      </c>
    </row>
    <row r="331" spans="1:23" ht="15" customHeight="1" x14ac:dyDescent="0.25">
      <c r="A331" s="148">
        <v>1255</v>
      </c>
      <c r="B331" s="148" t="s">
        <v>1067</v>
      </c>
      <c r="C331" s="143" t="s">
        <v>2504</v>
      </c>
      <c r="D331" s="143" t="s">
        <v>2504</v>
      </c>
      <c r="E331" s="143" t="s">
        <v>2504</v>
      </c>
      <c r="F331" s="143" t="s">
        <v>2504</v>
      </c>
      <c r="G331" s="143" t="s">
        <v>2504</v>
      </c>
      <c r="H331" s="143" t="s">
        <v>2504</v>
      </c>
      <c r="I331" s="143" t="s">
        <v>2504</v>
      </c>
      <c r="J331" s="143" t="s">
        <v>2504</v>
      </c>
      <c r="K331" s="143" t="s">
        <v>2504</v>
      </c>
      <c r="L331" s="143" t="s">
        <v>2504</v>
      </c>
      <c r="M331" s="143" t="s">
        <v>2504</v>
      </c>
      <c r="N331" s="143" t="s">
        <v>2504</v>
      </c>
      <c r="O331" s="143" t="s">
        <v>2504</v>
      </c>
      <c r="P331" s="143" t="s">
        <v>2504</v>
      </c>
      <c r="Q331" s="148" t="s">
        <v>1068</v>
      </c>
      <c r="R331" s="148" t="s">
        <v>630</v>
      </c>
      <c r="S331" s="148" t="s">
        <v>835</v>
      </c>
      <c r="T331" s="149">
        <v>5</v>
      </c>
      <c r="U331" s="148" t="s">
        <v>596</v>
      </c>
      <c r="V331" s="150">
        <v>511.09</v>
      </c>
      <c r="W331" s="151">
        <f t="shared" si="2"/>
        <v>511090</v>
      </c>
    </row>
    <row r="332" spans="1:23" ht="15" customHeight="1" x14ac:dyDescent="0.25">
      <c r="A332" s="148">
        <v>1262</v>
      </c>
      <c r="B332" s="148" t="s">
        <v>1071</v>
      </c>
      <c r="C332" s="143" t="s">
        <v>2504</v>
      </c>
      <c r="D332" s="143" t="s">
        <v>2504</v>
      </c>
      <c r="E332" s="143" t="s">
        <v>2504</v>
      </c>
      <c r="F332" s="143" t="s">
        <v>2504</v>
      </c>
      <c r="G332" s="143" t="s">
        <v>2504</v>
      </c>
      <c r="H332" s="143" t="s">
        <v>2504</v>
      </c>
      <c r="I332" s="143" t="s">
        <v>2504</v>
      </c>
      <c r="J332" s="143" t="s">
        <v>2504</v>
      </c>
      <c r="K332" s="143" t="s">
        <v>2504</v>
      </c>
      <c r="L332" s="143" t="s">
        <v>2504</v>
      </c>
      <c r="M332" s="143" t="s">
        <v>2504</v>
      </c>
      <c r="N332" s="143" t="s">
        <v>2504</v>
      </c>
      <c r="O332" s="143" t="s">
        <v>2504</v>
      </c>
      <c r="P332" s="143" t="s">
        <v>2504</v>
      </c>
      <c r="Q332" s="148" t="s">
        <v>1072</v>
      </c>
      <c r="R332" s="148" t="s">
        <v>630</v>
      </c>
      <c r="S332" s="148" t="s">
        <v>830</v>
      </c>
      <c r="T332" s="149">
        <v>0.95</v>
      </c>
      <c r="U332" s="148" t="s">
        <v>596</v>
      </c>
      <c r="V332" s="150">
        <v>92.66</v>
      </c>
      <c r="W332" s="151">
        <f t="shared" si="2"/>
        <v>92660</v>
      </c>
    </row>
    <row r="333" spans="1:23" ht="15" customHeight="1" x14ac:dyDescent="0.25">
      <c r="A333" s="148">
        <v>1263</v>
      </c>
      <c r="B333" s="148" t="s">
        <v>1073</v>
      </c>
      <c r="C333" s="143" t="s">
        <v>2504</v>
      </c>
      <c r="D333" s="143" t="s">
        <v>2504</v>
      </c>
      <c r="E333" s="143" t="s">
        <v>2504</v>
      </c>
      <c r="F333" s="143" t="s">
        <v>2504</v>
      </c>
      <c r="G333" s="143" t="s">
        <v>2504</v>
      </c>
      <c r="H333" s="143" t="s">
        <v>2504</v>
      </c>
      <c r="I333" s="143" t="s">
        <v>2504</v>
      </c>
      <c r="J333" s="143" t="s">
        <v>2504</v>
      </c>
      <c r="K333" s="143" t="s">
        <v>2504</v>
      </c>
      <c r="L333" s="143" t="s">
        <v>2504</v>
      </c>
      <c r="M333" s="143" t="s">
        <v>2504</v>
      </c>
      <c r="N333" s="143" t="s">
        <v>2504</v>
      </c>
      <c r="O333" s="143" t="s">
        <v>2504</v>
      </c>
      <c r="P333" s="143" t="s">
        <v>2504</v>
      </c>
      <c r="Q333" s="148" t="s">
        <v>1074</v>
      </c>
      <c r="R333" s="148" t="s">
        <v>630</v>
      </c>
      <c r="S333" s="148" t="s">
        <v>830</v>
      </c>
      <c r="T333" s="149">
        <v>5</v>
      </c>
      <c r="U333" s="148" t="s">
        <v>596</v>
      </c>
      <c r="V333" s="150">
        <v>492.29</v>
      </c>
      <c r="W333" s="151">
        <f t="shared" si="2"/>
        <v>492290</v>
      </c>
    </row>
    <row r="334" spans="1:23" ht="15" customHeight="1" x14ac:dyDescent="0.25">
      <c r="A334" s="148">
        <v>1266</v>
      </c>
      <c r="B334" s="148" t="s">
        <v>1075</v>
      </c>
      <c r="C334" s="143" t="s">
        <v>2504</v>
      </c>
      <c r="D334" s="143" t="s">
        <v>2504</v>
      </c>
      <c r="E334" s="143" t="s">
        <v>2504</v>
      </c>
      <c r="F334" s="143" t="s">
        <v>2504</v>
      </c>
      <c r="G334" s="143" t="s">
        <v>2504</v>
      </c>
      <c r="H334" s="143" t="s">
        <v>2504</v>
      </c>
      <c r="I334" s="143" t="s">
        <v>2504</v>
      </c>
      <c r="J334" s="143" t="s">
        <v>2504</v>
      </c>
      <c r="K334" s="143" t="s">
        <v>2504</v>
      </c>
      <c r="L334" s="143" t="s">
        <v>2504</v>
      </c>
      <c r="M334" s="143" t="s">
        <v>2504</v>
      </c>
      <c r="N334" s="143" t="s">
        <v>2504</v>
      </c>
      <c r="O334" s="143" t="s">
        <v>2504</v>
      </c>
      <c r="P334" s="143" t="s">
        <v>2504</v>
      </c>
      <c r="Q334" s="148" t="s">
        <v>1076</v>
      </c>
      <c r="R334" s="148" t="s">
        <v>630</v>
      </c>
      <c r="S334" s="148" t="s">
        <v>830</v>
      </c>
      <c r="T334" s="149">
        <v>200</v>
      </c>
      <c r="U334" s="148" t="s">
        <v>596</v>
      </c>
      <c r="V334" s="150">
        <v>18479.37</v>
      </c>
      <c r="W334" s="151">
        <f t="shared" si="2"/>
        <v>18479370</v>
      </c>
    </row>
    <row r="335" spans="1:23" ht="15" customHeight="1" x14ac:dyDescent="0.25">
      <c r="A335" s="148">
        <v>1299</v>
      </c>
      <c r="B335" s="148" t="s">
        <v>1089</v>
      </c>
      <c r="C335" s="143" t="s">
        <v>2504</v>
      </c>
      <c r="D335" s="143" t="s">
        <v>2504</v>
      </c>
      <c r="E335" s="143" t="s">
        <v>2504</v>
      </c>
      <c r="F335" s="143" t="s">
        <v>2504</v>
      </c>
      <c r="G335" s="143" t="s">
        <v>2504</v>
      </c>
      <c r="H335" s="143" t="s">
        <v>2504</v>
      </c>
      <c r="I335" s="143" t="s">
        <v>2504</v>
      </c>
      <c r="J335" s="143" t="s">
        <v>2504</v>
      </c>
      <c r="K335" s="143" t="s">
        <v>2504</v>
      </c>
      <c r="L335" s="143" t="s">
        <v>2504</v>
      </c>
      <c r="M335" s="143" t="s">
        <v>2504</v>
      </c>
      <c r="N335" s="143" t="s">
        <v>2504</v>
      </c>
      <c r="O335" s="143" t="s">
        <v>2504</v>
      </c>
      <c r="P335" s="143" t="s">
        <v>2504</v>
      </c>
      <c r="Q335" s="148" t="s">
        <v>1090</v>
      </c>
      <c r="R335" s="148" t="s">
        <v>630</v>
      </c>
      <c r="S335" s="148" t="s">
        <v>830</v>
      </c>
      <c r="T335" s="149">
        <v>200</v>
      </c>
      <c r="U335" s="148" t="s">
        <v>596</v>
      </c>
      <c r="V335" s="150">
        <v>18157.86</v>
      </c>
      <c r="W335" s="151">
        <f t="shared" si="2"/>
        <v>18157860</v>
      </c>
    </row>
    <row r="336" spans="1:23" ht="15" customHeight="1" x14ac:dyDescent="0.25">
      <c r="A336" s="148">
        <v>1961</v>
      </c>
      <c r="B336" s="148" t="s">
        <v>1102</v>
      </c>
      <c r="C336" s="143" t="s">
        <v>2504</v>
      </c>
      <c r="D336" s="143" t="s">
        <v>2504</v>
      </c>
      <c r="E336" s="143" t="s">
        <v>2504</v>
      </c>
      <c r="F336" s="143" t="s">
        <v>2504</v>
      </c>
      <c r="G336" s="143" t="s">
        <v>2504</v>
      </c>
      <c r="H336" s="143" t="s">
        <v>2504</v>
      </c>
      <c r="I336" s="143" t="s">
        <v>2504</v>
      </c>
      <c r="J336" s="143" t="s">
        <v>2504</v>
      </c>
      <c r="K336" s="143" t="s">
        <v>2504</v>
      </c>
      <c r="L336" s="143" t="s">
        <v>2504</v>
      </c>
      <c r="M336" s="143" t="s">
        <v>2504</v>
      </c>
      <c r="N336" s="143" t="s">
        <v>2504</v>
      </c>
      <c r="O336" s="143" t="s">
        <v>2504</v>
      </c>
      <c r="P336" s="143" t="s">
        <v>2504</v>
      </c>
      <c r="Q336" s="148" t="s">
        <v>1103</v>
      </c>
      <c r="R336" s="148" t="s">
        <v>600</v>
      </c>
      <c r="S336" s="148" t="s">
        <v>613</v>
      </c>
      <c r="T336" s="149">
        <v>0.6</v>
      </c>
      <c r="U336" s="148" t="s">
        <v>596</v>
      </c>
      <c r="V336" s="150">
        <v>54.82</v>
      </c>
      <c r="W336" s="151">
        <f t="shared" si="2"/>
        <v>54820</v>
      </c>
    </row>
    <row r="337" spans="1:23" ht="15" customHeight="1" x14ac:dyDescent="0.25">
      <c r="A337" s="148">
        <v>1962</v>
      </c>
      <c r="B337" s="148" t="s">
        <v>1104</v>
      </c>
      <c r="C337" s="143" t="s">
        <v>2504</v>
      </c>
      <c r="D337" s="143" t="s">
        <v>2504</v>
      </c>
      <c r="E337" s="143" t="s">
        <v>2504</v>
      </c>
      <c r="F337" s="143" t="s">
        <v>2504</v>
      </c>
      <c r="G337" s="143" t="s">
        <v>2504</v>
      </c>
      <c r="H337" s="143" t="s">
        <v>2504</v>
      </c>
      <c r="I337" s="143" t="s">
        <v>2504</v>
      </c>
      <c r="J337" s="143" t="s">
        <v>2504</v>
      </c>
      <c r="K337" s="143" t="s">
        <v>2504</v>
      </c>
      <c r="L337" s="143" t="s">
        <v>2504</v>
      </c>
      <c r="M337" s="143" t="s">
        <v>2504</v>
      </c>
      <c r="N337" s="143" t="s">
        <v>2504</v>
      </c>
      <c r="O337" s="143" t="s">
        <v>2504</v>
      </c>
      <c r="P337" s="143" t="s">
        <v>2504</v>
      </c>
      <c r="Q337" s="148" t="s">
        <v>1105</v>
      </c>
      <c r="R337" s="148" t="s">
        <v>600</v>
      </c>
      <c r="S337" s="148" t="s">
        <v>613</v>
      </c>
      <c r="T337" s="149">
        <v>0.6</v>
      </c>
      <c r="U337" s="148" t="s">
        <v>596</v>
      </c>
      <c r="V337" s="150">
        <v>43.97</v>
      </c>
      <c r="W337" s="151">
        <f t="shared" si="2"/>
        <v>43970</v>
      </c>
    </row>
    <row r="338" spans="1:23" ht="15" customHeight="1" x14ac:dyDescent="0.25">
      <c r="A338" s="148">
        <v>1963</v>
      </c>
      <c r="B338" s="148" t="s">
        <v>1106</v>
      </c>
      <c r="C338" s="143" t="s">
        <v>2504</v>
      </c>
      <c r="D338" s="143" t="s">
        <v>2504</v>
      </c>
      <c r="E338" s="143" t="s">
        <v>2504</v>
      </c>
      <c r="F338" s="143" t="s">
        <v>2504</v>
      </c>
      <c r="G338" s="143" t="s">
        <v>2504</v>
      </c>
      <c r="H338" s="143" t="s">
        <v>2504</v>
      </c>
      <c r="I338" s="143" t="s">
        <v>2504</v>
      </c>
      <c r="J338" s="143" t="s">
        <v>2504</v>
      </c>
      <c r="K338" s="143" t="s">
        <v>2504</v>
      </c>
      <c r="L338" s="143" t="s">
        <v>2504</v>
      </c>
      <c r="M338" s="143" t="s">
        <v>2504</v>
      </c>
      <c r="N338" s="143" t="s">
        <v>2504</v>
      </c>
      <c r="O338" s="143" t="s">
        <v>2504</v>
      </c>
      <c r="P338" s="143" t="s">
        <v>2504</v>
      </c>
      <c r="Q338" s="148" t="s">
        <v>1107</v>
      </c>
      <c r="R338" s="148" t="s">
        <v>600</v>
      </c>
      <c r="S338" s="148" t="s">
        <v>613</v>
      </c>
      <c r="T338" s="149">
        <v>0.6</v>
      </c>
      <c r="U338" s="148" t="s">
        <v>596</v>
      </c>
      <c r="V338" s="150">
        <v>48.32</v>
      </c>
      <c r="W338" s="151">
        <f t="shared" si="2"/>
        <v>48320</v>
      </c>
    </row>
    <row r="339" spans="1:23" ht="15" customHeight="1" x14ac:dyDescent="0.25">
      <c r="A339" s="148">
        <v>1964</v>
      </c>
      <c r="B339" s="148" t="s">
        <v>1108</v>
      </c>
      <c r="C339" s="143" t="s">
        <v>2504</v>
      </c>
      <c r="D339" s="143" t="s">
        <v>2504</v>
      </c>
      <c r="E339" s="143" t="s">
        <v>2504</v>
      </c>
      <c r="F339" s="143" t="s">
        <v>2504</v>
      </c>
      <c r="G339" s="143" t="s">
        <v>2504</v>
      </c>
      <c r="H339" s="143" t="s">
        <v>2504</v>
      </c>
      <c r="I339" s="143" t="s">
        <v>2504</v>
      </c>
      <c r="J339" s="143" t="s">
        <v>2504</v>
      </c>
      <c r="K339" s="143" t="s">
        <v>2504</v>
      </c>
      <c r="L339" s="143" t="s">
        <v>2504</v>
      </c>
      <c r="M339" s="143" t="s">
        <v>2504</v>
      </c>
      <c r="N339" s="143" t="s">
        <v>2504</v>
      </c>
      <c r="O339" s="143" t="s">
        <v>2504</v>
      </c>
      <c r="P339" s="143" t="s">
        <v>2504</v>
      </c>
      <c r="Q339" s="148" t="s">
        <v>1109</v>
      </c>
      <c r="R339" s="148" t="s">
        <v>600</v>
      </c>
      <c r="S339" s="148" t="s">
        <v>613</v>
      </c>
      <c r="T339" s="149">
        <v>0.6</v>
      </c>
      <c r="U339" s="148" t="s">
        <v>596</v>
      </c>
      <c r="V339" s="150">
        <v>84.25</v>
      </c>
      <c r="W339" s="151">
        <f t="shared" si="2"/>
        <v>84250</v>
      </c>
    </row>
    <row r="340" spans="1:23" ht="15" customHeight="1" x14ac:dyDescent="0.25">
      <c r="A340" s="148">
        <v>16001</v>
      </c>
      <c r="B340" s="148" t="s">
        <v>2035</v>
      </c>
      <c r="C340" s="143" t="s">
        <v>2504</v>
      </c>
      <c r="D340" s="143" t="s">
        <v>2504</v>
      </c>
      <c r="E340" s="143" t="s">
        <v>2504</v>
      </c>
      <c r="F340" s="143" t="s">
        <v>2504</v>
      </c>
      <c r="G340" s="143" t="s">
        <v>2504</v>
      </c>
      <c r="H340" s="143" t="s">
        <v>2504</v>
      </c>
      <c r="I340" s="143" t="s">
        <v>2504</v>
      </c>
      <c r="J340" s="143" t="s">
        <v>2504</v>
      </c>
      <c r="K340" s="143" t="s">
        <v>2504</v>
      </c>
      <c r="L340" s="143" t="s">
        <v>2504</v>
      </c>
      <c r="M340" s="143" t="s">
        <v>2504</v>
      </c>
      <c r="N340" s="143" t="s">
        <v>2504</v>
      </c>
      <c r="O340" s="143" t="s">
        <v>2504</v>
      </c>
      <c r="P340" s="143" t="s">
        <v>2504</v>
      </c>
      <c r="Q340" s="148" t="s">
        <v>2036</v>
      </c>
      <c r="R340" s="148" t="s">
        <v>594</v>
      </c>
      <c r="S340" s="148" t="s">
        <v>595</v>
      </c>
      <c r="T340" s="149">
        <v>0.95</v>
      </c>
      <c r="U340" s="148" t="s">
        <v>596</v>
      </c>
      <c r="V340" s="150">
        <v>101.69</v>
      </c>
      <c r="W340" s="151">
        <f t="shared" si="2"/>
        <v>101690</v>
      </c>
    </row>
    <row r="341" spans="1:23" ht="15" customHeight="1" x14ac:dyDescent="0.25">
      <c r="A341" s="148">
        <v>16003</v>
      </c>
      <c r="B341" s="148" t="s">
        <v>2038</v>
      </c>
      <c r="C341" s="143" t="s">
        <v>2504</v>
      </c>
      <c r="D341" s="143" t="s">
        <v>2504</v>
      </c>
      <c r="E341" s="143" t="s">
        <v>2504</v>
      </c>
      <c r="F341" s="143" t="s">
        <v>2504</v>
      </c>
      <c r="G341" s="143" t="s">
        <v>2504</v>
      </c>
      <c r="H341" s="143" t="s">
        <v>2504</v>
      </c>
      <c r="I341" s="143" t="s">
        <v>2504</v>
      </c>
      <c r="J341" s="143" t="s">
        <v>2504</v>
      </c>
      <c r="K341" s="143" t="s">
        <v>2504</v>
      </c>
      <c r="L341" s="143" t="s">
        <v>2504</v>
      </c>
      <c r="M341" s="143" t="s">
        <v>2504</v>
      </c>
      <c r="N341" s="143" t="s">
        <v>2504</v>
      </c>
      <c r="O341" s="143" t="s">
        <v>2504</v>
      </c>
      <c r="P341" s="143" t="s">
        <v>2504</v>
      </c>
      <c r="Q341" s="148" t="s">
        <v>2039</v>
      </c>
      <c r="R341" s="148" t="s">
        <v>594</v>
      </c>
      <c r="S341" s="148" t="s">
        <v>595</v>
      </c>
      <c r="T341" s="149">
        <v>19</v>
      </c>
      <c r="U341" s="148" t="s">
        <v>596</v>
      </c>
      <c r="V341" s="150">
        <v>2010.21</v>
      </c>
      <c r="W341" s="151">
        <f t="shared" si="2"/>
        <v>2010210</v>
      </c>
    </row>
    <row r="342" spans="1:23" ht="15" customHeight="1" x14ac:dyDescent="0.25">
      <c r="A342" s="148">
        <v>16004</v>
      </c>
      <c r="B342" s="148" t="s">
        <v>2040</v>
      </c>
      <c r="C342" s="143" t="s">
        <v>2504</v>
      </c>
      <c r="D342" s="143" t="s">
        <v>2504</v>
      </c>
      <c r="E342" s="143" t="s">
        <v>2504</v>
      </c>
      <c r="F342" s="143" t="s">
        <v>2504</v>
      </c>
      <c r="G342" s="143" t="s">
        <v>2504</v>
      </c>
      <c r="H342" s="143" t="s">
        <v>2504</v>
      </c>
      <c r="I342" s="143" t="s">
        <v>2504</v>
      </c>
      <c r="J342" s="143" t="s">
        <v>2504</v>
      </c>
      <c r="K342" s="143" t="s">
        <v>2504</v>
      </c>
      <c r="L342" s="143" t="s">
        <v>2504</v>
      </c>
      <c r="M342" s="143" t="s">
        <v>2504</v>
      </c>
      <c r="N342" s="143" t="s">
        <v>2504</v>
      </c>
      <c r="O342" s="143" t="s">
        <v>2504</v>
      </c>
      <c r="P342" s="143" t="s">
        <v>2504</v>
      </c>
      <c r="Q342" s="148" t="s">
        <v>2041</v>
      </c>
      <c r="R342" s="148" t="s">
        <v>594</v>
      </c>
      <c r="S342" s="148" t="s">
        <v>595</v>
      </c>
      <c r="T342" s="149">
        <v>200</v>
      </c>
      <c r="U342" s="148" t="s">
        <v>596</v>
      </c>
      <c r="V342" s="150">
        <v>21236.62</v>
      </c>
      <c r="W342" s="151">
        <f t="shared" si="2"/>
        <v>21236620</v>
      </c>
    </row>
    <row r="343" spans="1:23" ht="15" customHeight="1" x14ac:dyDescent="0.25">
      <c r="A343" s="148">
        <v>16005</v>
      </c>
      <c r="B343" s="148" t="s">
        <v>2042</v>
      </c>
      <c r="C343" s="143" t="s">
        <v>2504</v>
      </c>
      <c r="D343" s="143" t="s">
        <v>2504</v>
      </c>
      <c r="E343" s="143" t="s">
        <v>2504</v>
      </c>
      <c r="F343" s="143" t="s">
        <v>2504</v>
      </c>
      <c r="G343" s="143" t="s">
        <v>2504</v>
      </c>
      <c r="H343" s="143" t="s">
        <v>2504</v>
      </c>
      <c r="I343" s="143" t="s">
        <v>2504</v>
      </c>
      <c r="J343" s="143" t="s">
        <v>2504</v>
      </c>
      <c r="K343" s="143" t="s">
        <v>2504</v>
      </c>
      <c r="L343" s="143" t="s">
        <v>2504</v>
      </c>
      <c r="M343" s="143" t="s">
        <v>2504</v>
      </c>
      <c r="N343" s="143" t="s">
        <v>2504</v>
      </c>
      <c r="O343" s="143" t="s">
        <v>2504</v>
      </c>
      <c r="P343" s="143" t="s">
        <v>2504</v>
      </c>
      <c r="Q343" s="148" t="s">
        <v>2043</v>
      </c>
      <c r="R343" s="148" t="s">
        <v>594</v>
      </c>
      <c r="S343" s="148" t="s">
        <v>595</v>
      </c>
      <c r="T343" s="149">
        <v>1</v>
      </c>
      <c r="U343" s="148" t="s">
        <v>596</v>
      </c>
      <c r="V343" s="150">
        <v>101.42</v>
      </c>
      <c r="W343" s="151">
        <f t="shared" si="2"/>
        <v>101420</v>
      </c>
    </row>
    <row r="344" spans="1:23" ht="15" customHeight="1" x14ac:dyDescent="0.25">
      <c r="A344" s="148">
        <v>16013</v>
      </c>
      <c r="B344" s="148" t="s">
        <v>2051</v>
      </c>
      <c r="C344" s="143" t="s">
        <v>2504</v>
      </c>
      <c r="D344" s="143" t="s">
        <v>2504</v>
      </c>
      <c r="E344" s="143" t="s">
        <v>2504</v>
      </c>
      <c r="F344" s="143" t="s">
        <v>2504</v>
      </c>
      <c r="G344" s="143" t="s">
        <v>2504</v>
      </c>
      <c r="H344" s="143" t="s">
        <v>2504</v>
      </c>
      <c r="I344" s="143" t="s">
        <v>2504</v>
      </c>
      <c r="J344" s="143" t="s">
        <v>2504</v>
      </c>
      <c r="K344" s="143" t="s">
        <v>2504</v>
      </c>
      <c r="L344" s="143" t="s">
        <v>2504</v>
      </c>
      <c r="M344" s="143" t="s">
        <v>2504</v>
      </c>
      <c r="N344" s="143" t="s">
        <v>2504</v>
      </c>
      <c r="O344" s="143" t="s">
        <v>2504</v>
      </c>
      <c r="P344" s="143" t="s">
        <v>2504</v>
      </c>
      <c r="Q344" s="148" t="s">
        <v>2052</v>
      </c>
      <c r="R344" s="148" t="s">
        <v>594</v>
      </c>
      <c r="S344" s="148" t="s">
        <v>604</v>
      </c>
      <c r="T344" s="149">
        <v>5</v>
      </c>
      <c r="U344" s="148" t="s">
        <v>596</v>
      </c>
      <c r="V344" s="150">
        <v>559.98</v>
      </c>
      <c r="W344" s="151">
        <f t="shared" si="2"/>
        <v>559980</v>
      </c>
    </row>
    <row r="345" spans="1:23" ht="15" customHeight="1" x14ac:dyDescent="0.25">
      <c r="A345" s="148">
        <v>16018</v>
      </c>
      <c r="B345" s="148" t="s">
        <v>2058</v>
      </c>
      <c r="C345" s="143" t="s">
        <v>2504</v>
      </c>
      <c r="D345" s="143" t="s">
        <v>2504</v>
      </c>
      <c r="E345" s="143" t="s">
        <v>2504</v>
      </c>
      <c r="F345" s="143" t="s">
        <v>2504</v>
      </c>
      <c r="G345" s="143" t="s">
        <v>2504</v>
      </c>
      <c r="H345" s="143" t="s">
        <v>2504</v>
      </c>
      <c r="I345" s="143" t="s">
        <v>2504</v>
      </c>
      <c r="J345" s="143" t="s">
        <v>2504</v>
      </c>
      <c r="K345" s="143" t="s">
        <v>2504</v>
      </c>
      <c r="L345" s="143" t="s">
        <v>2504</v>
      </c>
      <c r="M345" s="143" t="s">
        <v>2504</v>
      </c>
      <c r="N345" s="143" t="s">
        <v>2504</v>
      </c>
      <c r="O345" s="143" t="s">
        <v>2504</v>
      </c>
      <c r="P345" s="143" t="s">
        <v>2504</v>
      </c>
      <c r="Q345" s="148" t="s">
        <v>2059</v>
      </c>
      <c r="R345" s="148" t="s">
        <v>594</v>
      </c>
      <c r="S345" s="148" t="s">
        <v>604</v>
      </c>
      <c r="T345" s="149">
        <v>5</v>
      </c>
      <c r="U345" s="148" t="s">
        <v>596</v>
      </c>
      <c r="V345" s="150">
        <v>562.1</v>
      </c>
      <c r="W345" s="151">
        <f t="shared" si="2"/>
        <v>562100</v>
      </c>
    </row>
    <row r="346" spans="1:23" ht="15" customHeight="1" x14ac:dyDescent="0.25">
      <c r="A346" s="148">
        <v>16023</v>
      </c>
      <c r="B346" s="148" t="s">
        <v>2065</v>
      </c>
      <c r="C346" s="143" t="s">
        <v>2504</v>
      </c>
      <c r="D346" s="143" t="s">
        <v>2504</v>
      </c>
      <c r="E346" s="143" t="s">
        <v>2504</v>
      </c>
      <c r="F346" s="143" t="s">
        <v>2504</v>
      </c>
      <c r="G346" s="143" t="s">
        <v>2504</v>
      </c>
      <c r="H346" s="143" t="s">
        <v>2504</v>
      </c>
      <c r="I346" s="143" t="s">
        <v>2504</v>
      </c>
      <c r="J346" s="143" t="s">
        <v>2504</v>
      </c>
      <c r="K346" s="143" t="s">
        <v>2504</v>
      </c>
      <c r="L346" s="143" t="s">
        <v>2504</v>
      </c>
      <c r="M346" s="143" t="s">
        <v>2504</v>
      </c>
      <c r="N346" s="143" t="s">
        <v>2504</v>
      </c>
      <c r="O346" s="143" t="s">
        <v>2504</v>
      </c>
      <c r="P346" s="143" t="s">
        <v>2504</v>
      </c>
      <c r="Q346" s="148" t="s">
        <v>2066</v>
      </c>
      <c r="R346" s="148" t="s">
        <v>594</v>
      </c>
      <c r="S346" s="148" t="s">
        <v>604</v>
      </c>
      <c r="T346" s="149">
        <v>5</v>
      </c>
      <c r="U346" s="148" t="s">
        <v>596</v>
      </c>
      <c r="V346" s="150">
        <v>561.65</v>
      </c>
      <c r="W346" s="151">
        <f t="shared" si="2"/>
        <v>561650</v>
      </c>
    </row>
    <row r="347" spans="1:23" ht="15" customHeight="1" x14ac:dyDescent="0.25">
      <c r="A347" s="148">
        <v>16028</v>
      </c>
      <c r="B347" s="148" t="s">
        <v>2072</v>
      </c>
      <c r="C347" s="143" t="s">
        <v>2504</v>
      </c>
      <c r="D347" s="143" t="s">
        <v>2504</v>
      </c>
      <c r="E347" s="143" t="s">
        <v>2504</v>
      </c>
      <c r="F347" s="143" t="s">
        <v>2504</v>
      </c>
      <c r="G347" s="143" t="s">
        <v>2504</v>
      </c>
      <c r="H347" s="143" t="s">
        <v>2504</v>
      </c>
      <c r="I347" s="143" t="s">
        <v>2504</v>
      </c>
      <c r="J347" s="143" t="s">
        <v>2504</v>
      </c>
      <c r="K347" s="143" t="s">
        <v>2504</v>
      </c>
      <c r="L347" s="143" t="s">
        <v>2504</v>
      </c>
      <c r="M347" s="143" t="s">
        <v>2504</v>
      </c>
      <c r="N347" s="143" t="s">
        <v>2504</v>
      </c>
      <c r="O347" s="143" t="s">
        <v>2504</v>
      </c>
      <c r="P347" s="143" t="s">
        <v>2504</v>
      </c>
      <c r="Q347" s="148" t="s">
        <v>2073</v>
      </c>
      <c r="R347" s="148" t="s">
        <v>589</v>
      </c>
      <c r="S347" s="148" t="s">
        <v>2071</v>
      </c>
      <c r="T347" s="149">
        <v>3.7850000000000001</v>
      </c>
      <c r="U347" s="148" t="s">
        <v>596</v>
      </c>
      <c r="V347" s="150">
        <v>353.9</v>
      </c>
      <c r="W347" s="151">
        <f t="shared" si="2"/>
        <v>353900</v>
      </c>
    </row>
    <row r="348" spans="1:23" ht="15" customHeight="1" x14ac:dyDescent="0.25">
      <c r="A348" s="148">
        <v>16037</v>
      </c>
      <c r="B348" s="148" t="s">
        <v>2085</v>
      </c>
      <c r="C348" s="143" t="s">
        <v>2504</v>
      </c>
      <c r="D348" s="143" t="s">
        <v>2504</v>
      </c>
      <c r="E348" s="143" t="s">
        <v>2504</v>
      </c>
      <c r="F348" s="143" t="s">
        <v>2504</v>
      </c>
      <c r="G348" s="143" t="s">
        <v>2504</v>
      </c>
      <c r="H348" s="143" t="s">
        <v>2504</v>
      </c>
      <c r="I348" s="143" t="s">
        <v>2504</v>
      </c>
      <c r="J348" s="143" t="s">
        <v>2504</v>
      </c>
      <c r="K348" s="143" t="s">
        <v>2504</v>
      </c>
      <c r="L348" s="143" t="s">
        <v>2504</v>
      </c>
      <c r="M348" s="143" t="s">
        <v>2504</v>
      </c>
      <c r="N348" s="143" t="s">
        <v>2504</v>
      </c>
      <c r="O348" s="143" t="s">
        <v>2504</v>
      </c>
      <c r="P348" s="143" t="s">
        <v>2504</v>
      </c>
      <c r="Q348" s="148" t="s">
        <v>2086</v>
      </c>
      <c r="R348" s="148" t="s">
        <v>594</v>
      </c>
      <c r="S348" s="148" t="s">
        <v>2084</v>
      </c>
      <c r="T348" s="149">
        <v>19</v>
      </c>
      <c r="U348" s="148" t="s">
        <v>596</v>
      </c>
      <c r="V348" s="150">
        <v>2668.96</v>
      </c>
      <c r="W348" s="151">
        <f t="shared" si="2"/>
        <v>2668960</v>
      </c>
    </row>
    <row r="349" spans="1:23" ht="15" customHeight="1" x14ac:dyDescent="0.25">
      <c r="A349" s="148">
        <v>16038</v>
      </c>
      <c r="B349" s="148" t="s">
        <v>2087</v>
      </c>
      <c r="C349" s="143" t="s">
        <v>2504</v>
      </c>
      <c r="D349" s="143" t="s">
        <v>2504</v>
      </c>
      <c r="E349" s="143" t="s">
        <v>2504</v>
      </c>
      <c r="F349" s="143" t="s">
        <v>2504</v>
      </c>
      <c r="G349" s="143" t="s">
        <v>2504</v>
      </c>
      <c r="H349" s="143" t="s">
        <v>2504</v>
      </c>
      <c r="I349" s="143" t="s">
        <v>2504</v>
      </c>
      <c r="J349" s="143" t="s">
        <v>2504</v>
      </c>
      <c r="K349" s="143" t="s">
        <v>2504</v>
      </c>
      <c r="L349" s="143" t="s">
        <v>2504</v>
      </c>
      <c r="M349" s="143" t="s">
        <v>2504</v>
      </c>
      <c r="N349" s="143" t="s">
        <v>2504</v>
      </c>
      <c r="O349" s="143" t="s">
        <v>2504</v>
      </c>
      <c r="P349" s="143" t="s">
        <v>2504</v>
      </c>
      <c r="Q349" s="148" t="s">
        <v>2088</v>
      </c>
      <c r="R349" s="148" t="s">
        <v>594</v>
      </c>
      <c r="S349" s="148" t="s">
        <v>2084</v>
      </c>
      <c r="T349" s="149">
        <v>200</v>
      </c>
      <c r="U349" s="148" t="s">
        <v>596</v>
      </c>
      <c r="V349" s="150">
        <v>27621.47</v>
      </c>
      <c r="W349" s="151">
        <f t="shared" si="2"/>
        <v>27621470</v>
      </c>
    </row>
    <row r="350" spans="1:23" ht="15" customHeight="1" x14ac:dyDescent="0.25">
      <c r="A350" s="148">
        <v>16041</v>
      </c>
      <c r="B350" s="148" t="s">
        <v>2092</v>
      </c>
      <c r="C350" s="143" t="s">
        <v>2504</v>
      </c>
      <c r="D350" s="143" t="s">
        <v>2504</v>
      </c>
      <c r="E350" s="143" t="s">
        <v>2504</v>
      </c>
      <c r="F350" s="143" t="s">
        <v>2504</v>
      </c>
      <c r="G350" s="143" t="s">
        <v>2504</v>
      </c>
      <c r="H350" s="143" t="s">
        <v>2504</v>
      </c>
      <c r="I350" s="143" t="s">
        <v>2504</v>
      </c>
      <c r="J350" s="143" t="s">
        <v>2504</v>
      </c>
      <c r="K350" s="143" t="s">
        <v>2504</v>
      </c>
      <c r="L350" s="143" t="s">
        <v>2504</v>
      </c>
      <c r="M350" s="143" t="s">
        <v>2504</v>
      </c>
      <c r="N350" s="143" t="s">
        <v>2504</v>
      </c>
      <c r="O350" s="143" t="s">
        <v>2504</v>
      </c>
      <c r="P350" s="143" t="s">
        <v>2504</v>
      </c>
      <c r="Q350" s="148" t="s">
        <v>2093</v>
      </c>
      <c r="R350" s="148" t="s">
        <v>594</v>
      </c>
      <c r="S350" s="148" t="s">
        <v>2084</v>
      </c>
      <c r="T350" s="149">
        <v>19</v>
      </c>
      <c r="U350" s="148" t="s">
        <v>596</v>
      </c>
      <c r="V350" s="150">
        <v>3065.86</v>
      </c>
      <c r="W350" s="151">
        <f t="shared" si="2"/>
        <v>3065860</v>
      </c>
    </row>
    <row r="351" spans="1:23" ht="15" customHeight="1" x14ac:dyDescent="0.25">
      <c r="A351" s="148">
        <v>16042</v>
      </c>
      <c r="B351" s="148" t="s">
        <v>2094</v>
      </c>
      <c r="C351" s="143" t="s">
        <v>2504</v>
      </c>
      <c r="D351" s="143" t="s">
        <v>2504</v>
      </c>
      <c r="E351" s="143" t="s">
        <v>2504</v>
      </c>
      <c r="F351" s="143" t="s">
        <v>2504</v>
      </c>
      <c r="G351" s="143" t="s">
        <v>2504</v>
      </c>
      <c r="H351" s="143" t="s">
        <v>2504</v>
      </c>
      <c r="I351" s="143" t="s">
        <v>2504</v>
      </c>
      <c r="J351" s="143" t="s">
        <v>2504</v>
      </c>
      <c r="K351" s="143" t="s">
        <v>2504</v>
      </c>
      <c r="L351" s="143" t="s">
        <v>2504</v>
      </c>
      <c r="M351" s="143" t="s">
        <v>2504</v>
      </c>
      <c r="N351" s="143" t="s">
        <v>2504</v>
      </c>
      <c r="O351" s="143" t="s">
        <v>2504</v>
      </c>
      <c r="P351" s="143" t="s">
        <v>2504</v>
      </c>
      <c r="Q351" s="148" t="s">
        <v>2095</v>
      </c>
      <c r="R351" s="148" t="s">
        <v>594</v>
      </c>
      <c r="S351" s="148" t="s">
        <v>2084</v>
      </c>
      <c r="T351" s="149">
        <v>200</v>
      </c>
      <c r="U351" s="148" t="s">
        <v>596</v>
      </c>
      <c r="V351" s="150">
        <v>32126.68</v>
      </c>
      <c r="W351" s="151">
        <v>1838.79</v>
      </c>
    </row>
    <row r="352" spans="1:23" ht="15" customHeight="1" x14ac:dyDescent="0.25">
      <c r="A352" s="148">
        <v>16044</v>
      </c>
      <c r="B352" s="148" t="s">
        <v>2096</v>
      </c>
      <c r="C352" s="143" t="s">
        <v>2504</v>
      </c>
      <c r="D352" s="143" t="s">
        <v>2504</v>
      </c>
      <c r="E352" s="143" t="s">
        <v>2504</v>
      </c>
      <c r="F352" s="143" t="s">
        <v>2504</v>
      </c>
      <c r="G352" s="143" t="s">
        <v>2504</v>
      </c>
      <c r="H352" s="143" t="s">
        <v>2504</v>
      </c>
      <c r="I352" s="143" t="s">
        <v>2504</v>
      </c>
      <c r="J352" s="143" t="s">
        <v>2504</v>
      </c>
      <c r="K352" s="143" t="s">
        <v>2504</v>
      </c>
      <c r="L352" s="143" t="s">
        <v>2504</v>
      </c>
      <c r="M352" s="143" t="s">
        <v>2504</v>
      </c>
      <c r="N352" s="143" t="s">
        <v>2504</v>
      </c>
      <c r="O352" s="143" t="s">
        <v>2504</v>
      </c>
      <c r="P352" s="143" t="s">
        <v>2504</v>
      </c>
      <c r="Q352" s="148" t="s">
        <v>2097</v>
      </c>
      <c r="R352" s="148" t="s">
        <v>594</v>
      </c>
      <c r="S352" s="148" t="s">
        <v>2084</v>
      </c>
      <c r="T352" s="149">
        <v>0.95</v>
      </c>
      <c r="U352" s="148" t="s">
        <v>596</v>
      </c>
      <c r="V352" s="150">
        <v>158.71</v>
      </c>
      <c r="W352" s="151">
        <v>1794.67</v>
      </c>
    </row>
    <row r="353" spans="1:23" ht="15" customHeight="1" x14ac:dyDescent="0.25">
      <c r="A353" s="148">
        <v>16045</v>
      </c>
      <c r="B353" s="148" t="s">
        <v>2098</v>
      </c>
      <c r="C353" s="143" t="s">
        <v>2504</v>
      </c>
      <c r="D353" s="143" t="s">
        <v>2504</v>
      </c>
      <c r="E353" s="143" t="s">
        <v>2504</v>
      </c>
      <c r="F353" s="143" t="s">
        <v>2504</v>
      </c>
      <c r="G353" s="143" t="s">
        <v>2504</v>
      </c>
      <c r="H353" s="143" t="s">
        <v>2504</v>
      </c>
      <c r="I353" s="143" t="s">
        <v>2504</v>
      </c>
      <c r="J353" s="143" t="s">
        <v>2504</v>
      </c>
      <c r="K353" s="143" t="s">
        <v>2504</v>
      </c>
      <c r="L353" s="143" t="s">
        <v>2504</v>
      </c>
      <c r="M353" s="143" t="s">
        <v>2504</v>
      </c>
      <c r="N353" s="143" t="s">
        <v>2504</v>
      </c>
      <c r="O353" s="143" t="s">
        <v>2504</v>
      </c>
      <c r="P353" s="143" t="s">
        <v>2504</v>
      </c>
      <c r="Q353" s="148" t="s">
        <v>2099</v>
      </c>
      <c r="R353" s="148" t="s">
        <v>594</v>
      </c>
      <c r="S353" s="148" t="s">
        <v>2084</v>
      </c>
      <c r="T353" s="149">
        <v>19</v>
      </c>
      <c r="U353" s="148" t="s">
        <v>596</v>
      </c>
      <c r="V353" s="150">
        <v>2936.23</v>
      </c>
      <c r="W353" s="151">
        <v>1814.3</v>
      </c>
    </row>
    <row r="354" spans="1:23" ht="15" customHeight="1" x14ac:dyDescent="0.25">
      <c r="A354" s="148">
        <v>16046</v>
      </c>
      <c r="B354" s="148" t="s">
        <v>2100</v>
      </c>
      <c r="C354" s="143" t="s">
        <v>2504</v>
      </c>
      <c r="D354" s="143" t="s">
        <v>2504</v>
      </c>
      <c r="E354" s="143" t="s">
        <v>2504</v>
      </c>
      <c r="F354" s="143" t="s">
        <v>2504</v>
      </c>
      <c r="G354" s="143" t="s">
        <v>2504</v>
      </c>
      <c r="H354" s="143" t="s">
        <v>2504</v>
      </c>
      <c r="I354" s="143" t="s">
        <v>2504</v>
      </c>
      <c r="J354" s="143" t="s">
        <v>2504</v>
      </c>
      <c r="K354" s="143" t="s">
        <v>2504</v>
      </c>
      <c r="L354" s="143" t="s">
        <v>2504</v>
      </c>
      <c r="M354" s="143" t="s">
        <v>2504</v>
      </c>
      <c r="N354" s="143" t="s">
        <v>2504</v>
      </c>
      <c r="O354" s="143" t="s">
        <v>2504</v>
      </c>
      <c r="P354" s="143" t="s">
        <v>2504</v>
      </c>
      <c r="Q354" s="148" t="s">
        <v>2101</v>
      </c>
      <c r="R354" s="148" t="s">
        <v>594</v>
      </c>
      <c r="S354" s="148" t="s">
        <v>2084</v>
      </c>
      <c r="T354" s="149">
        <v>200</v>
      </c>
      <c r="U354" s="148" t="s">
        <v>596</v>
      </c>
      <c r="V354" s="150">
        <v>30295.17</v>
      </c>
      <c r="W354" s="151">
        <v>1885.11</v>
      </c>
    </row>
    <row r="355" spans="1:23" ht="15" customHeight="1" x14ac:dyDescent="0.25">
      <c r="A355" s="148">
        <v>16049</v>
      </c>
      <c r="B355" s="148" t="s">
        <v>2104</v>
      </c>
      <c r="C355" s="143" t="s">
        <v>2504</v>
      </c>
      <c r="D355" s="143" t="s">
        <v>2504</v>
      </c>
      <c r="E355" s="143" t="s">
        <v>2504</v>
      </c>
      <c r="F355" s="143" t="s">
        <v>2504</v>
      </c>
      <c r="G355" s="143" t="s">
        <v>2504</v>
      </c>
      <c r="H355" s="143" t="s">
        <v>2504</v>
      </c>
      <c r="I355" s="143" t="s">
        <v>2504</v>
      </c>
      <c r="J355" s="143" t="s">
        <v>2504</v>
      </c>
      <c r="K355" s="143" t="s">
        <v>2504</v>
      </c>
      <c r="L355" s="143" t="s">
        <v>2504</v>
      </c>
      <c r="M355" s="143" t="s">
        <v>2504</v>
      </c>
      <c r="N355" s="143" t="s">
        <v>2504</v>
      </c>
      <c r="O355" s="143" t="s">
        <v>2504</v>
      </c>
      <c r="P355" s="143" t="s">
        <v>2504</v>
      </c>
      <c r="Q355" s="148" t="s">
        <v>2105</v>
      </c>
      <c r="R355" s="148" t="s">
        <v>594</v>
      </c>
      <c r="S355" s="148" t="s">
        <v>643</v>
      </c>
      <c r="T355" s="149">
        <v>5</v>
      </c>
      <c r="U355" s="148" t="s">
        <v>596</v>
      </c>
      <c r="V355" s="150">
        <v>646.82000000000005</v>
      </c>
      <c r="W355" s="151">
        <v>1952.65</v>
      </c>
    </row>
    <row r="356" spans="1:23" ht="15" customHeight="1" x14ac:dyDescent="0.25">
      <c r="A356" s="148">
        <v>16050</v>
      </c>
      <c r="B356" s="148" t="s">
        <v>2106</v>
      </c>
      <c r="C356" s="143" t="s">
        <v>2504</v>
      </c>
      <c r="D356" s="143" t="s">
        <v>2504</v>
      </c>
      <c r="E356" s="143" t="s">
        <v>2504</v>
      </c>
      <c r="F356" s="143" t="s">
        <v>2504</v>
      </c>
      <c r="G356" s="143" t="s">
        <v>2504</v>
      </c>
      <c r="H356" s="143" t="s">
        <v>2504</v>
      </c>
      <c r="I356" s="143" t="s">
        <v>2504</v>
      </c>
      <c r="J356" s="143" t="s">
        <v>2504</v>
      </c>
      <c r="K356" s="143" t="s">
        <v>2504</v>
      </c>
      <c r="L356" s="143" t="s">
        <v>2504</v>
      </c>
      <c r="M356" s="143" t="s">
        <v>2504</v>
      </c>
      <c r="N356" s="143" t="s">
        <v>2504</v>
      </c>
      <c r="O356" s="143" t="s">
        <v>2504</v>
      </c>
      <c r="P356" s="143" t="s">
        <v>2504</v>
      </c>
      <c r="Q356" s="148" t="s">
        <v>2107</v>
      </c>
      <c r="R356" s="148" t="s">
        <v>594</v>
      </c>
      <c r="S356" s="148" t="s">
        <v>643</v>
      </c>
      <c r="T356" s="149">
        <v>19</v>
      </c>
      <c r="U356" s="148" t="s">
        <v>596</v>
      </c>
      <c r="V356" s="150">
        <v>2391.6</v>
      </c>
      <c r="W356" s="151">
        <v>1970.8</v>
      </c>
    </row>
    <row r="357" spans="1:23" ht="15" customHeight="1" x14ac:dyDescent="0.25">
      <c r="A357" s="148">
        <v>16053</v>
      </c>
      <c r="B357" s="148" t="s">
        <v>2110</v>
      </c>
      <c r="C357" s="143" t="s">
        <v>2504</v>
      </c>
      <c r="D357" s="143" t="s">
        <v>2504</v>
      </c>
      <c r="E357" s="143" t="s">
        <v>2504</v>
      </c>
      <c r="F357" s="143" t="s">
        <v>2504</v>
      </c>
      <c r="G357" s="143" t="s">
        <v>2504</v>
      </c>
      <c r="H357" s="143" t="s">
        <v>2504</v>
      </c>
      <c r="I357" s="143" t="s">
        <v>2504</v>
      </c>
      <c r="J357" s="143" t="s">
        <v>2504</v>
      </c>
      <c r="K357" s="143" t="s">
        <v>2504</v>
      </c>
      <c r="L357" s="143" t="s">
        <v>2504</v>
      </c>
      <c r="M357" s="143" t="s">
        <v>2504</v>
      </c>
      <c r="N357" s="143" t="s">
        <v>2504</v>
      </c>
      <c r="O357" s="143" t="s">
        <v>2504</v>
      </c>
      <c r="P357" s="143" t="s">
        <v>2504</v>
      </c>
      <c r="Q357" s="148" t="s">
        <v>2111</v>
      </c>
      <c r="R357" s="148" t="s">
        <v>594</v>
      </c>
      <c r="S357" s="148" t="s">
        <v>643</v>
      </c>
      <c r="T357" s="149">
        <v>0.95</v>
      </c>
      <c r="U357" s="148" t="s">
        <v>596</v>
      </c>
      <c r="V357" s="150">
        <v>114.44</v>
      </c>
      <c r="W357" s="151">
        <v>1984.7</v>
      </c>
    </row>
    <row r="358" spans="1:23" ht="15" customHeight="1" x14ac:dyDescent="0.25">
      <c r="A358" s="148">
        <v>16058</v>
      </c>
      <c r="B358" s="148" t="s">
        <v>2114</v>
      </c>
      <c r="C358" s="143" t="s">
        <v>2504</v>
      </c>
      <c r="D358" s="143" t="s">
        <v>2504</v>
      </c>
      <c r="E358" s="143" t="s">
        <v>2504</v>
      </c>
      <c r="F358" s="143" t="s">
        <v>2504</v>
      </c>
      <c r="G358" s="143" t="s">
        <v>2504</v>
      </c>
      <c r="H358" s="143" t="s">
        <v>2504</v>
      </c>
      <c r="I358" s="143" t="s">
        <v>2504</v>
      </c>
      <c r="J358" s="143" t="s">
        <v>2504</v>
      </c>
      <c r="K358" s="143" t="s">
        <v>2504</v>
      </c>
      <c r="L358" s="143" t="s">
        <v>2504</v>
      </c>
      <c r="M358" s="143" t="s">
        <v>2504</v>
      </c>
      <c r="N358" s="143" t="s">
        <v>2504</v>
      </c>
      <c r="O358" s="143" t="s">
        <v>2504</v>
      </c>
      <c r="P358" s="143" t="s">
        <v>2504</v>
      </c>
      <c r="Q358" s="148" t="s">
        <v>2115</v>
      </c>
      <c r="R358" s="148" t="s">
        <v>594</v>
      </c>
      <c r="S358" s="148" t="s">
        <v>643</v>
      </c>
      <c r="T358" s="149">
        <v>0.95</v>
      </c>
      <c r="U358" s="148" t="s">
        <v>596</v>
      </c>
      <c r="V358" s="150">
        <v>107.78</v>
      </c>
      <c r="W358" s="151">
        <v>1991.42</v>
      </c>
    </row>
    <row r="359" spans="1:23" ht="15" customHeight="1" x14ac:dyDescent="0.25">
      <c r="A359" s="148">
        <v>16059</v>
      </c>
      <c r="B359" s="148" t="s">
        <v>2116</v>
      </c>
      <c r="C359" s="143" t="s">
        <v>2504</v>
      </c>
      <c r="D359" s="143" t="s">
        <v>2504</v>
      </c>
      <c r="E359" s="143" t="s">
        <v>2504</v>
      </c>
      <c r="F359" s="143" t="s">
        <v>2504</v>
      </c>
      <c r="G359" s="143" t="s">
        <v>2504</v>
      </c>
      <c r="H359" s="143" t="s">
        <v>2504</v>
      </c>
      <c r="I359" s="143" t="s">
        <v>2504</v>
      </c>
      <c r="J359" s="143" t="s">
        <v>2504</v>
      </c>
      <c r="K359" s="143" t="s">
        <v>2504</v>
      </c>
      <c r="L359" s="143" t="s">
        <v>2504</v>
      </c>
      <c r="M359" s="143" t="s">
        <v>2504</v>
      </c>
      <c r="N359" s="143" t="s">
        <v>2504</v>
      </c>
      <c r="O359" s="143" t="s">
        <v>2504</v>
      </c>
      <c r="P359" s="143" t="s">
        <v>2504</v>
      </c>
      <c r="Q359" s="148" t="s">
        <v>2117</v>
      </c>
      <c r="R359" s="148" t="s">
        <v>594</v>
      </c>
      <c r="S359" s="148" t="s">
        <v>643</v>
      </c>
      <c r="T359" s="149">
        <v>5</v>
      </c>
      <c r="U359" s="148" t="s">
        <v>596</v>
      </c>
      <c r="V359" s="150">
        <v>568.14</v>
      </c>
      <c r="W359" s="151">
        <v>1990.23</v>
      </c>
    </row>
    <row r="360" spans="1:23" ht="15" customHeight="1" x14ac:dyDescent="0.25">
      <c r="A360" s="148">
        <v>16061</v>
      </c>
      <c r="B360" s="148" t="s">
        <v>2118</v>
      </c>
      <c r="C360" s="143" t="s">
        <v>2504</v>
      </c>
      <c r="D360" s="143" t="s">
        <v>2504</v>
      </c>
      <c r="E360" s="143" t="s">
        <v>2504</v>
      </c>
      <c r="F360" s="143" t="s">
        <v>2504</v>
      </c>
      <c r="G360" s="143" t="s">
        <v>2504</v>
      </c>
      <c r="H360" s="143" t="s">
        <v>2504</v>
      </c>
      <c r="I360" s="143" t="s">
        <v>2504</v>
      </c>
      <c r="J360" s="143" t="s">
        <v>2504</v>
      </c>
      <c r="K360" s="143" t="s">
        <v>2504</v>
      </c>
      <c r="L360" s="143" t="s">
        <v>2504</v>
      </c>
      <c r="M360" s="143" t="s">
        <v>2504</v>
      </c>
      <c r="N360" s="143" t="s">
        <v>2504</v>
      </c>
      <c r="O360" s="143" t="s">
        <v>2504</v>
      </c>
      <c r="P360" s="143" t="s">
        <v>2504</v>
      </c>
      <c r="Q360" s="148" t="s">
        <v>2119</v>
      </c>
      <c r="R360" s="148" t="s">
        <v>594</v>
      </c>
      <c r="S360" s="148" t="s">
        <v>643</v>
      </c>
      <c r="T360" s="149">
        <v>200</v>
      </c>
      <c r="U360" s="148" t="s">
        <v>596</v>
      </c>
      <c r="V360" s="150">
        <v>21669.37</v>
      </c>
      <c r="W360" s="151">
        <v>1861.85</v>
      </c>
    </row>
    <row r="361" spans="1:23" ht="15" customHeight="1" x14ac:dyDescent="0.25">
      <c r="A361" s="148">
        <v>16063</v>
      </c>
      <c r="B361" s="148" t="s">
        <v>2120</v>
      </c>
      <c r="C361" s="143" t="s">
        <v>2504</v>
      </c>
      <c r="D361" s="143" t="s">
        <v>2504</v>
      </c>
      <c r="E361" s="143" t="s">
        <v>2504</v>
      </c>
      <c r="F361" s="143" t="s">
        <v>2504</v>
      </c>
      <c r="G361" s="143" t="s">
        <v>2504</v>
      </c>
      <c r="H361" s="143" t="s">
        <v>2504</v>
      </c>
      <c r="I361" s="143" t="s">
        <v>2504</v>
      </c>
      <c r="J361" s="143" t="s">
        <v>2504</v>
      </c>
      <c r="K361" s="143" t="s">
        <v>2504</v>
      </c>
      <c r="L361" s="143" t="s">
        <v>2504</v>
      </c>
      <c r="M361" s="143" t="s">
        <v>2504</v>
      </c>
      <c r="N361" s="143" t="s">
        <v>2504</v>
      </c>
      <c r="O361" s="143" t="s">
        <v>2504</v>
      </c>
      <c r="P361" s="143" t="s">
        <v>2504</v>
      </c>
      <c r="Q361" s="148" t="s">
        <v>2121</v>
      </c>
      <c r="R361" s="148" t="s">
        <v>594</v>
      </c>
      <c r="S361" s="148" t="s">
        <v>643</v>
      </c>
      <c r="T361" s="149">
        <v>0.95</v>
      </c>
      <c r="U361" s="148" t="s">
        <v>596</v>
      </c>
      <c r="V361" s="150">
        <v>104.02</v>
      </c>
      <c r="W361" s="151">
        <v>1994.92</v>
      </c>
    </row>
    <row r="362" spans="1:23" ht="15" customHeight="1" x14ac:dyDescent="0.25">
      <c r="A362" s="148">
        <v>16064</v>
      </c>
      <c r="B362" s="148" t="s">
        <v>2122</v>
      </c>
      <c r="C362" s="143" t="s">
        <v>2504</v>
      </c>
      <c r="D362" s="143" t="s">
        <v>2504</v>
      </c>
      <c r="E362" s="143" t="s">
        <v>2504</v>
      </c>
      <c r="F362" s="143" t="s">
        <v>2504</v>
      </c>
      <c r="G362" s="143" t="s">
        <v>2504</v>
      </c>
      <c r="H362" s="143" t="s">
        <v>2504</v>
      </c>
      <c r="I362" s="143" t="s">
        <v>2504</v>
      </c>
      <c r="J362" s="143" t="s">
        <v>2504</v>
      </c>
      <c r="K362" s="143" t="s">
        <v>2504</v>
      </c>
      <c r="L362" s="143" t="s">
        <v>2504</v>
      </c>
      <c r="M362" s="143" t="s">
        <v>2504</v>
      </c>
      <c r="N362" s="143" t="s">
        <v>2504</v>
      </c>
      <c r="O362" s="143" t="s">
        <v>2504</v>
      </c>
      <c r="P362" s="143" t="s">
        <v>2504</v>
      </c>
      <c r="Q362" s="148" t="s">
        <v>2123</v>
      </c>
      <c r="R362" s="148" t="s">
        <v>594</v>
      </c>
      <c r="S362" s="148" t="s">
        <v>643</v>
      </c>
      <c r="T362" s="149">
        <v>5</v>
      </c>
      <c r="U362" s="148" t="s">
        <v>596</v>
      </c>
      <c r="V362" s="150">
        <v>548.75</v>
      </c>
      <c r="W362" s="151">
        <v>1991.66</v>
      </c>
    </row>
    <row r="363" spans="1:23" ht="15" customHeight="1" x14ac:dyDescent="0.25">
      <c r="A363" s="148">
        <v>16065</v>
      </c>
      <c r="B363" s="148" t="s">
        <v>2124</v>
      </c>
      <c r="C363" s="143" t="s">
        <v>2504</v>
      </c>
      <c r="D363" s="143" t="s">
        <v>2504</v>
      </c>
      <c r="E363" s="143" t="s">
        <v>2504</v>
      </c>
      <c r="F363" s="143" t="s">
        <v>2504</v>
      </c>
      <c r="G363" s="143" t="s">
        <v>2504</v>
      </c>
      <c r="H363" s="143" t="s">
        <v>2504</v>
      </c>
      <c r="I363" s="143" t="s">
        <v>2504</v>
      </c>
      <c r="J363" s="143" t="s">
        <v>2504</v>
      </c>
      <c r="K363" s="143" t="s">
        <v>2504</v>
      </c>
      <c r="L363" s="143" t="s">
        <v>2504</v>
      </c>
      <c r="M363" s="143" t="s">
        <v>2504</v>
      </c>
      <c r="N363" s="143" t="s">
        <v>2504</v>
      </c>
      <c r="O363" s="143" t="s">
        <v>2504</v>
      </c>
      <c r="P363" s="143" t="s">
        <v>2504</v>
      </c>
      <c r="Q363" s="148" t="s">
        <v>2125</v>
      </c>
      <c r="R363" s="148" t="s">
        <v>594</v>
      </c>
      <c r="S363" s="148" t="s">
        <v>759</v>
      </c>
      <c r="T363" s="149">
        <v>19</v>
      </c>
      <c r="U363" s="148" t="s">
        <v>596</v>
      </c>
      <c r="V363" s="150">
        <v>1985.51</v>
      </c>
      <c r="W363" s="151">
        <v>2099.7399999999998</v>
      </c>
    </row>
    <row r="364" spans="1:23" ht="15" customHeight="1" x14ac:dyDescent="0.25">
      <c r="A364" s="148">
        <v>16071</v>
      </c>
      <c r="B364" s="148" t="s">
        <v>2131</v>
      </c>
      <c r="C364" s="143" t="s">
        <v>2504</v>
      </c>
      <c r="D364" s="143" t="s">
        <v>2504</v>
      </c>
      <c r="E364" s="143" t="s">
        <v>2504</v>
      </c>
      <c r="F364" s="143" t="s">
        <v>2504</v>
      </c>
      <c r="G364" s="143" t="s">
        <v>2504</v>
      </c>
      <c r="H364" s="143" t="s">
        <v>2504</v>
      </c>
      <c r="I364" s="143" t="s">
        <v>2504</v>
      </c>
      <c r="J364" s="143" t="s">
        <v>2504</v>
      </c>
      <c r="K364" s="143" t="s">
        <v>2504</v>
      </c>
      <c r="L364" s="143" t="s">
        <v>2504</v>
      </c>
      <c r="M364" s="143" t="s">
        <v>2504</v>
      </c>
      <c r="N364" s="143" t="s">
        <v>2504</v>
      </c>
      <c r="O364" s="143" t="s">
        <v>2504</v>
      </c>
      <c r="P364" s="143" t="s">
        <v>2504</v>
      </c>
      <c r="Q364" s="148" t="s">
        <v>2132</v>
      </c>
      <c r="R364" s="148" t="s">
        <v>594</v>
      </c>
      <c r="S364" s="148" t="s">
        <v>2128</v>
      </c>
      <c r="T364" s="149">
        <v>200</v>
      </c>
      <c r="U364" s="148" t="s">
        <v>596</v>
      </c>
      <c r="V364" s="150">
        <v>25496.400000000001</v>
      </c>
      <c r="W364" s="151">
        <v>2086.9</v>
      </c>
    </row>
    <row r="365" spans="1:23" ht="15" customHeight="1" x14ac:dyDescent="0.25">
      <c r="A365" s="148">
        <v>16076</v>
      </c>
      <c r="B365" s="148" t="s">
        <v>2133</v>
      </c>
      <c r="C365" s="143" t="s">
        <v>2504</v>
      </c>
      <c r="D365" s="143" t="s">
        <v>2504</v>
      </c>
      <c r="E365" s="143" t="s">
        <v>2504</v>
      </c>
      <c r="F365" s="143" t="s">
        <v>2504</v>
      </c>
      <c r="G365" s="143" t="s">
        <v>2504</v>
      </c>
      <c r="H365" s="143" t="s">
        <v>2504</v>
      </c>
      <c r="I365" s="143" t="s">
        <v>2504</v>
      </c>
      <c r="J365" s="143" t="s">
        <v>2504</v>
      </c>
      <c r="K365" s="143" t="s">
        <v>2504</v>
      </c>
      <c r="L365" s="143" t="s">
        <v>2504</v>
      </c>
      <c r="M365" s="143" t="s">
        <v>2504</v>
      </c>
      <c r="N365" s="143" t="s">
        <v>2504</v>
      </c>
      <c r="O365" s="143" t="s">
        <v>2504</v>
      </c>
      <c r="P365" s="143" t="s">
        <v>2504</v>
      </c>
      <c r="Q365" s="148" t="s">
        <v>2134</v>
      </c>
      <c r="R365" s="148" t="s">
        <v>630</v>
      </c>
      <c r="S365" s="148" t="s">
        <v>830</v>
      </c>
      <c r="T365" s="149">
        <v>0.95</v>
      </c>
      <c r="U365" s="148" t="s">
        <v>596</v>
      </c>
      <c r="V365" s="150">
        <v>87.37</v>
      </c>
      <c r="W365" s="151">
        <v>2204.12</v>
      </c>
    </row>
    <row r="366" spans="1:23" ht="15" customHeight="1" x14ac:dyDescent="0.25">
      <c r="A366" s="148">
        <v>16078</v>
      </c>
      <c r="B366" s="148" t="s">
        <v>2137</v>
      </c>
      <c r="C366" s="143" t="s">
        <v>2504</v>
      </c>
      <c r="D366" s="143" t="s">
        <v>2504</v>
      </c>
      <c r="E366" s="143" t="s">
        <v>2504</v>
      </c>
      <c r="F366" s="143" t="s">
        <v>2504</v>
      </c>
      <c r="G366" s="143" t="s">
        <v>2504</v>
      </c>
      <c r="H366" s="143" t="s">
        <v>2504</v>
      </c>
      <c r="I366" s="143" t="s">
        <v>2504</v>
      </c>
      <c r="J366" s="143" t="s">
        <v>2504</v>
      </c>
      <c r="K366" s="143" t="s">
        <v>2504</v>
      </c>
      <c r="L366" s="143" t="s">
        <v>2504</v>
      </c>
      <c r="M366" s="143" t="s">
        <v>2504</v>
      </c>
      <c r="N366" s="143" t="s">
        <v>2504</v>
      </c>
      <c r="O366" s="143" t="s">
        <v>2504</v>
      </c>
      <c r="P366" s="143" t="s">
        <v>2504</v>
      </c>
      <c r="Q366" s="148" t="s">
        <v>2138</v>
      </c>
      <c r="R366" s="148" t="s">
        <v>630</v>
      </c>
      <c r="S366" s="148" t="s">
        <v>631</v>
      </c>
      <c r="T366" s="149">
        <v>0.95</v>
      </c>
      <c r="U366" s="148" t="s">
        <v>596</v>
      </c>
      <c r="V366" s="150">
        <v>81.900000000000006</v>
      </c>
      <c r="W366" s="151">
        <v>2326.5100000000002</v>
      </c>
    </row>
    <row r="367" spans="1:23" ht="15" customHeight="1" x14ac:dyDescent="0.25">
      <c r="A367" s="148">
        <v>16088</v>
      </c>
      <c r="B367" s="148" t="s">
        <v>2142</v>
      </c>
      <c r="C367" s="143" t="s">
        <v>2504</v>
      </c>
      <c r="D367" s="143" t="s">
        <v>2504</v>
      </c>
      <c r="E367" s="143" t="s">
        <v>2504</v>
      </c>
      <c r="F367" s="143" t="s">
        <v>2504</v>
      </c>
      <c r="G367" s="143" t="s">
        <v>2504</v>
      </c>
      <c r="H367" s="143" t="s">
        <v>2504</v>
      </c>
      <c r="I367" s="143" t="s">
        <v>2504</v>
      </c>
      <c r="J367" s="143" t="s">
        <v>2504</v>
      </c>
      <c r="K367" s="143" t="s">
        <v>2504</v>
      </c>
      <c r="L367" s="143" t="s">
        <v>2504</v>
      </c>
      <c r="M367" s="143" t="s">
        <v>2504</v>
      </c>
      <c r="N367" s="143" t="s">
        <v>2504</v>
      </c>
      <c r="O367" s="143" t="s">
        <v>2504</v>
      </c>
      <c r="P367" s="143" t="s">
        <v>2504</v>
      </c>
      <c r="Q367" s="148" t="s">
        <v>2143</v>
      </c>
      <c r="R367" s="148" t="s">
        <v>594</v>
      </c>
      <c r="S367" s="148" t="s">
        <v>2084</v>
      </c>
      <c r="T367" s="149">
        <v>0.95</v>
      </c>
      <c r="U367" s="148" t="s">
        <v>596</v>
      </c>
      <c r="V367" s="150">
        <v>138.13999999999999</v>
      </c>
      <c r="W367" s="151">
        <v>2579.52</v>
      </c>
    </row>
    <row r="368" spans="1:23" ht="15" customHeight="1" x14ac:dyDescent="0.25">
      <c r="A368" s="148">
        <v>16104</v>
      </c>
      <c r="B368" s="148" t="s">
        <v>2144</v>
      </c>
      <c r="C368" s="143" t="s">
        <v>2504</v>
      </c>
      <c r="D368" s="143" t="s">
        <v>2504</v>
      </c>
      <c r="E368" s="143" t="s">
        <v>2504</v>
      </c>
      <c r="F368" s="143" t="s">
        <v>2504</v>
      </c>
      <c r="G368" s="143" t="s">
        <v>2504</v>
      </c>
      <c r="H368" s="143" t="s">
        <v>2504</v>
      </c>
      <c r="I368" s="143" t="s">
        <v>2504</v>
      </c>
      <c r="J368" s="143" t="s">
        <v>2504</v>
      </c>
      <c r="K368" s="143" t="s">
        <v>2504</v>
      </c>
      <c r="L368" s="143" t="s">
        <v>2504</v>
      </c>
      <c r="M368" s="143" t="s">
        <v>2504</v>
      </c>
      <c r="N368" s="143" t="s">
        <v>2504</v>
      </c>
      <c r="O368" s="143" t="s">
        <v>2504</v>
      </c>
      <c r="P368" s="143" t="s">
        <v>2504</v>
      </c>
      <c r="Q368" s="148" t="s">
        <v>2145</v>
      </c>
      <c r="R368" s="148" t="s">
        <v>630</v>
      </c>
      <c r="S368" s="148" t="s">
        <v>830</v>
      </c>
      <c r="T368" s="149">
        <v>4</v>
      </c>
      <c r="U368" s="148" t="s">
        <v>596</v>
      </c>
      <c r="V368" s="150">
        <v>359.55</v>
      </c>
      <c r="W368" s="151">
        <v>2803.94</v>
      </c>
    </row>
    <row r="369" spans="1:23" ht="15" customHeight="1" x14ac:dyDescent="0.25">
      <c r="A369" s="148">
        <v>16122</v>
      </c>
      <c r="B369" s="148" t="s">
        <v>2167</v>
      </c>
      <c r="C369" s="143" t="s">
        <v>2504</v>
      </c>
      <c r="D369" s="143" t="s">
        <v>2504</v>
      </c>
      <c r="E369" s="143" t="s">
        <v>2504</v>
      </c>
      <c r="F369" s="143" t="s">
        <v>2504</v>
      </c>
      <c r="G369" s="143" t="s">
        <v>2504</v>
      </c>
      <c r="H369" s="143" t="s">
        <v>2504</v>
      </c>
      <c r="I369" s="143" t="s">
        <v>2504</v>
      </c>
      <c r="J369" s="143" t="s">
        <v>2504</v>
      </c>
      <c r="K369" s="143" t="s">
        <v>2504</v>
      </c>
      <c r="L369" s="143" t="s">
        <v>2504</v>
      </c>
      <c r="M369" s="143" t="s">
        <v>2504</v>
      </c>
      <c r="N369" s="143" t="s">
        <v>2504</v>
      </c>
      <c r="O369" s="143" t="s">
        <v>2504</v>
      </c>
      <c r="P369" s="143" t="s">
        <v>2504</v>
      </c>
      <c r="Q369" s="148" t="s">
        <v>2168</v>
      </c>
      <c r="R369" s="148" t="s">
        <v>630</v>
      </c>
      <c r="S369" s="148" t="s">
        <v>840</v>
      </c>
      <c r="T369" s="149">
        <v>19</v>
      </c>
      <c r="U369" s="148" t="s">
        <v>596</v>
      </c>
      <c r="V369" s="150">
        <v>2291.37</v>
      </c>
      <c r="W369" s="151">
        <v>1985.19</v>
      </c>
    </row>
    <row r="370" spans="1:23" ht="15" customHeight="1" x14ac:dyDescent="0.25">
      <c r="A370" s="148">
        <v>16123</v>
      </c>
      <c r="B370" s="148" t="s">
        <v>2169</v>
      </c>
      <c r="C370" s="143" t="s">
        <v>2504</v>
      </c>
      <c r="D370" s="143" t="s">
        <v>2504</v>
      </c>
      <c r="E370" s="143" t="s">
        <v>2504</v>
      </c>
      <c r="F370" s="143" t="s">
        <v>2504</v>
      </c>
      <c r="G370" s="143" t="s">
        <v>2504</v>
      </c>
      <c r="H370" s="143" t="s">
        <v>2504</v>
      </c>
      <c r="I370" s="143" t="s">
        <v>2504</v>
      </c>
      <c r="J370" s="143" t="s">
        <v>2504</v>
      </c>
      <c r="K370" s="143" t="s">
        <v>2504</v>
      </c>
      <c r="L370" s="143" t="s">
        <v>2504</v>
      </c>
      <c r="M370" s="143" t="s">
        <v>2504</v>
      </c>
      <c r="N370" s="143" t="s">
        <v>2504</v>
      </c>
      <c r="O370" s="143" t="s">
        <v>2504</v>
      </c>
      <c r="P370" s="143" t="s">
        <v>2504</v>
      </c>
      <c r="Q370" s="148" t="s">
        <v>2170</v>
      </c>
      <c r="R370" s="148" t="s">
        <v>630</v>
      </c>
      <c r="S370" s="148" t="s">
        <v>840</v>
      </c>
      <c r="T370" s="149">
        <v>200</v>
      </c>
      <c r="U370" s="148" t="s">
        <v>596</v>
      </c>
      <c r="V370" s="150">
        <v>24001.62</v>
      </c>
      <c r="W370" s="151">
        <v>2060.83</v>
      </c>
    </row>
    <row r="371" spans="1:23" ht="15" customHeight="1" x14ac:dyDescent="0.25">
      <c r="A371" s="148">
        <v>16124</v>
      </c>
      <c r="B371" s="148" t="s">
        <v>2171</v>
      </c>
      <c r="C371" s="143" t="s">
        <v>2504</v>
      </c>
      <c r="D371" s="143" t="s">
        <v>2504</v>
      </c>
      <c r="E371" s="143" t="s">
        <v>2504</v>
      </c>
      <c r="F371" s="143" t="s">
        <v>2504</v>
      </c>
      <c r="G371" s="143" t="s">
        <v>2504</v>
      </c>
      <c r="H371" s="143" t="s">
        <v>2504</v>
      </c>
      <c r="I371" s="143" t="s">
        <v>2504</v>
      </c>
      <c r="J371" s="143" t="s">
        <v>2504</v>
      </c>
      <c r="K371" s="143" t="s">
        <v>2504</v>
      </c>
      <c r="L371" s="143" t="s">
        <v>2504</v>
      </c>
      <c r="M371" s="143" t="s">
        <v>2504</v>
      </c>
      <c r="N371" s="143" t="s">
        <v>2504</v>
      </c>
      <c r="O371" s="143" t="s">
        <v>2504</v>
      </c>
      <c r="P371" s="143" t="s">
        <v>2504</v>
      </c>
      <c r="Q371" s="148" t="s">
        <v>2172</v>
      </c>
      <c r="R371" s="148" t="s">
        <v>630</v>
      </c>
      <c r="S371" s="148" t="s">
        <v>840</v>
      </c>
      <c r="T371" s="149">
        <v>1</v>
      </c>
      <c r="U371" s="148" t="s">
        <v>596</v>
      </c>
      <c r="V371" s="150">
        <v>115.24</v>
      </c>
      <c r="W371" s="151">
        <v>2075.19</v>
      </c>
    </row>
    <row r="372" spans="1:23" ht="15" customHeight="1" x14ac:dyDescent="0.25">
      <c r="A372" s="148">
        <v>16145</v>
      </c>
      <c r="B372" s="148" t="s">
        <v>2185</v>
      </c>
      <c r="C372" s="143" t="s">
        <v>2504</v>
      </c>
      <c r="D372" s="143" t="s">
        <v>2504</v>
      </c>
      <c r="E372" s="143" t="s">
        <v>2504</v>
      </c>
      <c r="F372" s="143" t="s">
        <v>2504</v>
      </c>
      <c r="G372" s="143" t="s">
        <v>2504</v>
      </c>
      <c r="H372" s="143" t="s">
        <v>2504</v>
      </c>
      <c r="I372" s="143" t="s">
        <v>2504</v>
      </c>
      <c r="J372" s="143" t="s">
        <v>2504</v>
      </c>
      <c r="K372" s="143" t="s">
        <v>2504</v>
      </c>
      <c r="L372" s="143" t="s">
        <v>2504</v>
      </c>
      <c r="M372" s="143" t="s">
        <v>2504</v>
      </c>
      <c r="N372" s="143" t="s">
        <v>2504</v>
      </c>
      <c r="O372" s="143" t="s">
        <v>2504</v>
      </c>
      <c r="P372" s="143" t="s">
        <v>2504</v>
      </c>
      <c r="Q372" s="148" t="s">
        <v>2186</v>
      </c>
      <c r="R372" s="148" t="s">
        <v>594</v>
      </c>
      <c r="S372" s="148" t="s">
        <v>2084</v>
      </c>
      <c r="T372" s="149">
        <v>0.95</v>
      </c>
      <c r="U372" s="148" t="s">
        <v>596</v>
      </c>
      <c r="V372" s="150">
        <v>137.83000000000001</v>
      </c>
      <c r="W372" s="151">
        <v>2084.96</v>
      </c>
    </row>
    <row r="373" spans="1:23" ht="15" customHeight="1" x14ac:dyDescent="0.25">
      <c r="A373" s="148">
        <v>16146</v>
      </c>
      <c r="B373" s="148" t="s">
        <v>2187</v>
      </c>
      <c r="C373" s="143" t="s">
        <v>2504</v>
      </c>
      <c r="D373" s="143" t="s">
        <v>2504</v>
      </c>
      <c r="E373" s="143" t="s">
        <v>2504</v>
      </c>
      <c r="F373" s="143" t="s">
        <v>2504</v>
      </c>
      <c r="G373" s="143" t="s">
        <v>2504</v>
      </c>
      <c r="H373" s="143" t="s">
        <v>2504</v>
      </c>
      <c r="I373" s="143" t="s">
        <v>2504</v>
      </c>
      <c r="J373" s="143" t="s">
        <v>2504</v>
      </c>
      <c r="K373" s="143" t="s">
        <v>2504</v>
      </c>
      <c r="L373" s="143" t="s">
        <v>2504</v>
      </c>
      <c r="M373" s="143" t="s">
        <v>2504</v>
      </c>
      <c r="N373" s="143" t="s">
        <v>2504</v>
      </c>
      <c r="O373" s="143" t="s">
        <v>2504</v>
      </c>
      <c r="P373" s="143" t="s">
        <v>2504</v>
      </c>
      <c r="Q373" s="148" t="s">
        <v>2188</v>
      </c>
      <c r="R373" s="148" t="s">
        <v>594</v>
      </c>
      <c r="S373" s="148" t="s">
        <v>2084</v>
      </c>
      <c r="T373" s="149">
        <v>0.95</v>
      </c>
      <c r="U373" s="148" t="s">
        <v>596</v>
      </c>
      <c r="V373" s="150">
        <v>159.35</v>
      </c>
      <c r="W373" s="151">
        <v>3490.84</v>
      </c>
    </row>
    <row r="374" spans="1:23" ht="15" customHeight="1" x14ac:dyDescent="0.25">
      <c r="A374" s="148">
        <v>16147</v>
      </c>
      <c r="B374" s="148" t="s">
        <v>2189</v>
      </c>
      <c r="C374" s="143" t="s">
        <v>2504</v>
      </c>
      <c r="D374" s="143" t="s">
        <v>2504</v>
      </c>
      <c r="E374" s="143" t="s">
        <v>2504</v>
      </c>
      <c r="F374" s="143" t="s">
        <v>2504</v>
      </c>
      <c r="G374" s="143" t="s">
        <v>2504</v>
      </c>
      <c r="H374" s="143" t="s">
        <v>2504</v>
      </c>
      <c r="I374" s="143" t="s">
        <v>2504</v>
      </c>
      <c r="J374" s="143" t="s">
        <v>2504</v>
      </c>
      <c r="K374" s="143" t="s">
        <v>2504</v>
      </c>
      <c r="L374" s="143" t="s">
        <v>2504</v>
      </c>
      <c r="M374" s="143" t="s">
        <v>2504</v>
      </c>
      <c r="N374" s="143" t="s">
        <v>2504</v>
      </c>
      <c r="O374" s="143" t="s">
        <v>2504</v>
      </c>
      <c r="P374" s="143" t="s">
        <v>2504</v>
      </c>
      <c r="Q374" s="148" t="s">
        <v>2190</v>
      </c>
      <c r="R374" s="148" t="s">
        <v>594</v>
      </c>
      <c r="S374" s="148" t="s">
        <v>2084</v>
      </c>
      <c r="T374" s="149">
        <v>0.95</v>
      </c>
      <c r="U374" s="148" t="s">
        <v>596</v>
      </c>
      <c r="V374" s="150">
        <v>150.51</v>
      </c>
      <c r="W374" s="151">
        <v>3577.99</v>
      </c>
    </row>
    <row r="375" spans="1:23" ht="15" customHeight="1" x14ac:dyDescent="0.25">
      <c r="A375" s="148">
        <v>16200</v>
      </c>
      <c r="B375" s="148" t="s">
        <v>2197</v>
      </c>
      <c r="C375" s="143" t="s">
        <v>2504</v>
      </c>
      <c r="D375" s="143" t="s">
        <v>2504</v>
      </c>
      <c r="E375" s="143" t="s">
        <v>2504</v>
      </c>
      <c r="F375" s="143" t="s">
        <v>2504</v>
      </c>
      <c r="G375" s="143" t="s">
        <v>2504</v>
      </c>
      <c r="H375" s="143" t="s">
        <v>2504</v>
      </c>
      <c r="I375" s="143" t="s">
        <v>2504</v>
      </c>
      <c r="J375" s="143" t="s">
        <v>2504</v>
      </c>
      <c r="K375" s="143" t="s">
        <v>2504</v>
      </c>
      <c r="L375" s="143" t="s">
        <v>2504</v>
      </c>
      <c r="M375" s="143" t="s">
        <v>2504</v>
      </c>
      <c r="N375" s="143" t="s">
        <v>2504</v>
      </c>
      <c r="O375" s="143" t="s">
        <v>2504</v>
      </c>
      <c r="P375" s="143" t="s">
        <v>2504</v>
      </c>
      <c r="Q375" s="148" t="s">
        <v>2198</v>
      </c>
      <c r="R375" s="148" t="s">
        <v>589</v>
      </c>
      <c r="S375" s="148" t="s">
        <v>590</v>
      </c>
      <c r="T375" s="149">
        <v>0.95</v>
      </c>
      <c r="U375" s="148" t="s">
        <v>596</v>
      </c>
      <c r="V375" s="150">
        <v>43.23</v>
      </c>
      <c r="W375" s="151">
        <v>3900.27</v>
      </c>
    </row>
    <row r="376" spans="1:23" ht="15" customHeight="1" x14ac:dyDescent="0.25">
      <c r="A376" s="148">
        <v>16309</v>
      </c>
      <c r="B376" s="148" t="s">
        <v>2217</v>
      </c>
      <c r="C376" s="143" t="s">
        <v>2504</v>
      </c>
      <c r="D376" s="143" t="s">
        <v>2504</v>
      </c>
      <c r="E376" s="143" t="s">
        <v>2504</v>
      </c>
      <c r="F376" s="143" t="s">
        <v>2504</v>
      </c>
      <c r="G376" s="143" t="s">
        <v>2504</v>
      </c>
      <c r="H376" s="143" t="s">
        <v>2504</v>
      </c>
      <c r="I376" s="143" t="s">
        <v>2504</v>
      </c>
      <c r="J376" s="143" t="s">
        <v>2504</v>
      </c>
      <c r="K376" s="143" t="s">
        <v>2504</v>
      </c>
      <c r="L376" s="143" t="s">
        <v>2504</v>
      </c>
      <c r="M376" s="143" t="s">
        <v>2504</v>
      </c>
      <c r="N376" s="143" t="s">
        <v>2504</v>
      </c>
      <c r="O376" s="143" t="s">
        <v>2504</v>
      </c>
      <c r="P376" s="143" t="s">
        <v>2504</v>
      </c>
      <c r="Q376" s="148" t="s">
        <v>2218</v>
      </c>
      <c r="R376" s="148" t="s">
        <v>594</v>
      </c>
      <c r="S376" s="148" t="s">
        <v>2214</v>
      </c>
      <c r="T376" s="149">
        <v>5</v>
      </c>
      <c r="U376" s="148" t="s">
        <v>596</v>
      </c>
      <c r="V376" s="150">
        <v>641.89</v>
      </c>
      <c r="W376" s="151">
        <v>3453.49</v>
      </c>
    </row>
    <row r="377" spans="1:23" ht="15" customHeight="1" x14ac:dyDescent="0.25">
      <c r="A377" s="148">
        <v>16312</v>
      </c>
      <c r="B377" s="148" t="s">
        <v>2221</v>
      </c>
      <c r="C377" s="143" t="s">
        <v>2504</v>
      </c>
      <c r="D377" s="143" t="s">
        <v>2504</v>
      </c>
      <c r="E377" s="143" t="s">
        <v>2504</v>
      </c>
      <c r="F377" s="143" t="s">
        <v>2504</v>
      </c>
      <c r="G377" s="143" t="s">
        <v>2504</v>
      </c>
      <c r="H377" s="143" t="s">
        <v>2504</v>
      </c>
      <c r="I377" s="143" t="s">
        <v>2504</v>
      </c>
      <c r="J377" s="143" t="s">
        <v>2504</v>
      </c>
      <c r="K377" s="143" t="s">
        <v>2504</v>
      </c>
      <c r="L377" s="143" t="s">
        <v>2504</v>
      </c>
      <c r="M377" s="143" t="s">
        <v>2504</v>
      </c>
      <c r="N377" s="143" t="s">
        <v>2504</v>
      </c>
      <c r="O377" s="143" t="s">
        <v>2504</v>
      </c>
      <c r="P377" s="143" t="s">
        <v>2504</v>
      </c>
      <c r="Q377" s="148" t="s">
        <v>2222</v>
      </c>
      <c r="R377" s="148" t="s">
        <v>594</v>
      </c>
      <c r="S377" s="148" t="s">
        <v>2214</v>
      </c>
      <c r="T377" s="149">
        <v>5</v>
      </c>
      <c r="U377" s="148" t="s">
        <v>596</v>
      </c>
      <c r="V377" s="150">
        <v>688.39</v>
      </c>
      <c r="W377" s="151">
        <v>1969.75</v>
      </c>
    </row>
    <row r="378" spans="1:23" ht="15" customHeight="1" x14ac:dyDescent="0.25">
      <c r="A378" s="148">
        <v>16606</v>
      </c>
      <c r="B378" s="148" t="s">
        <v>2280</v>
      </c>
      <c r="C378" s="143" t="s">
        <v>2504</v>
      </c>
      <c r="D378" s="143" t="s">
        <v>2504</v>
      </c>
      <c r="E378" s="143" t="s">
        <v>2504</v>
      </c>
      <c r="F378" s="143" t="s">
        <v>2504</v>
      </c>
      <c r="G378" s="143" t="s">
        <v>2504</v>
      </c>
      <c r="H378" s="143" t="s">
        <v>2504</v>
      </c>
      <c r="I378" s="143" t="s">
        <v>2504</v>
      </c>
      <c r="J378" s="143" t="s">
        <v>2504</v>
      </c>
      <c r="K378" s="143" t="s">
        <v>2504</v>
      </c>
      <c r="L378" s="143" t="s">
        <v>2504</v>
      </c>
      <c r="M378" s="143" t="s">
        <v>2504</v>
      </c>
      <c r="N378" s="143" t="s">
        <v>2504</v>
      </c>
      <c r="O378" s="143" t="s">
        <v>2504</v>
      </c>
      <c r="P378" s="143" t="s">
        <v>2504</v>
      </c>
      <c r="Q378" s="148" t="s">
        <v>2281</v>
      </c>
      <c r="R378" s="148" t="s">
        <v>594</v>
      </c>
      <c r="S378" s="148" t="s">
        <v>2279</v>
      </c>
      <c r="T378" s="149">
        <v>19</v>
      </c>
      <c r="U378" s="148" t="s">
        <v>596</v>
      </c>
      <c r="V378" s="150">
        <v>4063.02</v>
      </c>
      <c r="W378" s="151">
        <v>2037.81</v>
      </c>
    </row>
    <row r="379" spans="1:23" ht="15" customHeight="1" x14ac:dyDescent="0.25">
      <c r="A379" s="148">
        <v>16607</v>
      </c>
      <c r="B379" s="148" t="s">
        <v>2282</v>
      </c>
      <c r="C379" s="143" t="s">
        <v>2504</v>
      </c>
      <c r="D379" s="143" t="s">
        <v>2504</v>
      </c>
      <c r="E379" s="143" t="s">
        <v>2504</v>
      </c>
      <c r="F379" s="143" t="s">
        <v>2504</v>
      </c>
      <c r="G379" s="143" t="s">
        <v>2504</v>
      </c>
      <c r="H379" s="143" t="s">
        <v>2504</v>
      </c>
      <c r="I379" s="143" t="s">
        <v>2504</v>
      </c>
      <c r="J379" s="143" t="s">
        <v>2504</v>
      </c>
      <c r="K379" s="143" t="s">
        <v>2504</v>
      </c>
      <c r="L379" s="143" t="s">
        <v>2504</v>
      </c>
      <c r="M379" s="143" t="s">
        <v>2504</v>
      </c>
      <c r="N379" s="143" t="s">
        <v>2504</v>
      </c>
      <c r="O379" s="143" t="s">
        <v>2504</v>
      </c>
      <c r="P379" s="143" t="s">
        <v>2504</v>
      </c>
      <c r="Q379" s="148" t="s">
        <v>2283</v>
      </c>
      <c r="R379" s="148" t="s">
        <v>594</v>
      </c>
      <c r="S379" s="148" t="s">
        <v>2279</v>
      </c>
      <c r="T379" s="149">
        <v>19</v>
      </c>
      <c r="U379" s="148" t="s">
        <v>596</v>
      </c>
      <c r="V379" s="150">
        <v>4016.32</v>
      </c>
      <c r="W379" s="151">
        <v>2051.9299999999998</v>
      </c>
    </row>
    <row r="380" spans="1:23" ht="15" customHeight="1" x14ac:dyDescent="0.25">
      <c r="A380" s="148">
        <v>16608</v>
      </c>
      <c r="B380" s="148" t="s">
        <v>2284</v>
      </c>
      <c r="C380" s="143" t="s">
        <v>2504</v>
      </c>
      <c r="D380" s="143" t="s">
        <v>2504</v>
      </c>
      <c r="E380" s="143" t="s">
        <v>2504</v>
      </c>
      <c r="F380" s="143" t="s">
        <v>2504</v>
      </c>
      <c r="G380" s="143" t="s">
        <v>2504</v>
      </c>
      <c r="H380" s="143" t="s">
        <v>2504</v>
      </c>
      <c r="I380" s="143" t="s">
        <v>2504</v>
      </c>
      <c r="J380" s="143" t="s">
        <v>2504</v>
      </c>
      <c r="K380" s="143" t="s">
        <v>2504</v>
      </c>
      <c r="L380" s="143" t="s">
        <v>2504</v>
      </c>
      <c r="M380" s="143" t="s">
        <v>2504</v>
      </c>
      <c r="N380" s="143" t="s">
        <v>2504</v>
      </c>
      <c r="O380" s="143" t="s">
        <v>2504</v>
      </c>
      <c r="P380" s="143" t="s">
        <v>2504</v>
      </c>
      <c r="Q380" s="148" t="s">
        <v>2285</v>
      </c>
      <c r="R380" s="148" t="s">
        <v>594</v>
      </c>
      <c r="S380" s="148" t="s">
        <v>2091</v>
      </c>
      <c r="T380" s="149">
        <v>19</v>
      </c>
      <c r="U380" s="148" t="s">
        <v>596</v>
      </c>
      <c r="V380" s="150">
        <v>3359.79</v>
      </c>
      <c r="W380" s="151">
        <v>2068.5100000000002</v>
      </c>
    </row>
    <row r="381" spans="1:23" ht="15" customHeight="1" x14ac:dyDescent="0.25">
      <c r="A381" s="148">
        <v>16609</v>
      </c>
      <c r="B381" s="148" t="s">
        <v>2286</v>
      </c>
      <c r="C381" s="143" t="s">
        <v>2504</v>
      </c>
      <c r="D381" s="143" t="s">
        <v>2504</v>
      </c>
      <c r="E381" s="143" t="s">
        <v>2504</v>
      </c>
      <c r="F381" s="143" t="s">
        <v>2504</v>
      </c>
      <c r="G381" s="143" t="s">
        <v>2504</v>
      </c>
      <c r="H381" s="143" t="s">
        <v>2504</v>
      </c>
      <c r="I381" s="143" t="s">
        <v>2504</v>
      </c>
      <c r="J381" s="143" t="s">
        <v>2504</v>
      </c>
      <c r="K381" s="143" t="s">
        <v>2504</v>
      </c>
      <c r="L381" s="143" t="s">
        <v>2504</v>
      </c>
      <c r="M381" s="143" t="s">
        <v>2504</v>
      </c>
      <c r="N381" s="143" t="s">
        <v>2504</v>
      </c>
      <c r="O381" s="143" t="s">
        <v>2504</v>
      </c>
      <c r="P381" s="143" t="s">
        <v>2504</v>
      </c>
      <c r="Q381" s="148" t="s">
        <v>2287</v>
      </c>
      <c r="R381" s="148" t="s">
        <v>594</v>
      </c>
      <c r="S381" s="148" t="s">
        <v>2214</v>
      </c>
      <c r="T381" s="149">
        <v>19</v>
      </c>
      <c r="U381" s="148" t="s">
        <v>596</v>
      </c>
      <c r="V381" s="150">
        <v>2464.8000000000002</v>
      </c>
      <c r="W381" s="151">
        <v>2066.7600000000002</v>
      </c>
    </row>
    <row r="382" spans="1:23" ht="15" customHeight="1" x14ac:dyDescent="0.25">
      <c r="A382" s="148">
        <v>16610</v>
      </c>
      <c r="B382" s="148" t="s">
        <v>2288</v>
      </c>
      <c r="C382" s="143" t="s">
        <v>2504</v>
      </c>
      <c r="D382" s="143" t="s">
        <v>2504</v>
      </c>
      <c r="E382" s="143" t="s">
        <v>2504</v>
      </c>
      <c r="F382" s="143" t="s">
        <v>2504</v>
      </c>
      <c r="G382" s="143" t="s">
        <v>2504</v>
      </c>
      <c r="H382" s="143" t="s">
        <v>2504</v>
      </c>
      <c r="I382" s="143" t="s">
        <v>2504</v>
      </c>
      <c r="J382" s="143" t="s">
        <v>2504</v>
      </c>
      <c r="K382" s="143" t="s">
        <v>2504</v>
      </c>
      <c r="L382" s="143" t="s">
        <v>2504</v>
      </c>
      <c r="M382" s="143" t="s">
        <v>2504</v>
      </c>
      <c r="N382" s="143" t="s">
        <v>2504</v>
      </c>
      <c r="O382" s="143" t="s">
        <v>2504</v>
      </c>
      <c r="P382" s="143" t="s">
        <v>2504</v>
      </c>
      <c r="Q382" s="148" t="s">
        <v>2289</v>
      </c>
      <c r="R382" s="148" t="s">
        <v>594</v>
      </c>
      <c r="S382" s="148" t="s">
        <v>2214</v>
      </c>
      <c r="T382" s="149">
        <v>19</v>
      </c>
      <c r="U382" s="148" t="s">
        <v>596</v>
      </c>
      <c r="V382" s="150">
        <v>2702.86</v>
      </c>
      <c r="W382" s="151">
        <v>2071.3000000000002</v>
      </c>
    </row>
    <row r="383" spans="1:23" ht="15" customHeight="1" x14ac:dyDescent="0.25">
      <c r="A383" s="148">
        <v>16707</v>
      </c>
      <c r="B383" s="148" t="s">
        <v>2303</v>
      </c>
      <c r="C383" s="143" t="s">
        <v>2504</v>
      </c>
      <c r="D383" s="143" t="s">
        <v>2504</v>
      </c>
      <c r="E383" s="143" t="s">
        <v>2504</v>
      </c>
      <c r="F383" s="143" t="s">
        <v>2504</v>
      </c>
      <c r="G383" s="143" t="s">
        <v>2504</v>
      </c>
      <c r="H383" s="143" t="s">
        <v>2504</v>
      </c>
      <c r="I383" s="143" t="s">
        <v>2504</v>
      </c>
      <c r="J383" s="143" t="s">
        <v>2504</v>
      </c>
      <c r="K383" s="143" t="s">
        <v>2504</v>
      </c>
      <c r="L383" s="143" t="s">
        <v>2504</v>
      </c>
      <c r="M383" s="143" t="s">
        <v>2504</v>
      </c>
      <c r="N383" s="143" t="s">
        <v>2504</v>
      </c>
      <c r="O383" s="143" t="s">
        <v>2504</v>
      </c>
      <c r="P383" s="143" t="s">
        <v>2504</v>
      </c>
      <c r="Q383" s="148" t="s">
        <v>2304</v>
      </c>
      <c r="R383" s="148" t="s">
        <v>594</v>
      </c>
      <c r="S383" s="148" t="s">
        <v>2279</v>
      </c>
      <c r="T383" s="149">
        <v>200</v>
      </c>
      <c r="U383" s="148" t="s">
        <v>596</v>
      </c>
      <c r="V383" s="150">
        <v>42743.35</v>
      </c>
      <c r="W383" s="151">
        <v>2067.7399999999998</v>
      </c>
    </row>
    <row r="384" spans="1:23" ht="15" customHeight="1" x14ac:dyDescent="0.25">
      <c r="A384" s="148">
        <v>16709</v>
      </c>
      <c r="B384" s="148" t="s">
        <v>2305</v>
      </c>
      <c r="C384" s="143" t="s">
        <v>2504</v>
      </c>
      <c r="D384" s="143" t="s">
        <v>2504</v>
      </c>
      <c r="E384" s="143" t="s">
        <v>2504</v>
      </c>
      <c r="F384" s="143" t="s">
        <v>2504</v>
      </c>
      <c r="G384" s="143" t="s">
        <v>2504</v>
      </c>
      <c r="H384" s="143" t="s">
        <v>2504</v>
      </c>
      <c r="I384" s="143" t="s">
        <v>2504</v>
      </c>
      <c r="J384" s="143" t="s">
        <v>2504</v>
      </c>
      <c r="K384" s="143" t="s">
        <v>2504</v>
      </c>
      <c r="L384" s="143" t="s">
        <v>2504</v>
      </c>
      <c r="M384" s="143" t="s">
        <v>2504</v>
      </c>
      <c r="N384" s="143" t="s">
        <v>2504</v>
      </c>
      <c r="O384" s="143" t="s">
        <v>2504</v>
      </c>
      <c r="P384" s="143" t="s">
        <v>2504</v>
      </c>
      <c r="Q384" s="148" t="s">
        <v>2306</v>
      </c>
      <c r="R384" s="148" t="s">
        <v>594</v>
      </c>
      <c r="S384" s="148" t="s">
        <v>2091</v>
      </c>
      <c r="T384" s="149">
        <v>200</v>
      </c>
      <c r="U384" s="148" t="s">
        <v>596</v>
      </c>
      <c r="V384" s="150">
        <v>35340.81</v>
      </c>
      <c r="W384" s="151">
        <v>2111.61</v>
      </c>
    </row>
    <row r="385" spans="1:23" ht="15" customHeight="1" x14ac:dyDescent="0.25">
      <c r="A385" s="148">
        <v>16711</v>
      </c>
      <c r="B385" s="148" t="s">
        <v>2307</v>
      </c>
      <c r="C385" s="143" t="s">
        <v>2504</v>
      </c>
      <c r="D385" s="143" t="s">
        <v>2504</v>
      </c>
      <c r="E385" s="143" t="s">
        <v>2504</v>
      </c>
      <c r="F385" s="143" t="s">
        <v>2504</v>
      </c>
      <c r="G385" s="143" t="s">
        <v>2504</v>
      </c>
      <c r="H385" s="143" t="s">
        <v>2504</v>
      </c>
      <c r="I385" s="143" t="s">
        <v>2504</v>
      </c>
      <c r="J385" s="143" t="s">
        <v>2504</v>
      </c>
      <c r="K385" s="143" t="s">
        <v>2504</v>
      </c>
      <c r="L385" s="143" t="s">
        <v>2504</v>
      </c>
      <c r="M385" s="143" t="s">
        <v>2504</v>
      </c>
      <c r="N385" s="143" t="s">
        <v>2504</v>
      </c>
      <c r="O385" s="143" t="s">
        <v>2504</v>
      </c>
      <c r="P385" s="143" t="s">
        <v>2504</v>
      </c>
      <c r="Q385" s="148" t="s">
        <v>2308</v>
      </c>
      <c r="R385" s="148" t="s">
        <v>594</v>
      </c>
      <c r="S385" s="148" t="s">
        <v>2214</v>
      </c>
      <c r="T385" s="149">
        <v>200</v>
      </c>
      <c r="U385" s="148" t="s">
        <v>596</v>
      </c>
      <c r="V385" s="150">
        <v>28551.7</v>
      </c>
      <c r="W385" s="151">
        <v>2109.52</v>
      </c>
    </row>
    <row r="386" spans="1:23" ht="15" customHeight="1" x14ac:dyDescent="0.25">
      <c r="A386" s="148">
        <v>16712</v>
      </c>
      <c r="B386" s="148" t="s">
        <v>2309</v>
      </c>
      <c r="C386" s="143" t="s">
        <v>2504</v>
      </c>
      <c r="D386" s="143" t="s">
        <v>2504</v>
      </c>
      <c r="E386" s="143" t="s">
        <v>2504</v>
      </c>
      <c r="F386" s="143" t="s">
        <v>2504</v>
      </c>
      <c r="G386" s="143" t="s">
        <v>2504</v>
      </c>
      <c r="H386" s="143" t="s">
        <v>2504</v>
      </c>
      <c r="I386" s="143" t="s">
        <v>2504</v>
      </c>
      <c r="J386" s="143" t="s">
        <v>2504</v>
      </c>
      <c r="K386" s="143" t="s">
        <v>2504</v>
      </c>
      <c r="L386" s="143" t="s">
        <v>2504</v>
      </c>
      <c r="M386" s="143" t="s">
        <v>2504</v>
      </c>
      <c r="N386" s="143" t="s">
        <v>2504</v>
      </c>
      <c r="O386" s="143" t="s">
        <v>2504</v>
      </c>
      <c r="P386" s="143" t="s">
        <v>2504</v>
      </c>
      <c r="Q386" s="148" t="s">
        <v>2310</v>
      </c>
      <c r="R386" s="148" t="s">
        <v>594</v>
      </c>
      <c r="S386" s="148" t="s">
        <v>2214</v>
      </c>
      <c r="T386" s="149">
        <v>200</v>
      </c>
      <c r="U386" s="148" t="s">
        <v>596</v>
      </c>
      <c r="V386" s="150">
        <v>25013.4</v>
      </c>
      <c r="W386" s="151">
        <v>1928.44</v>
      </c>
    </row>
    <row r="387" spans="1:23" ht="15" customHeight="1" x14ac:dyDescent="0.25">
      <c r="A387" s="148">
        <v>16716</v>
      </c>
      <c r="B387" s="148" t="s">
        <v>2312</v>
      </c>
      <c r="C387" s="143" t="s">
        <v>2504</v>
      </c>
      <c r="D387" s="143" t="s">
        <v>2504</v>
      </c>
      <c r="E387" s="143" t="s">
        <v>2504</v>
      </c>
      <c r="F387" s="143" t="s">
        <v>2504</v>
      </c>
      <c r="G387" s="143" t="s">
        <v>2504</v>
      </c>
      <c r="H387" s="143" t="s">
        <v>2504</v>
      </c>
      <c r="I387" s="143" t="s">
        <v>2504</v>
      </c>
      <c r="J387" s="143" t="s">
        <v>2504</v>
      </c>
      <c r="K387" s="143" t="s">
        <v>2504</v>
      </c>
      <c r="L387" s="143" t="s">
        <v>2504</v>
      </c>
      <c r="M387" s="143" t="s">
        <v>2504</v>
      </c>
      <c r="N387" s="143" t="s">
        <v>2504</v>
      </c>
      <c r="O387" s="143" t="s">
        <v>2504</v>
      </c>
      <c r="P387" s="143" t="s">
        <v>2504</v>
      </c>
      <c r="Q387" s="148" t="s">
        <v>2313</v>
      </c>
      <c r="R387" s="148" t="s">
        <v>594</v>
      </c>
      <c r="S387" s="148" t="s">
        <v>2214</v>
      </c>
      <c r="T387" s="149">
        <v>200</v>
      </c>
      <c r="U387" s="148" t="s">
        <v>596</v>
      </c>
      <c r="V387" s="150">
        <v>26888.15</v>
      </c>
      <c r="W387" s="151">
        <v>1997.33</v>
      </c>
    </row>
    <row r="388" spans="1:23" ht="15" customHeight="1" x14ac:dyDescent="0.25">
      <c r="A388" s="148">
        <v>16721</v>
      </c>
      <c r="B388" s="148" t="s">
        <v>2320</v>
      </c>
      <c r="C388" s="143" t="s">
        <v>2504</v>
      </c>
      <c r="D388" s="143" t="s">
        <v>2504</v>
      </c>
      <c r="E388" s="143" t="s">
        <v>2504</v>
      </c>
      <c r="F388" s="143" t="s">
        <v>2504</v>
      </c>
      <c r="G388" s="143" t="s">
        <v>2504</v>
      </c>
      <c r="H388" s="143" t="s">
        <v>2504</v>
      </c>
      <c r="I388" s="143" t="s">
        <v>2504</v>
      </c>
      <c r="J388" s="143" t="s">
        <v>2504</v>
      </c>
      <c r="K388" s="143" t="s">
        <v>2504</v>
      </c>
      <c r="L388" s="143" t="s">
        <v>2504</v>
      </c>
      <c r="M388" s="143" t="s">
        <v>2504</v>
      </c>
      <c r="N388" s="143" t="s">
        <v>2504</v>
      </c>
      <c r="O388" s="143" t="s">
        <v>2504</v>
      </c>
      <c r="P388" s="143" t="s">
        <v>2504</v>
      </c>
      <c r="Q388" s="148" t="s">
        <v>2321</v>
      </c>
      <c r="R388" s="148" t="s">
        <v>594</v>
      </c>
      <c r="S388" s="148" t="s">
        <v>2091</v>
      </c>
      <c r="T388" s="149">
        <v>200</v>
      </c>
      <c r="U388" s="148" t="s">
        <v>596</v>
      </c>
      <c r="V388" s="150">
        <v>35708.94</v>
      </c>
      <c r="W388" s="151">
        <v>2016.77</v>
      </c>
    </row>
    <row r="389" spans="1:23" ht="15" customHeight="1" x14ac:dyDescent="0.25">
      <c r="A389" s="148">
        <v>529</v>
      </c>
      <c r="B389" s="148" t="s">
        <v>244</v>
      </c>
      <c r="C389" s="143" t="s">
        <v>244</v>
      </c>
      <c r="D389" s="143" t="s">
        <v>2504</v>
      </c>
      <c r="E389" s="143" t="s">
        <v>2504</v>
      </c>
      <c r="F389" s="143" t="s">
        <v>2504</v>
      </c>
      <c r="G389" s="143" t="s">
        <v>2504</v>
      </c>
      <c r="H389" s="143" t="s">
        <v>2504</v>
      </c>
      <c r="I389" s="143" t="s">
        <v>2504</v>
      </c>
      <c r="J389" s="143" t="s">
        <v>2504</v>
      </c>
      <c r="K389" s="143" t="s">
        <v>2504</v>
      </c>
      <c r="L389" s="143" t="s">
        <v>2504</v>
      </c>
      <c r="M389" s="143" t="s">
        <v>2504</v>
      </c>
      <c r="N389" s="143" t="s">
        <v>2504</v>
      </c>
      <c r="O389" s="143" t="s">
        <v>2504</v>
      </c>
      <c r="P389" s="143" t="s">
        <v>2504</v>
      </c>
      <c r="Q389" s="148" t="s">
        <v>867</v>
      </c>
      <c r="R389" s="148" t="s">
        <v>594</v>
      </c>
      <c r="S389" s="148" t="s">
        <v>604</v>
      </c>
      <c r="T389" s="149">
        <v>4</v>
      </c>
      <c r="U389" s="241" t="s">
        <v>591</v>
      </c>
      <c r="V389" s="150">
        <v>383.69</v>
      </c>
      <c r="W389" s="151">
        <v>2026.46</v>
      </c>
    </row>
    <row r="390" spans="1:23" ht="15" customHeight="1" x14ac:dyDescent="0.25">
      <c r="A390" s="148">
        <v>530</v>
      </c>
      <c r="B390" s="148" t="s">
        <v>249</v>
      </c>
      <c r="C390" s="143" t="s">
        <v>249</v>
      </c>
      <c r="D390" s="143" t="s">
        <v>2504</v>
      </c>
      <c r="E390" s="143" t="s">
        <v>2504</v>
      </c>
      <c r="F390" s="143" t="s">
        <v>2504</v>
      </c>
      <c r="G390" s="143" t="s">
        <v>2504</v>
      </c>
      <c r="H390" s="143" t="s">
        <v>2504</v>
      </c>
      <c r="I390" s="143" t="s">
        <v>2504</v>
      </c>
      <c r="J390" s="143" t="s">
        <v>2504</v>
      </c>
      <c r="K390" s="143" t="s">
        <v>2504</v>
      </c>
      <c r="L390" s="143" t="s">
        <v>2504</v>
      </c>
      <c r="M390" s="143" t="s">
        <v>2504</v>
      </c>
      <c r="N390" s="143" t="s">
        <v>2504</v>
      </c>
      <c r="O390" s="143" t="s">
        <v>2504</v>
      </c>
      <c r="P390" s="143" t="s">
        <v>2504</v>
      </c>
      <c r="Q390" s="148" t="s">
        <v>868</v>
      </c>
      <c r="R390" s="148" t="s">
        <v>594</v>
      </c>
      <c r="S390" s="148" t="s">
        <v>604</v>
      </c>
      <c r="T390" s="149">
        <v>4</v>
      </c>
      <c r="U390" s="241" t="s">
        <v>591</v>
      </c>
      <c r="V390" s="150">
        <v>387.17</v>
      </c>
      <c r="W390" s="151">
        <v>2024.55</v>
      </c>
    </row>
    <row r="391" spans="1:23" ht="15" customHeight="1" x14ac:dyDescent="0.25">
      <c r="A391" s="148">
        <v>531</v>
      </c>
      <c r="B391" s="148" t="s">
        <v>254</v>
      </c>
      <c r="C391" s="143" t="s">
        <v>254</v>
      </c>
      <c r="D391" s="143" t="s">
        <v>2504</v>
      </c>
      <c r="E391" s="143" t="s">
        <v>2504</v>
      </c>
      <c r="F391" s="143" t="s">
        <v>2504</v>
      </c>
      <c r="G391" s="143" t="s">
        <v>2504</v>
      </c>
      <c r="H391" s="143" t="s">
        <v>2504</v>
      </c>
      <c r="I391" s="143" t="s">
        <v>2504</v>
      </c>
      <c r="J391" s="143" t="s">
        <v>2504</v>
      </c>
      <c r="K391" s="143" t="s">
        <v>2504</v>
      </c>
      <c r="L391" s="143" t="s">
        <v>2504</v>
      </c>
      <c r="M391" s="143" t="s">
        <v>2504</v>
      </c>
      <c r="N391" s="143" t="s">
        <v>2504</v>
      </c>
      <c r="O391" s="143" t="s">
        <v>2504</v>
      </c>
      <c r="P391" s="143" t="s">
        <v>2504</v>
      </c>
      <c r="Q391" s="148" t="s">
        <v>869</v>
      </c>
      <c r="R391" s="148" t="s">
        <v>594</v>
      </c>
      <c r="S391" s="148" t="s">
        <v>604</v>
      </c>
      <c r="T391" s="149">
        <v>4</v>
      </c>
      <c r="U391" s="241" t="s">
        <v>591</v>
      </c>
      <c r="V391" s="150">
        <v>387.67</v>
      </c>
      <c r="W391" s="151">
        <v>2029.62</v>
      </c>
    </row>
    <row r="392" spans="1:23" ht="15" customHeight="1" x14ac:dyDescent="0.25">
      <c r="A392" s="148">
        <v>16011</v>
      </c>
      <c r="B392" s="148" t="s">
        <v>243</v>
      </c>
      <c r="C392" s="143" t="s">
        <v>243</v>
      </c>
      <c r="D392" s="143" t="s">
        <v>2504</v>
      </c>
      <c r="E392" s="143" t="s">
        <v>2504</v>
      </c>
      <c r="F392" s="143" t="s">
        <v>2504</v>
      </c>
      <c r="G392" s="143" t="s">
        <v>2504</v>
      </c>
      <c r="H392" s="143" t="s">
        <v>2504</v>
      </c>
      <c r="I392" s="143" t="s">
        <v>2504</v>
      </c>
      <c r="J392" s="143" t="s">
        <v>2504</v>
      </c>
      <c r="K392" s="143" t="s">
        <v>2504</v>
      </c>
      <c r="L392" s="143" t="s">
        <v>2504</v>
      </c>
      <c r="M392" s="143" t="s">
        <v>2504</v>
      </c>
      <c r="N392" s="143" t="s">
        <v>2504</v>
      </c>
      <c r="O392" s="143" t="s">
        <v>2504</v>
      </c>
      <c r="P392" s="143" t="s">
        <v>2504</v>
      </c>
      <c r="Q392" s="148" t="s">
        <v>2049</v>
      </c>
      <c r="R392" s="148" t="s">
        <v>594</v>
      </c>
      <c r="S392" s="148" t="s">
        <v>604</v>
      </c>
      <c r="T392" s="149">
        <v>0.95</v>
      </c>
      <c r="U392" s="241" t="s">
        <v>591</v>
      </c>
      <c r="V392" s="150">
        <v>105.87</v>
      </c>
      <c r="W392" s="151">
        <v>2040.07</v>
      </c>
    </row>
    <row r="393" spans="1:23" ht="15" customHeight="1" x14ac:dyDescent="0.25">
      <c r="A393" s="148">
        <v>16012</v>
      </c>
      <c r="B393" s="148" t="s">
        <v>242</v>
      </c>
      <c r="C393" s="143" t="s">
        <v>242</v>
      </c>
      <c r="D393" s="143" t="s">
        <v>2504</v>
      </c>
      <c r="E393" s="143" t="s">
        <v>2504</v>
      </c>
      <c r="F393" s="143" t="s">
        <v>2504</v>
      </c>
      <c r="G393" s="143" t="s">
        <v>2504</v>
      </c>
      <c r="H393" s="143" t="s">
        <v>2504</v>
      </c>
      <c r="I393" s="143" t="s">
        <v>2504</v>
      </c>
      <c r="J393" s="143" t="s">
        <v>2504</v>
      </c>
      <c r="K393" s="143" t="s">
        <v>2504</v>
      </c>
      <c r="L393" s="143" t="s">
        <v>2504</v>
      </c>
      <c r="M393" s="143" t="s">
        <v>2504</v>
      </c>
      <c r="N393" s="143" t="s">
        <v>2504</v>
      </c>
      <c r="O393" s="143" t="s">
        <v>2504</v>
      </c>
      <c r="P393" s="143" t="s">
        <v>2504</v>
      </c>
      <c r="Q393" s="148" t="s">
        <v>2050</v>
      </c>
      <c r="R393" s="148" t="s">
        <v>594</v>
      </c>
      <c r="S393" s="148" t="s">
        <v>604</v>
      </c>
      <c r="T393" s="149">
        <v>0.95</v>
      </c>
      <c r="U393" s="241" t="s">
        <v>591</v>
      </c>
      <c r="V393" s="150">
        <v>97.95</v>
      </c>
      <c r="W393" s="151">
        <v>2032.34</v>
      </c>
    </row>
    <row r="394" spans="1:23" ht="15" customHeight="1" x14ac:dyDescent="0.25">
      <c r="A394" s="148">
        <v>16014</v>
      </c>
      <c r="B394" s="148" t="s">
        <v>245</v>
      </c>
      <c r="C394" s="143" t="s">
        <v>245</v>
      </c>
      <c r="D394" s="143" t="s">
        <v>2504</v>
      </c>
      <c r="E394" s="143" t="s">
        <v>2504</v>
      </c>
      <c r="F394" s="143" t="s">
        <v>2504</v>
      </c>
      <c r="G394" s="143" t="s">
        <v>2504</v>
      </c>
      <c r="H394" s="143" t="s">
        <v>2504</v>
      </c>
      <c r="I394" s="143" t="s">
        <v>2504</v>
      </c>
      <c r="J394" s="143" t="s">
        <v>2504</v>
      </c>
      <c r="K394" s="143" t="s">
        <v>2504</v>
      </c>
      <c r="L394" s="143" t="s">
        <v>2504</v>
      </c>
      <c r="M394" s="143" t="s">
        <v>2504</v>
      </c>
      <c r="N394" s="143" t="s">
        <v>2504</v>
      </c>
      <c r="O394" s="143" t="s">
        <v>2504</v>
      </c>
      <c r="P394" s="143" t="s">
        <v>2504</v>
      </c>
      <c r="Q394" s="148" t="s">
        <v>2053</v>
      </c>
      <c r="R394" s="148" t="s">
        <v>594</v>
      </c>
      <c r="S394" s="148" t="s">
        <v>604</v>
      </c>
      <c r="T394" s="149">
        <v>19</v>
      </c>
      <c r="U394" s="241" t="s">
        <v>591</v>
      </c>
      <c r="V394" s="150">
        <v>2088.8000000000002</v>
      </c>
      <c r="W394" s="151">
        <v>2070.1799999999998</v>
      </c>
    </row>
    <row r="395" spans="1:23" ht="15" customHeight="1" x14ac:dyDescent="0.25">
      <c r="A395" s="148">
        <v>16015</v>
      </c>
      <c r="B395" s="148" t="s">
        <v>246</v>
      </c>
      <c r="C395" s="143" t="s">
        <v>246</v>
      </c>
      <c r="D395" s="143" t="s">
        <v>2504</v>
      </c>
      <c r="E395" s="143" t="s">
        <v>2504</v>
      </c>
      <c r="F395" s="143" t="s">
        <v>2504</v>
      </c>
      <c r="G395" s="143" t="s">
        <v>2504</v>
      </c>
      <c r="H395" s="143" t="s">
        <v>2504</v>
      </c>
      <c r="I395" s="143" t="s">
        <v>2504</v>
      </c>
      <c r="J395" s="143" t="s">
        <v>2504</v>
      </c>
      <c r="K395" s="143" t="s">
        <v>2504</v>
      </c>
      <c r="L395" s="143" t="s">
        <v>2504</v>
      </c>
      <c r="M395" s="143" t="s">
        <v>2504</v>
      </c>
      <c r="N395" s="143" t="s">
        <v>2504</v>
      </c>
      <c r="O395" s="143" t="s">
        <v>2504</v>
      </c>
      <c r="P395" s="143" t="s">
        <v>2504</v>
      </c>
      <c r="Q395" s="148" t="s">
        <v>2054</v>
      </c>
      <c r="R395" s="148" t="s">
        <v>594</v>
      </c>
      <c r="S395" s="148" t="s">
        <v>604</v>
      </c>
      <c r="T395" s="149">
        <v>200</v>
      </c>
      <c r="U395" s="241" t="s">
        <v>591</v>
      </c>
      <c r="V395" s="150">
        <v>21962.01</v>
      </c>
      <c r="W395" s="151">
        <v>2072.09</v>
      </c>
    </row>
    <row r="396" spans="1:23" ht="15" customHeight="1" x14ac:dyDescent="0.25">
      <c r="A396" s="148">
        <v>16017</v>
      </c>
      <c r="B396" s="148" t="s">
        <v>247</v>
      </c>
      <c r="C396" s="143" t="s">
        <v>247</v>
      </c>
      <c r="D396" s="143" t="s">
        <v>2504</v>
      </c>
      <c r="E396" s="143" t="s">
        <v>2504</v>
      </c>
      <c r="F396" s="143" t="s">
        <v>2504</v>
      </c>
      <c r="G396" s="143" t="s">
        <v>2504</v>
      </c>
      <c r="H396" s="143" t="s">
        <v>2504</v>
      </c>
      <c r="I396" s="143" t="s">
        <v>2504</v>
      </c>
      <c r="J396" s="143" t="s">
        <v>2504</v>
      </c>
      <c r="K396" s="143" t="s">
        <v>2504</v>
      </c>
      <c r="L396" s="143" t="s">
        <v>2504</v>
      </c>
      <c r="M396" s="143" t="s">
        <v>2504</v>
      </c>
      <c r="N396" s="143" t="s">
        <v>2504</v>
      </c>
      <c r="O396" s="143" t="s">
        <v>2504</v>
      </c>
      <c r="P396" s="143" t="s">
        <v>2504</v>
      </c>
      <c r="Q396" s="148" t="s">
        <v>2057</v>
      </c>
      <c r="R396" s="148" t="s">
        <v>594</v>
      </c>
      <c r="S396" s="148" t="s">
        <v>604</v>
      </c>
      <c r="T396" s="149">
        <v>0.95</v>
      </c>
      <c r="U396" s="241" t="s">
        <v>591</v>
      </c>
      <c r="V396" s="150">
        <v>98.31</v>
      </c>
      <c r="W396" s="151">
        <v>1813.56</v>
      </c>
    </row>
    <row r="397" spans="1:23" ht="15" customHeight="1" x14ac:dyDescent="0.25">
      <c r="A397" s="148">
        <v>16019</v>
      </c>
      <c r="B397" s="148" t="s">
        <v>250</v>
      </c>
      <c r="C397" s="143" t="s">
        <v>250</v>
      </c>
      <c r="D397" s="143" t="s">
        <v>2504</v>
      </c>
      <c r="E397" s="143" t="s">
        <v>2504</v>
      </c>
      <c r="F397" s="143" t="s">
        <v>2504</v>
      </c>
      <c r="G397" s="143" t="s">
        <v>2504</v>
      </c>
      <c r="H397" s="143" t="s">
        <v>2504</v>
      </c>
      <c r="I397" s="143" t="s">
        <v>2504</v>
      </c>
      <c r="J397" s="143" t="s">
        <v>2504</v>
      </c>
      <c r="K397" s="143" t="s">
        <v>2504</v>
      </c>
      <c r="L397" s="143" t="s">
        <v>2504</v>
      </c>
      <c r="M397" s="143" t="s">
        <v>2504</v>
      </c>
      <c r="N397" s="143" t="s">
        <v>2504</v>
      </c>
      <c r="O397" s="143" t="s">
        <v>2504</v>
      </c>
      <c r="P397" s="143" t="s">
        <v>2504</v>
      </c>
      <c r="Q397" s="148" t="s">
        <v>2060</v>
      </c>
      <c r="R397" s="148" t="s">
        <v>594</v>
      </c>
      <c r="S397" s="148" t="s">
        <v>604</v>
      </c>
      <c r="T397" s="149">
        <v>19</v>
      </c>
      <c r="U397" s="241" t="s">
        <v>591</v>
      </c>
      <c r="V397" s="150">
        <v>2104.1999999999998</v>
      </c>
      <c r="W397" s="151">
        <v>1778.91</v>
      </c>
    </row>
    <row r="398" spans="1:23" ht="15" customHeight="1" x14ac:dyDescent="0.25">
      <c r="A398" s="148">
        <v>16020</v>
      </c>
      <c r="B398" s="148" t="s">
        <v>251</v>
      </c>
      <c r="C398" s="143" t="s">
        <v>251</v>
      </c>
      <c r="D398" s="143" t="s">
        <v>2504</v>
      </c>
      <c r="E398" s="143" t="s">
        <v>2504</v>
      </c>
      <c r="F398" s="143" t="s">
        <v>2504</v>
      </c>
      <c r="G398" s="143" t="s">
        <v>2504</v>
      </c>
      <c r="H398" s="143" t="s">
        <v>2504</v>
      </c>
      <c r="I398" s="143" t="s">
        <v>2504</v>
      </c>
      <c r="J398" s="143" t="s">
        <v>2504</v>
      </c>
      <c r="K398" s="143" t="s">
        <v>2504</v>
      </c>
      <c r="L398" s="143" t="s">
        <v>2504</v>
      </c>
      <c r="M398" s="143" t="s">
        <v>2504</v>
      </c>
      <c r="N398" s="143" t="s">
        <v>2504</v>
      </c>
      <c r="O398" s="143" t="s">
        <v>2504</v>
      </c>
      <c r="P398" s="143" t="s">
        <v>2504</v>
      </c>
      <c r="Q398" s="148" t="s">
        <v>2061</v>
      </c>
      <c r="R398" s="148" t="s">
        <v>594</v>
      </c>
      <c r="S398" s="148" t="s">
        <v>604</v>
      </c>
      <c r="T398" s="149">
        <v>200</v>
      </c>
      <c r="U398" s="241" t="s">
        <v>591</v>
      </c>
      <c r="V398" s="150">
        <v>22124.03</v>
      </c>
      <c r="W398" s="151">
        <v>1803.52</v>
      </c>
    </row>
    <row r="399" spans="1:23" ht="15" customHeight="1" x14ac:dyDescent="0.25">
      <c r="A399" s="148">
        <v>16022</v>
      </c>
      <c r="B399" s="148" t="s">
        <v>252</v>
      </c>
      <c r="C399" s="143" t="s">
        <v>252</v>
      </c>
      <c r="D399" s="143" t="s">
        <v>2504</v>
      </c>
      <c r="E399" s="143" t="s">
        <v>2504</v>
      </c>
      <c r="F399" s="143" t="s">
        <v>2504</v>
      </c>
      <c r="G399" s="143" t="s">
        <v>2504</v>
      </c>
      <c r="H399" s="143" t="s">
        <v>2504</v>
      </c>
      <c r="I399" s="143" t="s">
        <v>2504</v>
      </c>
      <c r="J399" s="143" t="s">
        <v>2504</v>
      </c>
      <c r="K399" s="143" t="s">
        <v>2504</v>
      </c>
      <c r="L399" s="143" t="s">
        <v>2504</v>
      </c>
      <c r="M399" s="143" t="s">
        <v>2504</v>
      </c>
      <c r="N399" s="143" t="s">
        <v>2504</v>
      </c>
      <c r="O399" s="143" t="s">
        <v>2504</v>
      </c>
      <c r="P399" s="143" t="s">
        <v>2504</v>
      </c>
      <c r="Q399" s="148" t="s">
        <v>2064</v>
      </c>
      <c r="R399" s="148" t="s">
        <v>594</v>
      </c>
      <c r="S399" s="148" t="s">
        <v>604</v>
      </c>
      <c r="T399" s="149">
        <v>0.95</v>
      </c>
      <c r="U399" s="241" t="s">
        <v>591</v>
      </c>
      <c r="V399" s="150">
        <v>98.34</v>
      </c>
      <c r="W399" s="151">
        <v>1862.75</v>
      </c>
    </row>
    <row r="400" spans="1:23" ht="15" customHeight="1" x14ac:dyDescent="0.25">
      <c r="A400" s="148">
        <v>16024</v>
      </c>
      <c r="B400" s="148" t="s">
        <v>255</v>
      </c>
      <c r="C400" s="143" t="s">
        <v>255</v>
      </c>
      <c r="D400" s="143" t="s">
        <v>2504</v>
      </c>
      <c r="E400" s="143" t="s">
        <v>2504</v>
      </c>
      <c r="F400" s="143" t="s">
        <v>2504</v>
      </c>
      <c r="G400" s="143" t="s">
        <v>2504</v>
      </c>
      <c r="H400" s="143" t="s">
        <v>2504</v>
      </c>
      <c r="I400" s="143" t="s">
        <v>2504</v>
      </c>
      <c r="J400" s="143" t="s">
        <v>2504</v>
      </c>
      <c r="K400" s="143" t="s">
        <v>2504</v>
      </c>
      <c r="L400" s="143" t="s">
        <v>2504</v>
      </c>
      <c r="M400" s="143" t="s">
        <v>2504</v>
      </c>
      <c r="N400" s="143" t="s">
        <v>2504</v>
      </c>
      <c r="O400" s="143" t="s">
        <v>2504</v>
      </c>
      <c r="P400" s="143" t="s">
        <v>2504</v>
      </c>
      <c r="Q400" s="148" t="s">
        <v>2067</v>
      </c>
      <c r="R400" s="148" t="s">
        <v>594</v>
      </c>
      <c r="S400" s="148" t="s">
        <v>604</v>
      </c>
      <c r="T400" s="149">
        <v>19</v>
      </c>
      <c r="U400" s="241" t="s">
        <v>591</v>
      </c>
      <c r="V400" s="150">
        <v>2104.9699999999998</v>
      </c>
      <c r="W400" s="151">
        <v>1929.12</v>
      </c>
    </row>
    <row r="401" spans="1:23" ht="15" customHeight="1" x14ac:dyDescent="0.25">
      <c r="A401" s="148">
        <v>16025</v>
      </c>
      <c r="B401" s="148" t="s">
        <v>256</v>
      </c>
      <c r="C401" s="143" t="s">
        <v>256</v>
      </c>
      <c r="D401" s="143" t="s">
        <v>2504</v>
      </c>
      <c r="E401" s="143" t="s">
        <v>2504</v>
      </c>
      <c r="F401" s="143" t="s">
        <v>2504</v>
      </c>
      <c r="G401" s="143" t="s">
        <v>2504</v>
      </c>
      <c r="H401" s="143" t="s">
        <v>2504</v>
      </c>
      <c r="I401" s="143" t="s">
        <v>2504</v>
      </c>
      <c r="J401" s="143" t="s">
        <v>2504</v>
      </c>
      <c r="K401" s="143" t="s">
        <v>2504</v>
      </c>
      <c r="L401" s="143" t="s">
        <v>2504</v>
      </c>
      <c r="M401" s="143" t="s">
        <v>2504</v>
      </c>
      <c r="N401" s="143" t="s">
        <v>2504</v>
      </c>
      <c r="O401" s="143" t="s">
        <v>2504</v>
      </c>
      <c r="P401" s="143" t="s">
        <v>2504</v>
      </c>
      <c r="Q401" s="148" t="s">
        <v>2068</v>
      </c>
      <c r="R401" s="148" t="s">
        <v>594</v>
      </c>
      <c r="S401" s="148" t="s">
        <v>604</v>
      </c>
      <c r="T401" s="149">
        <v>200</v>
      </c>
      <c r="U401" s="241" t="s">
        <v>591</v>
      </c>
      <c r="V401" s="150">
        <v>22132.32</v>
      </c>
      <c r="W401" s="151">
        <v>1959.58</v>
      </c>
    </row>
    <row r="402" spans="1:23" ht="15" customHeight="1" x14ac:dyDescent="0.25">
      <c r="A402" s="148">
        <v>16926</v>
      </c>
      <c r="B402" s="148" t="s">
        <v>248</v>
      </c>
      <c r="C402" s="143" t="s">
        <v>248</v>
      </c>
      <c r="D402" s="143" t="s">
        <v>2504</v>
      </c>
      <c r="E402" s="143" t="s">
        <v>2504</v>
      </c>
      <c r="F402" s="143" t="s">
        <v>2504</v>
      </c>
      <c r="G402" s="143" t="s">
        <v>2504</v>
      </c>
      <c r="H402" s="143" t="s">
        <v>2504</v>
      </c>
      <c r="I402" s="143" t="s">
        <v>2504</v>
      </c>
      <c r="J402" s="143" t="s">
        <v>2504</v>
      </c>
      <c r="K402" s="143" t="s">
        <v>2504</v>
      </c>
      <c r="L402" s="143" t="s">
        <v>2504</v>
      </c>
      <c r="M402" s="143" t="s">
        <v>2504</v>
      </c>
      <c r="N402" s="143" t="s">
        <v>2504</v>
      </c>
      <c r="O402" s="143" t="s">
        <v>2504</v>
      </c>
      <c r="P402" s="143" t="s">
        <v>2504</v>
      </c>
      <c r="Q402" s="148" t="s">
        <v>2414</v>
      </c>
      <c r="R402" s="148" t="s">
        <v>594</v>
      </c>
      <c r="S402" s="148" t="s">
        <v>604</v>
      </c>
      <c r="T402" s="149">
        <v>0.95</v>
      </c>
      <c r="U402" s="241" t="s">
        <v>591</v>
      </c>
      <c r="V402" s="150">
        <v>106.33</v>
      </c>
      <c r="W402" s="151">
        <v>1960.8</v>
      </c>
    </row>
    <row r="403" spans="1:23" ht="15" customHeight="1" x14ac:dyDescent="0.25">
      <c r="A403" s="148">
        <v>16927</v>
      </c>
      <c r="B403" s="148" t="s">
        <v>253</v>
      </c>
      <c r="C403" s="143" t="s">
        <v>253</v>
      </c>
      <c r="D403" s="143" t="s">
        <v>2504</v>
      </c>
      <c r="E403" s="143" t="s">
        <v>2504</v>
      </c>
      <c r="F403" s="143" t="s">
        <v>2504</v>
      </c>
      <c r="G403" s="143" t="s">
        <v>2504</v>
      </c>
      <c r="H403" s="143" t="s">
        <v>2504</v>
      </c>
      <c r="I403" s="143" t="s">
        <v>2504</v>
      </c>
      <c r="J403" s="143" t="s">
        <v>2504</v>
      </c>
      <c r="K403" s="143" t="s">
        <v>2504</v>
      </c>
      <c r="L403" s="143" t="s">
        <v>2504</v>
      </c>
      <c r="M403" s="143" t="s">
        <v>2504</v>
      </c>
      <c r="N403" s="143" t="s">
        <v>2504</v>
      </c>
      <c r="O403" s="143" t="s">
        <v>2504</v>
      </c>
      <c r="P403" s="143" t="s">
        <v>2504</v>
      </c>
      <c r="Q403" s="148" t="s">
        <v>2415</v>
      </c>
      <c r="R403" s="148" t="s">
        <v>594</v>
      </c>
      <c r="S403" s="148" t="s">
        <v>604</v>
      </c>
      <c r="T403" s="149">
        <v>0.95</v>
      </c>
      <c r="U403" s="241" t="s">
        <v>591</v>
      </c>
      <c r="V403" s="150">
        <v>106.27</v>
      </c>
      <c r="W403" s="151">
        <v>1974.46</v>
      </c>
    </row>
    <row r="404" spans="1:23" ht="15" customHeight="1" x14ac:dyDescent="0.25">
      <c r="A404" s="148">
        <v>528</v>
      </c>
      <c r="B404" s="148" t="s">
        <v>259</v>
      </c>
      <c r="C404" s="143" t="s">
        <v>259</v>
      </c>
      <c r="D404" s="143" t="s">
        <v>2504</v>
      </c>
      <c r="E404" s="143" t="s">
        <v>2504</v>
      </c>
      <c r="F404" s="143" t="s">
        <v>2504</v>
      </c>
      <c r="G404" s="143" t="s">
        <v>2504</v>
      </c>
      <c r="H404" s="143" t="s">
        <v>2504</v>
      </c>
      <c r="I404" s="143" t="s">
        <v>2504</v>
      </c>
      <c r="J404" s="143" t="s">
        <v>2504</v>
      </c>
      <c r="K404" s="143" t="s">
        <v>2504</v>
      </c>
      <c r="L404" s="143" t="s">
        <v>2504</v>
      </c>
      <c r="M404" s="143" t="s">
        <v>2504</v>
      </c>
      <c r="N404" s="143" t="s">
        <v>2504</v>
      </c>
      <c r="O404" s="143" t="s">
        <v>2504</v>
      </c>
      <c r="P404" s="143" t="s">
        <v>2504</v>
      </c>
      <c r="Q404" s="148" t="s">
        <v>866</v>
      </c>
      <c r="R404" s="148" t="s">
        <v>594</v>
      </c>
      <c r="S404" s="148" t="s">
        <v>595</v>
      </c>
      <c r="T404" s="149">
        <v>4</v>
      </c>
      <c r="U404" s="241" t="s">
        <v>591</v>
      </c>
      <c r="V404" s="150">
        <v>376.42</v>
      </c>
      <c r="W404" s="151">
        <v>1975.26</v>
      </c>
    </row>
    <row r="405" spans="1:23" ht="15" customHeight="1" x14ac:dyDescent="0.25">
      <c r="A405" s="148">
        <v>16000</v>
      </c>
      <c r="B405" s="148" t="s">
        <v>262</v>
      </c>
      <c r="C405" s="143" t="s">
        <v>262</v>
      </c>
      <c r="D405" s="143" t="s">
        <v>2504</v>
      </c>
      <c r="E405" s="143" t="s">
        <v>2504</v>
      </c>
      <c r="F405" s="143" t="s">
        <v>2504</v>
      </c>
      <c r="G405" s="143" t="s">
        <v>2504</v>
      </c>
      <c r="H405" s="143" t="s">
        <v>2504</v>
      </c>
      <c r="I405" s="143" t="s">
        <v>2504</v>
      </c>
      <c r="J405" s="143" t="s">
        <v>2504</v>
      </c>
      <c r="K405" s="143" t="s">
        <v>2504</v>
      </c>
      <c r="L405" s="143" t="s">
        <v>2504</v>
      </c>
      <c r="M405" s="143" t="s">
        <v>2504</v>
      </c>
      <c r="N405" s="143" t="s">
        <v>2504</v>
      </c>
      <c r="O405" s="143" t="s">
        <v>2504</v>
      </c>
      <c r="P405" s="143" t="s">
        <v>2504</v>
      </c>
      <c r="Q405" s="148" t="s">
        <v>2034</v>
      </c>
      <c r="R405" s="148" t="s">
        <v>594</v>
      </c>
      <c r="S405" s="148" t="s">
        <v>595</v>
      </c>
      <c r="T405" s="149">
        <v>0.95</v>
      </c>
      <c r="U405" s="241" t="s">
        <v>591</v>
      </c>
      <c r="V405" s="150">
        <v>105.11</v>
      </c>
      <c r="W405" s="151">
        <v>1976.44</v>
      </c>
    </row>
    <row r="406" spans="1:23" ht="15" customHeight="1" x14ac:dyDescent="0.25">
      <c r="A406" s="148">
        <v>16002</v>
      </c>
      <c r="B406" s="148" t="s">
        <v>263</v>
      </c>
      <c r="C406" s="143" t="s">
        <v>263</v>
      </c>
      <c r="D406" s="143" t="s">
        <v>2504</v>
      </c>
      <c r="E406" s="143" t="s">
        <v>2504</v>
      </c>
      <c r="F406" s="143" t="s">
        <v>2504</v>
      </c>
      <c r="G406" s="143" t="s">
        <v>2504</v>
      </c>
      <c r="H406" s="143" t="s">
        <v>2504</v>
      </c>
      <c r="I406" s="143" t="s">
        <v>2504</v>
      </c>
      <c r="J406" s="143" t="s">
        <v>2504</v>
      </c>
      <c r="K406" s="143" t="s">
        <v>2504</v>
      </c>
      <c r="L406" s="143" t="s">
        <v>2504</v>
      </c>
      <c r="M406" s="143" t="s">
        <v>2504</v>
      </c>
      <c r="N406" s="143" t="s">
        <v>2504</v>
      </c>
      <c r="O406" s="143" t="s">
        <v>2504</v>
      </c>
      <c r="P406" s="143" t="s">
        <v>2504</v>
      </c>
      <c r="Q406" s="148" t="s">
        <v>2037</v>
      </c>
      <c r="R406" s="148" t="s">
        <v>594</v>
      </c>
      <c r="S406" s="148" t="s">
        <v>595</v>
      </c>
      <c r="T406" s="149">
        <v>5</v>
      </c>
      <c r="U406" s="241" t="s">
        <v>591</v>
      </c>
      <c r="V406" s="150">
        <v>529.63</v>
      </c>
      <c r="W406" s="151">
        <v>2021.12</v>
      </c>
    </row>
    <row r="407" spans="1:23" ht="15" customHeight="1" x14ac:dyDescent="0.25">
      <c r="A407" s="148">
        <v>16007</v>
      </c>
      <c r="B407" s="148" t="s">
        <v>257</v>
      </c>
      <c r="C407" s="143" t="s">
        <v>257</v>
      </c>
      <c r="D407" s="143" t="s">
        <v>2504</v>
      </c>
      <c r="E407" s="143" t="s">
        <v>2504</v>
      </c>
      <c r="F407" s="143" t="s">
        <v>2504</v>
      </c>
      <c r="G407" s="143" t="s">
        <v>2504</v>
      </c>
      <c r="H407" s="143" t="s">
        <v>2504</v>
      </c>
      <c r="I407" s="143" t="s">
        <v>2504</v>
      </c>
      <c r="J407" s="143" t="s">
        <v>2504</v>
      </c>
      <c r="K407" s="143" t="s">
        <v>2504</v>
      </c>
      <c r="L407" s="143" t="s">
        <v>2504</v>
      </c>
      <c r="M407" s="143" t="s">
        <v>2504</v>
      </c>
      <c r="N407" s="143" t="s">
        <v>2504</v>
      </c>
      <c r="O407" s="143" t="s">
        <v>2504</v>
      </c>
      <c r="P407" s="143" t="s">
        <v>2504</v>
      </c>
      <c r="Q407" s="148" t="s">
        <v>2044</v>
      </c>
      <c r="R407" s="148" t="s">
        <v>594</v>
      </c>
      <c r="S407" s="148" t="s">
        <v>595</v>
      </c>
      <c r="T407" s="149">
        <v>0.95</v>
      </c>
      <c r="U407" s="241" t="s">
        <v>591</v>
      </c>
      <c r="V407" s="150">
        <v>96.11</v>
      </c>
      <c r="W407" s="151">
        <v>1636.7</v>
      </c>
    </row>
    <row r="408" spans="1:23" ht="15" customHeight="1" x14ac:dyDescent="0.25">
      <c r="A408" s="148">
        <v>16008</v>
      </c>
      <c r="B408" s="148" t="s">
        <v>260</v>
      </c>
      <c r="C408" s="143" t="s">
        <v>260</v>
      </c>
      <c r="D408" s="143" t="s">
        <v>2504</v>
      </c>
      <c r="E408" s="143" t="s">
        <v>2504</v>
      </c>
      <c r="F408" s="143" t="s">
        <v>2504</v>
      </c>
      <c r="G408" s="143" t="s">
        <v>2504</v>
      </c>
      <c r="H408" s="143" t="s">
        <v>2504</v>
      </c>
      <c r="I408" s="143" t="s">
        <v>2504</v>
      </c>
      <c r="J408" s="143" t="s">
        <v>2504</v>
      </c>
      <c r="K408" s="143" t="s">
        <v>2504</v>
      </c>
      <c r="L408" s="143" t="s">
        <v>2504</v>
      </c>
      <c r="M408" s="143" t="s">
        <v>2504</v>
      </c>
      <c r="N408" s="143" t="s">
        <v>2504</v>
      </c>
      <c r="O408" s="143" t="s">
        <v>2504</v>
      </c>
      <c r="P408" s="143" t="s">
        <v>2504</v>
      </c>
      <c r="Q408" s="148" t="s">
        <v>2045</v>
      </c>
      <c r="R408" s="148" t="s">
        <v>594</v>
      </c>
      <c r="S408" s="148" t="s">
        <v>595</v>
      </c>
      <c r="T408" s="149">
        <v>19</v>
      </c>
      <c r="U408" s="241" t="s">
        <v>591</v>
      </c>
      <c r="V408" s="150">
        <v>2036.91</v>
      </c>
      <c r="W408" s="151">
        <v>2083.23</v>
      </c>
    </row>
    <row r="409" spans="1:23" ht="15" customHeight="1" x14ac:dyDescent="0.25">
      <c r="A409" s="148">
        <v>16009</v>
      </c>
      <c r="B409" s="148" t="s">
        <v>261</v>
      </c>
      <c r="C409" s="143" t="s">
        <v>261</v>
      </c>
      <c r="D409" s="143" t="s">
        <v>2504</v>
      </c>
      <c r="E409" s="143" t="s">
        <v>2504</v>
      </c>
      <c r="F409" s="143" t="s">
        <v>2504</v>
      </c>
      <c r="G409" s="143" t="s">
        <v>2504</v>
      </c>
      <c r="H409" s="143" t="s">
        <v>2504</v>
      </c>
      <c r="I409" s="143" t="s">
        <v>2504</v>
      </c>
      <c r="J409" s="143" t="s">
        <v>2504</v>
      </c>
      <c r="K409" s="143" t="s">
        <v>2504</v>
      </c>
      <c r="L409" s="143" t="s">
        <v>2504</v>
      </c>
      <c r="M409" s="143" t="s">
        <v>2504</v>
      </c>
      <c r="N409" s="143" t="s">
        <v>2504</v>
      </c>
      <c r="O409" s="143" t="s">
        <v>2504</v>
      </c>
      <c r="P409" s="143" t="s">
        <v>2504</v>
      </c>
      <c r="Q409" s="148" t="s">
        <v>2046</v>
      </c>
      <c r="R409" s="148" t="s">
        <v>594</v>
      </c>
      <c r="S409" s="148" t="s">
        <v>595</v>
      </c>
      <c r="T409" s="149">
        <v>200</v>
      </c>
      <c r="U409" s="241" t="s">
        <v>591</v>
      </c>
      <c r="V409" s="150">
        <v>21512.19</v>
      </c>
      <c r="W409" s="151">
        <v>2042.64</v>
      </c>
    </row>
    <row r="410" spans="1:23" ht="15" customHeight="1" x14ac:dyDescent="0.25">
      <c r="A410" s="148">
        <v>16313</v>
      </c>
      <c r="B410" s="148" t="s">
        <v>265</v>
      </c>
      <c r="C410" s="143" t="s">
        <v>265</v>
      </c>
      <c r="D410" s="143" t="s">
        <v>2504</v>
      </c>
      <c r="E410" s="143" t="s">
        <v>2504</v>
      </c>
      <c r="F410" s="143" t="s">
        <v>2504</v>
      </c>
      <c r="G410" s="143" t="s">
        <v>2504</v>
      </c>
      <c r="H410" s="143" t="s">
        <v>2504</v>
      </c>
      <c r="I410" s="143" t="s">
        <v>2504</v>
      </c>
      <c r="J410" s="143" t="s">
        <v>2504</v>
      </c>
      <c r="K410" s="143" t="s">
        <v>2504</v>
      </c>
      <c r="L410" s="143" t="s">
        <v>2504</v>
      </c>
      <c r="M410" s="143" t="s">
        <v>2504</v>
      </c>
      <c r="N410" s="143" t="s">
        <v>2504</v>
      </c>
      <c r="O410" s="143" t="s">
        <v>2504</v>
      </c>
      <c r="P410" s="143" t="s">
        <v>2504</v>
      </c>
      <c r="Q410" s="148" t="s">
        <v>2223</v>
      </c>
      <c r="R410" s="148" t="s">
        <v>594</v>
      </c>
      <c r="S410" s="148" t="s">
        <v>595</v>
      </c>
      <c r="T410" s="149">
        <v>5</v>
      </c>
      <c r="U410" s="241" t="s">
        <v>591</v>
      </c>
      <c r="V410" s="150">
        <v>533.01</v>
      </c>
      <c r="W410" s="151">
        <v>2070.86</v>
      </c>
    </row>
    <row r="411" spans="1:23" ht="15" customHeight="1" x14ac:dyDescent="0.25">
      <c r="A411" s="148">
        <v>16730</v>
      </c>
      <c r="B411" s="148" t="s">
        <v>505</v>
      </c>
      <c r="C411" s="143" t="s">
        <v>505</v>
      </c>
      <c r="D411" s="143" t="s">
        <v>2504</v>
      </c>
      <c r="E411" s="143" t="s">
        <v>2504</v>
      </c>
      <c r="F411" s="143" t="s">
        <v>2504</v>
      </c>
      <c r="G411" s="143" t="s">
        <v>2504</v>
      </c>
      <c r="H411" s="143" t="s">
        <v>2504</v>
      </c>
      <c r="I411" s="143" t="s">
        <v>2504</v>
      </c>
      <c r="J411" s="143" t="s">
        <v>2504</v>
      </c>
      <c r="K411" s="143" t="s">
        <v>2504</v>
      </c>
      <c r="L411" s="143" t="s">
        <v>2504</v>
      </c>
      <c r="M411" s="143" t="s">
        <v>2504</v>
      </c>
      <c r="N411" s="143" t="s">
        <v>2504</v>
      </c>
      <c r="O411" s="143" t="s">
        <v>2504</v>
      </c>
      <c r="P411" s="143" t="s">
        <v>2504</v>
      </c>
      <c r="Q411" s="148" t="s">
        <v>2324</v>
      </c>
      <c r="R411" s="148" t="s">
        <v>594</v>
      </c>
      <c r="S411" s="148" t="s">
        <v>595</v>
      </c>
      <c r="T411" s="149">
        <v>200</v>
      </c>
      <c r="U411" s="241" t="s">
        <v>591</v>
      </c>
      <c r="V411" s="150">
        <v>22036.560000000001</v>
      </c>
      <c r="W411" s="151">
        <v>1899.12</v>
      </c>
    </row>
    <row r="412" spans="1:23" ht="15" customHeight="1" x14ac:dyDescent="0.25">
      <c r="A412" s="148">
        <v>16925</v>
      </c>
      <c r="B412" s="148" t="s">
        <v>264</v>
      </c>
      <c r="C412" s="143" t="s">
        <v>264</v>
      </c>
      <c r="D412" s="143" t="s">
        <v>2504</v>
      </c>
      <c r="E412" s="143" t="s">
        <v>2504</v>
      </c>
      <c r="F412" s="143" t="s">
        <v>2504</v>
      </c>
      <c r="G412" s="143" t="s">
        <v>2504</v>
      </c>
      <c r="H412" s="143" t="s">
        <v>2504</v>
      </c>
      <c r="I412" s="143" t="s">
        <v>2504</v>
      </c>
      <c r="J412" s="143" t="s">
        <v>2504</v>
      </c>
      <c r="K412" s="143" t="s">
        <v>2504</v>
      </c>
      <c r="L412" s="143" t="s">
        <v>2504</v>
      </c>
      <c r="M412" s="143" t="s">
        <v>2504</v>
      </c>
      <c r="N412" s="143" t="s">
        <v>2504</v>
      </c>
      <c r="O412" s="143" t="s">
        <v>2504</v>
      </c>
      <c r="P412" s="143" t="s">
        <v>2504</v>
      </c>
      <c r="Q412" s="148" t="s">
        <v>2413</v>
      </c>
      <c r="R412" s="148" t="s">
        <v>594</v>
      </c>
      <c r="S412" s="148" t="s">
        <v>595</v>
      </c>
      <c r="T412" s="149">
        <v>0.95</v>
      </c>
      <c r="U412" s="241" t="s">
        <v>591</v>
      </c>
      <c r="V412" s="150">
        <v>105.22</v>
      </c>
      <c r="W412" s="151">
        <v>1965.9</v>
      </c>
    </row>
    <row r="413" spans="1:23" ht="15" customHeight="1" x14ac:dyDescent="0.25">
      <c r="A413" s="148" t="s">
        <v>2437</v>
      </c>
      <c r="B413" s="148" t="s">
        <v>572</v>
      </c>
      <c r="C413" s="143" t="s">
        <v>572</v>
      </c>
      <c r="D413" s="143" t="s">
        <v>2504</v>
      </c>
      <c r="E413" s="143" t="s">
        <v>2504</v>
      </c>
      <c r="F413" s="143" t="s">
        <v>2504</v>
      </c>
      <c r="G413" s="143" t="s">
        <v>2504</v>
      </c>
      <c r="H413" s="143" t="s">
        <v>2504</v>
      </c>
      <c r="I413" s="143" t="s">
        <v>2504</v>
      </c>
      <c r="J413" s="143" t="s">
        <v>2504</v>
      </c>
      <c r="K413" s="143" t="s">
        <v>2504</v>
      </c>
      <c r="L413" s="143" t="s">
        <v>2504</v>
      </c>
      <c r="M413" s="143" t="s">
        <v>2504</v>
      </c>
      <c r="N413" s="143" t="s">
        <v>2504</v>
      </c>
      <c r="O413" s="143" t="s">
        <v>2504</v>
      </c>
      <c r="P413" s="143" t="s">
        <v>2504</v>
      </c>
      <c r="Q413" s="148" t="s">
        <v>2479</v>
      </c>
      <c r="R413" s="148" t="s">
        <v>594</v>
      </c>
      <c r="S413" s="148" t="s">
        <v>595</v>
      </c>
      <c r="T413" s="149">
        <v>5</v>
      </c>
      <c r="U413" s="241" t="s">
        <v>591</v>
      </c>
      <c r="V413" s="150">
        <v>527.79</v>
      </c>
      <c r="W413" s="151">
        <v>2000.82</v>
      </c>
    </row>
    <row r="414" spans="1:23" ht="15" customHeight="1" x14ac:dyDescent="0.25">
      <c r="A414" s="148" t="s">
        <v>2437</v>
      </c>
      <c r="B414" s="148" t="s">
        <v>574</v>
      </c>
      <c r="C414" s="143" t="s">
        <v>574</v>
      </c>
      <c r="D414" s="143" t="s">
        <v>2504</v>
      </c>
      <c r="E414" s="143" t="s">
        <v>2504</v>
      </c>
      <c r="F414" s="143" t="s">
        <v>2504</v>
      </c>
      <c r="G414" s="143" t="s">
        <v>2504</v>
      </c>
      <c r="H414" s="143" t="s">
        <v>2504</v>
      </c>
      <c r="I414" s="143" t="s">
        <v>2504</v>
      </c>
      <c r="J414" s="143" t="s">
        <v>2504</v>
      </c>
      <c r="K414" s="143" t="s">
        <v>2504</v>
      </c>
      <c r="L414" s="143" t="s">
        <v>2504</v>
      </c>
      <c r="M414" s="143" t="s">
        <v>2504</v>
      </c>
      <c r="N414" s="143" t="s">
        <v>2504</v>
      </c>
      <c r="O414" s="143" t="s">
        <v>2504</v>
      </c>
      <c r="P414" s="143" t="s">
        <v>2504</v>
      </c>
      <c r="Q414" s="148" t="s">
        <v>2478</v>
      </c>
      <c r="R414" s="148" t="s">
        <v>594</v>
      </c>
      <c r="S414" s="148" t="s">
        <v>595</v>
      </c>
      <c r="T414" s="149">
        <v>0.95</v>
      </c>
      <c r="U414" s="241" t="s">
        <v>591</v>
      </c>
      <c r="V414" s="150">
        <v>96.42</v>
      </c>
      <c r="W414" s="151">
        <v>2015.68</v>
      </c>
    </row>
    <row r="415" spans="1:23" ht="15" customHeight="1" x14ac:dyDescent="0.25">
      <c r="A415" s="148" t="s">
        <v>2437</v>
      </c>
      <c r="B415" s="148" t="s">
        <v>577</v>
      </c>
      <c r="C415" s="143" t="s">
        <v>577</v>
      </c>
      <c r="D415" s="143" t="s">
        <v>2504</v>
      </c>
      <c r="E415" s="143" t="s">
        <v>2504</v>
      </c>
      <c r="F415" s="143" t="s">
        <v>2504</v>
      </c>
      <c r="G415" s="143" t="s">
        <v>2504</v>
      </c>
      <c r="H415" s="143" t="s">
        <v>2504</v>
      </c>
      <c r="I415" s="143" t="s">
        <v>2504</v>
      </c>
      <c r="J415" s="143" t="s">
        <v>2504</v>
      </c>
      <c r="K415" s="143" t="s">
        <v>2504</v>
      </c>
      <c r="L415" s="143" t="s">
        <v>2504</v>
      </c>
      <c r="M415" s="143" t="s">
        <v>2504</v>
      </c>
      <c r="N415" s="143" t="s">
        <v>2504</v>
      </c>
      <c r="O415" s="143" t="s">
        <v>2504</v>
      </c>
      <c r="P415" s="143" t="s">
        <v>2504</v>
      </c>
      <c r="Q415" s="148" t="s">
        <v>2490</v>
      </c>
      <c r="R415" s="148" t="s">
        <v>594</v>
      </c>
      <c r="S415" s="148" t="s">
        <v>595</v>
      </c>
      <c r="T415" s="149">
        <v>4</v>
      </c>
      <c r="U415" s="241" t="s">
        <v>591</v>
      </c>
      <c r="V415" s="150">
        <v>383.53</v>
      </c>
      <c r="W415" s="151">
        <v>2008.24</v>
      </c>
    </row>
    <row r="416" spans="1:23" ht="15" customHeight="1" x14ac:dyDescent="0.25">
      <c r="A416" s="148">
        <v>16314</v>
      </c>
      <c r="B416" s="148" t="s">
        <v>276</v>
      </c>
      <c r="C416" s="143" t="s">
        <v>276</v>
      </c>
      <c r="D416" s="143" t="s">
        <v>2504</v>
      </c>
      <c r="E416" s="143" t="s">
        <v>2504</v>
      </c>
      <c r="F416" s="143" t="s">
        <v>2504</v>
      </c>
      <c r="G416" s="143" t="s">
        <v>2504</v>
      </c>
      <c r="H416" s="143" t="s">
        <v>2504</v>
      </c>
      <c r="I416" s="143" t="s">
        <v>2504</v>
      </c>
      <c r="J416" s="143" t="s">
        <v>2504</v>
      </c>
      <c r="K416" s="143" t="s">
        <v>2504</v>
      </c>
      <c r="L416" s="143" t="s">
        <v>2504</v>
      </c>
      <c r="M416" s="143" t="s">
        <v>2504</v>
      </c>
      <c r="N416" s="143" t="s">
        <v>2504</v>
      </c>
      <c r="O416" s="143" t="s">
        <v>2504</v>
      </c>
      <c r="P416" s="143" t="s">
        <v>2504</v>
      </c>
      <c r="Q416" s="148" t="s">
        <v>2224</v>
      </c>
      <c r="R416" s="148" t="s">
        <v>594</v>
      </c>
      <c r="S416" s="148" t="s">
        <v>2214</v>
      </c>
      <c r="T416" s="149">
        <v>5</v>
      </c>
      <c r="U416" s="241" t="s">
        <v>591</v>
      </c>
      <c r="V416" s="150">
        <v>727.03</v>
      </c>
      <c r="W416" s="151">
        <v>2026.1</v>
      </c>
    </row>
    <row r="417" spans="1:23" ht="15" customHeight="1" x14ac:dyDescent="0.25">
      <c r="A417" s="148">
        <v>16315</v>
      </c>
      <c r="B417" s="148" t="s">
        <v>267</v>
      </c>
      <c r="C417" s="143" t="s">
        <v>267</v>
      </c>
      <c r="D417" s="143" t="s">
        <v>2504</v>
      </c>
      <c r="E417" s="143" t="s">
        <v>2504</v>
      </c>
      <c r="F417" s="143" t="s">
        <v>2504</v>
      </c>
      <c r="G417" s="143" t="s">
        <v>2504</v>
      </c>
      <c r="H417" s="143" t="s">
        <v>2504</v>
      </c>
      <c r="I417" s="143" t="s">
        <v>2504</v>
      </c>
      <c r="J417" s="143" t="s">
        <v>2504</v>
      </c>
      <c r="K417" s="143" t="s">
        <v>2504</v>
      </c>
      <c r="L417" s="143" t="s">
        <v>2504</v>
      </c>
      <c r="M417" s="143" t="s">
        <v>2504</v>
      </c>
      <c r="N417" s="143" t="s">
        <v>2504</v>
      </c>
      <c r="O417" s="143" t="s">
        <v>2504</v>
      </c>
      <c r="P417" s="143" t="s">
        <v>2504</v>
      </c>
      <c r="Q417" s="148" t="s">
        <v>2225</v>
      </c>
      <c r="R417" s="148" t="s">
        <v>594</v>
      </c>
      <c r="S417" s="148" t="s">
        <v>2214</v>
      </c>
      <c r="T417" s="149">
        <v>5</v>
      </c>
      <c r="U417" s="241" t="s">
        <v>591</v>
      </c>
      <c r="V417" s="150">
        <v>643.37</v>
      </c>
      <c r="W417" s="151">
        <v>2014.2</v>
      </c>
    </row>
    <row r="418" spans="1:23" ht="15" customHeight="1" x14ac:dyDescent="0.25">
      <c r="A418" s="148">
        <v>16316</v>
      </c>
      <c r="B418" s="148" t="s">
        <v>269</v>
      </c>
      <c r="C418" s="143" t="s">
        <v>269</v>
      </c>
      <c r="D418" s="143" t="s">
        <v>2504</v>
      </c>
      <c r="E418" s="143" t="s">
        <v>2504</v>
      </c>
      <c r="F418" s="143" t="s">
        <v>2504</v>
      </c>
      <c r="G418" s="143" t="s">
        <v>2504</v>
      </c>
      <c r="H418" s="143" t="s">
        <v>2504</v>
      </c>
      <c r="I418" s="143" t="s">
        <v>2504</v>
      </c>
      <c r="J418" s="143" t="s">
        <v>2504</v>
      </c>
      <c r="K418" s="143" t="s">
        <v>2504</v>
      </c>
      <c r="L418" s="143" t="s">
        <v>2504</v>
      </c>
      <c r="M418" s="143" t="s">
        <v>2504</v>
      </c>
      <c r="N418" s="143" t="s">
        <v>2504</v>
      </c>
      <c r="O418" s="143" t="s">
        <v>2504</v>
      </c>
      <c r="P418" s="143" t="s">
        <v>2504</v>
      </c>
      <c r="Q418" s="148" t="s">
        <v>2226</v>
      </c>
      <c r="R418" s="148" t="s">
        <v>594</v>
      </c>
      <c r="S418" s="148" t="s">
        <v>2214</v>
      </c>
      <c r="T418" s="149">
        <v>5</v>
      </c>
      <c r="U418" s="241" t="s">
        <v>591</v>
      </c>
      <c r="V418" s="150">
        <v>660.01</v>
      </c>
      <c r="W418" s="151">
        <v>1992.84</v>
      </c>
    </row>
    <row r="419" spans="1:23" ht="15" customHeight="1" x14ac:dyDescent="0.25">
      <c r="A419" s="148">
        <v>16317</v>
      </c>
      <c r="B419" s="148" t="s">
        <v>273</v>
      </c>
      <c r="C419" s="143" t="s">
        <v>273</v>
      </c>
      <c r="D419" s="143" t="s">
        <v>2504</v>
      </c>
      <c r="E419" s="143" t="s">
        <v>2504</v>
      </c>
      <c r="F419" s="143" t="s">
        <v>2504</v>
      </c>
      <c r="G419" s="143" t="s">
        <v>2504</v>
      </c>
      <c r="H419" s="143" t="s">
        <v>2504</v>
      </c>
      <c r="I419" s="143" t="s">
        <v>2504</v>
      </c>
      <c r="J419" s="143" t="s">
        <v>2504</v>
      </c>
      <c r="K419" s="143" t="s">
        <v>2504</v>
      </c>
      <c r="L419" s="143" t="s">
        <v>2504</v>
      </c>
      <c r="M419" s="143" t="s">
        <v>2504</v>
      </c>
      <c r="N419" s="143" t="s">
        <v>2504</v>
      </c>
      <c r="O419" s="143" t="s">
        <v>2504</v>
      </c>
      <c r="P419" s="143" t="s">
        <v>2504</v>
      </c>
      <c r="Q419" s="148" t="s">
        <v>2227</v>
      </c>
      <c r="R419" s="148" t="s">
        <v>594</v>
      </c>
      <c r="S419" s="148" t="s">
        <v>2214</v>
      </c>
      <c r="T419" s="149">
        <v>5</v>
      </c>
      <c r="U419" s="241" t="s">
        <v>591</v>
      </c>
      <c r="V419" s="150">
        <v>684.71</v>
      </c>
      <c r="W419" s="151">
        <v>2078.0300000000002</v>
      </c>
    </row>
    <row r="420" spans="1:23" ht="15" customHeight="1" x14ac:dyDescent="0.25">
      <c r="A420" s="148">
        <v>16731</v>
      </c>
      <c r="B420" s="148" t="s">
        <v>268</v>
      </c>
      <c r="C420" s="143" t="s">
        <v>268</v>
      </c>
      <c r="D420" s="143" t="s">
        <v>2504</v>
      </c>
      <c r="E420" s="143" t="s">
        <v>2504</v>
      </c>
      <c r="F420" s="143" t="s">
        <v>2504</v>
      </c>
      <c r="G420" s="143" t="s">
        <v>2504</v>
      </c>
      <c r="H420" s="143" t="s">
        <v>2504</v>
      </c>
      <c r="I420" s="143" t="s">
        <v>2504</v>
      </c>
      <c r="J420" s="143" t="s">
        <v>2504</v>
      </c>
      <c r="K420" s="143" t="s">
        <v>2504</v>
      </c>
      <c r="L420" s="143" t="s">
        <v>2504</v>
      </c>
      <c r="M420" s="143" t="s">
        <v>2504</v>
      </c>
      <c r="N420" s="143" t="s">
        <v>2504</v>
      </c>
      <c r="O420" s="143" t="s">
        <v>2504</v>
      </c>
      <c r="P420" s="143" t="s">
        <v>2504</v>
      </c>
      <c r="Q420" s="148" t="s">
        <v>2325</v>
      </c>
      <c r="R420" s="148" t="s">
        <v>594</v>
      </c>
      <c r="S420" s="148" t="s">
        <v>2214</v>
      </c>
      <c r="T420" s="149">
        <v>200</v>
      </c>
      <c r="U420" s="241" t="s">
        <v>591</v>
      </c>
      <c r="V420" s="150">
        <v>25071.93</v>
      </c>
      <c r="W420" s="151">
        <v>2222.61</v>
      </c>
    </row>
    <row r="421" spans="1:23" ht="15" customHeight="1" x14ac:dyDescent="0.25">
      <c r="A421" s="148">
        <v>16732</v>
      </c>
      <c r="B421" s="148" t="s">
        <v>270</v>
      </c>
      <c r="C421" s="143" t="s">
        <v>270</v>
      </c>
      <c r="D421" s="143" t="s">
        <v>2504</v>
      </c>
      <c r="E421" s="143" t="s">
        <v>2504</v>
      </c>
      <c r="F421" s="143" t="s">
        <v>2504</v>
      </c>
      <c r="G421" s="143" t="s">
        <v>2504</v>
      </c>
      <c r="H421" s="143" t="s">
        <v>2504</v>
      </c>
      <c r="I421" s="143" t="s">
        <v>2504</v>
      </c>
      <c r="J421" s="143" t="s">
        <v>2504</v>
      </c>
      <c r="K421" s="143" t="s">
        <v>2504</v>
      </c>
      <c r="L421" s="143" t="s">
        <v>2504</v>
      </c>
      <c r="M421" s="143" t="s">
        <v>2504</v>
      </c>
      <c r="N421" s="143" t="s">
        <v>2504</v>
      </c>
      <c r="O421" s="143" t="s">
        <v>2504</v>
      </c>
      <c r="P421" s="143" t="s">
        <v>2504</v>
      </c>
      <c r="Q421" s="148" t="s">
        <v>2326</v>
      </c>
      <c r="R421" s="148" t="s">
        <v>594</v>
      </c>
      <c r="S421" s="148" t="s">
        <v>2214</v>
      </c>
      <c r="T421" s="149">
        <v>200</v>
      </c>
      <c r="U421" s="241" t="s">
        <v>591</v>
      </c>
      <c r="V421" s="150">
        <v>25737.74</v>
      </c>
      <c r="W421" s="151">
        <v>2345.37</v>
      </c>
    </row>
    <row r="422" spans="1:23" ht="15" customHeight="1" x14ac:dyDescent="0.25">
      <c r="A422" s="148">
        <v>16733</v>
      </c>
      <c r="B422" s="148" t="s">
        <v>274</v>
      </c>
      <c r="C422" s="143" t="s">
        <v>274</v>
      </c>
      <c r="D422" s="143" t="s">
        <v>2504</v>
      </c>
      <c r="E422" s="143" t="s">
        <v>2504</v>
      </c>
      <c r="F422" s="143" t="s">
        <v>2504</v>
      </c>
      <c r="G422" s="143" t="s">
        <v>2504</v>
      </c>
      <c r="H422" s="143" t="s">
        <v>2504</v>
      </c>
      <c r="I422" s="143" t="s">
        <v>2504</v>
      </c>
      <c r="J422" s="143" t="s">
        <v>2504</v>
      </c>
      <c r="K422" s="143" t="s">
        <v>2504</v>
      </c>
      <c r="L422" s="143" t="s">
        <v>2504</v>
      </c>
      <c r="M422" s="143" t="s">
        <v>2504</v>
      </c>
      <c r="N422" s="143" t="s">
        <v>2504</v>
      </c>
      <c r="O422" s="143" t="s">
        <v>2504</v>
      </c>
      <c r="P422" s="143" t="s">
        <v>2504</v>
      </c>
      <c r="Q422" s="148" t="s">
        <v>2327</v>
      </c>
      <c r="R422" s="148" t="s">
        <v>594</v>
      </c>
      <c r="S422" s="148" t="s">
        <v>2214</v>
      </c>
      <c r="T422" s="149">
        <v>200</v>
      </c>
      <c r="U422" s="241" t="s">
        <v>591</v>
      </c>
      <c r="V422" s="150">
        <v>26735.98</v>
      </c>
      <c r="W422" s="151">
        <v>1967.12</v>
      </c>
    </row>
    <row r="423" spans="1:23" ht="15" customHeight="1" x14ac:dyDescent="0.25">
      <c r="A423" s="148">
        <v>16734</v>
      </c>
      <c r="B423" s="148" t="s">
        <v>277</v>
      </c>
      <c r="C423" s="143" t="s">
        <v>277</v>
      </c>
      <c r="D423" s="143" t="s">
        <v>2504</v>
      </c>
      <c r="E423" s="143" t="s">
        <v>2504</v>
      </c>
      <c r="F423" s="143" t="s">
        <v>2504</v>
      </c>
      <c r="G423" s="143" t="s">
        <v>2504</v>
      </c>
      <c r="H423" s="143" t="s">
        <v>2504</v>
      </c>
      <c r="I423" s="143" t="s">
        <v>2504</v>
      </c>
      <c r="J423" s="143" t="s">
        <v>2504</v>
      </c>
      <c r="K423" s="143" t="s">
        <v>2504</v>
      </c>
      <c r="L423" s="143" t="s">
        <v>2504</v>
      </c>
      <c r="M423" s="143" t="s">
        <v>2504</v>
      </c>
      <c r="N423" s="143" t="s">
        <v>2504</v>
      </c>
      <c r="O423" s="143" t="s">
        <v>2504</v>
      </c>
      <c r="P423" s="143" t="s">
        <v>2504</v>
      </c>
      <c r="Q423" s="148" t="s">
        <v>2328</v>
      </c>
      <c r="R423" s="148" t="s">
        <v>594</v>
      </c>
      <c r="S423" s="148" t="s">
        <v>2214</v>
      </c>
      <c r="T423" s="149">
        <v>200</v>
      </c>
      <c r="U423" s="241" t="s">
        <v>591</v>
      </c>
      <c r="V423" s="150">
        <v>28464.28</v>
      </c>
      <c r="W423" s="151">
        <v>2042.95</v>
      </c>
    </row>
    <row r="424" spans="1:23" ht="15" customHeight="1" x14ac:dyDescent="0.25">
      <c r="A424" s="148">
        <v>16935</v>
      </c>
      <c r="B424" s="148" t="s">
        <v>266</v>
      </c>
      <c r="C424" s="143" t="s">
        <v>266</v>
      </c>
      <c r="D424" s="143" t="s">
        <v>2504</v>
      </c>
      <c r="E424" s="143" t="s">
        <v>2504</v>
      </c>
      <c r="F424" s="143" t="s">
        <v>2504</v>
      </c>
      <c r="G424" s="143" t="s">
        <v>2504</v>
      </c>
      <c r="H424" s="143" t="s">
        <v>2504</v>
      </c>
      <c r="I424" s="143" t="s">
        <v>2504</v>
      </c>
      <c r="J424" s="143" t="s">
        <v>2504</v>
      </c>
      <c r="K424" s="143" t="s">
        <v>2504</v>
      </c>
      <c r="L424" s="143" t="s">
        <v>2504</v>
      </c>
      <c r="M424" s="143" t="s">
        <v>2504</v>
      </c>
      <c r="N424" s="143" t="s">
        <v>2504</v>
      </c>
      <c r="O424" s="143" t="s">
        <v>2504</v>
      </c>
      <c r="P424" s="143" t="s">
        <v>2504</v>
      </c>
      <c r="Q424" s="148" t="s">
        <v>2423</v>
      </c>
      <c r="R424" s="148" t="s">
        <v>594</v>
      </c>
      <c r="S424" s="148" t="s">
        <v>2214</v>
      </c>
      <c r="T424" s="149">
        <v>0.95</v>
      </c>
      <c r="U424" s="241" t="s">
        <v>591</v>
      </c>
      <c r="V424" s="150">
        <v>125.96</v>
      </c>
      <c r="W424" s="151">
        <v>2187.44</v>
      </c>
    </row>
    <row r="425" spans="1:23" ht="15" customHeight="1" x14ac:dyDescent="0.25">
      <c r="A425" s="148">
        <v>16936</v>
      </c>
      <c r="B425" s="148" t="s">
        <v>271</v>
      </c>
      <c r="C425" s="143" t="s">
        <v>271</v>
      </c>
      <c r="D425" s="143" t="s">
        <v>2504</v>
      </c>
      <c r="E425" s="143" t="s">
        <v>2504</v>
      </c>
      <c r="F425" s="143" t="s">
        <v>2504</v>
      </c>
      <c r="G425" s="143" t="s">
        <v>2504</v>
      </c>
      <c r="H425" s="143" t="s">
        <v>2504</v>
      </c>
      <c r="I425" s="143" t="s">
        <v>2504</v>
      </c>
      <c r="J425" s="143" t="s">
        <v>2504</v>
      </c>
      <c r="K425" s="143" t="s">
        <v>2504</v>
      </c>
      <c r="L425" s="143" t="s">
        <v>2504</v>
      </c>
      <c r="M425" s="143" t="s">
        <v>2504</v>
      </c>
      <c r="N425" s="143" t="s">
        <v>2504</v>
      </c>
      <c r="O425" s="143" t="s">
        <v>2504</v>
      </c>
      <c r="P425" s="143" t="s">
        <v>2504</v>
      </c>
      <c r="Q425" s="148" t="s">
        <v>2424</v>
      </c>
      <c r="R425" s="148" t="s">
        <v>594</v>
      </c>
      <c r="S425" s="148" t="s">
        <v>2214</v>
      </c>
      <c r="T425" s="149">
        <v>0.95</v>
      </c>
      <c r="U425" s="241" t="s">
        <v>591</v>
      </c>
      <c r="V425" s="150">
        <v>129.29</v>
      </c>
      <c r="W425" s="151">
        <v>2312.2399999999998</v>
      </c>
    </row>
    <row r="426" spans="1:23" ht="15" customHeight="1" x14ac:dyDescent="0.25">
      <c r="A426" s="148">
        <v>16937</v>
      </c>
      <c r="B426" s="148" t="s">
        <v>272</v>
      </c>
      <c r="C426" s="143" t="s">
        <v>272</v>
      </c>
      <c r="D426" s="143" t="s">
        <v>2504</v>
      </c>
      <c r="E426" s="143" t="s">
        <v>2504</v>
      </c>
      <c r="F426" s="143" t="s">
        <v>2504</v>
      </c>
      <c r="G426" s="143" t="s">
        <v>2504</v>
      </c>
      <c r="H426" s="143" t="s">
        <v>2504</v>
      </c>
      <c r="I426" s="143" t="s">
        <v>2504</v>
      </c>
      <c r="J426" s="143" t="s">
        <v>2504</v>
      </c>
      <c r="K426" s="143" t="s">
        <v>2504</v>
      </c>
      <c r="L426" s="143" t="s">
        <v>2504</v>
      </c>
      <c r="M426" s="143" t="s">
        <v>2504</v>
      </c>
      <c r="N426" s="143" t="s">
        <v>2504</v>
      </c>
      <c r="O426" s="143" t="s">
        <v>2504</v>
      </c>
      <c r="P426" s="143" t="s">
        <v>2504</v>
      </c>
      <c r="Q426" s="148" t="s">
        <v>2425</v>
      </c>
      <c r="R426" s="148" t="s">
        <v>594</v>
      </c>
      <c r="S426" s="148" t="s">
        <v>2214</v>
      </c>
      <c r="T426" s="149">
        <v>0.95</v>
      </c>
      <c r="U426" s="241" t="s">
        <v>591</v>
      </c>
      <c r="V426" s="150">
        <v>134.27000000000001</v>
      </c>
      <c r="W426" s="151">
        <v>1984.22</v>
      </c>
    </row>
    <row r="427" spans="1:23" ht="15" customHeight="1" x14ac:dyDescent="0.25">
      <c r="A427" s="148">
        <v>16938</v>
      </c>
      <c r="B427" s="148" t="s">
        <v>275</v>
      </c>
      <c r="C427" s="143" t="s">
        <v>275</v>
      </c>
      <c r="D427" s="143" t="s">
        <v>2504</v>
      </c>
      <c r="E427" s="143" t="s">
        <v>2504</v>
      </c>
      <c r="F427" s="143" t="s">
        <v>2504</v>
      </c>
      <c r="G427" s="143" t="s">
        <v>2504</v>
      </c>
      <c r="H427" s="143" t="s">
        <v>2504</v>
      </c>
      <c r="I427" s="143" t="s">
        <v>2504</v>
      </c>
      <c r="J427" s="143" t="s">
        <v>2504</v>
      </c>
      <c r="K427" s="143" t="s">
        <v>2504</v>
      </c>
      <c r="L427" s="143" t="s">
        <v>2504</v>
      </c>
      <c r="M427" s="143" t="s">
        <v>2504</v>
      </c>
      <c r="N427" s="143" t="s">
        <v>2504</v>
      </c>
      <c r="O427" s="143" t="s">
        <v>2504</v>
      </c>
      <c r="P427" s="143" t="s">
        <v>2504</v>
      </c>
      <c r="Q427" s="148" t="s">
        <v>2426</v>
      </c>
      <c r="R427" s="148" t="s">
        <v>594</v>
      </c>
      <c r="S427" s="148" t="s">
        <v>2214</v>
      </c>
      <c r="T427" s="149">
        <v>0.95</v>
      </c>
      <c r="U427" s="241" t="s">
        <v>591</v>
      </c>
      <c r="V427" s="150">
        <v>135.33000000000001</v>
      </c>
      <c r="W427" s="151">
        <v>2069.04</v>
      </c>
    </row>
    <row r="428" spans="1:23" ht="15" customHeight="1" x14ac:dyDescent="0.25">
      <c r="A428" s="148">
        <v>16738</v>
      </c>
      <c r="B428" s="148" t="s">
        <v>281</v>
      </c>
      <c r="C428" s="143" t="s">
        <v>281</v>
      </c>
      <c r="D428" s="143" t="s">
        <v>2504</v>
      </c>
      <c r="E428" s="143" t="s">
        <v>2504</v>
      </c>
      <c r="F428" s="143" t="s">
        <v>2504</v>
      </c>
      <c r="G428" s="143" t="s">
        <v>2504</v>
      </c>
      <c r="H428" s="143" t="s">
        <v>2504</v>
      </c>
      <c r="I428" s="143" t="s">
        <v>2504</v>
      </c>
      <c r="J428" s="143" t="s">
        <v>2504</v>
      </c>
      <c r="K428" s="143" t="s">
        <v>2504</v>
      </c>
      <c r="L428" s="143" t="s">
        <v>2504</v>
      </c>
      <c r="M428" s="143" t="s">
        <v>2504</v>
      </c>
      <c r="N428" s="143" t="s">
        <v>2504</v>
      </c>
      <c r="O428" s="143" t="s">
        <v>2504</v>
      </c>
      <c r="P428" s="143" t="s">
        <v>2504</v>
      </c>
      <c r="Q428" s="148" t="s">
        <v>2333</v>
      </c>
      <c r="R428" s="148" t="s">
        <v>594</v>
      </c>
      <c r="S428" s="148" t="s">
        <v>2257</v>
      </c>
      <c r="T428" s="149">
        <v>200</v>
      </c>
      <c r="U428" s="241" t="s">
        <v>591</v>
      </c>
      <c r="V428" s="150">
        <v>42922.86</v>
      </c>
      <c r="W428" s="151">
        <v>2204.4499999999998</v>
      </c>
    </row>
    <row r="429" spans="1:23" ht="15" customHeight="1" x14ac:dyDescent="0.25">
      <c r="A429" s="148">
        <v>16735</v>
      </c>
      <c r="B429" s="148" t="s">
        <v>279</v>
      </c>
      <c r="C429" s="143" t="s">
        <v>279</v>
      </c>
      <c r="D429" s="143" t="s">
        <v>2504</v>
      </c>
      <c r="E429" s="143" t="s">
        <v>2504</v>
      </c>
      <c r="F429" s="143" t="s">
        <v>2504</v>
      </c>
      <c r="G429" s="143" t="s">
        <v>2504</v>
      </c>
      <c r="H429" s="143" t="s">
        <v>2504</v>
      </c>
      <c r="I429" s="143" t="s">
        <v>2504</v>
      </c>
      <c r="J429" s="143" t="s">
        <v>2504</v>
      </c>
      <c r="K429" s="143" t="s">
        <v>2504</v>
      </c>
      <c r="L429" s="143" t="s">
        <v>2504</v>
      </c>
      <c r="M429" s="143" t="s">
        <v>2504</v>
      </c>
      <c r="N429" s="143" t="s">
        <v>2504</v>
      </c>
      <c r="O429" s="143" t="s">
        <v>2504</v>
      </c>
      <c r="P429" s="143" t="s">
        <v>2504</v>
      </c>
      <c r="Q429" s="148" t="s">
        <v>2329</v>
      </c>
      <c r="R429" s="148" t="s">
        <v>594</v>
      </c>
      <c r="S429" s="148" t="s">
        <v>2257</v>
      </c>
      <c r="T429" s="149">
        <v>200</v>
      </c>
      <c r="U429" s="241" t="s">
        <v>591</v>
      </c>
      <c r="V429" s="150">
        <v>42257.25</v>
      </c>
      <c r="W429" s="151">
        <v>2334.14</v>
      </c>
    </row>
    <row r="430" spans="1:23" ht="15" customHeight="1" x14ac:dyDescent="0.25">
      <c r="A430" s="148">
        <v>16736</v>
      </c>
      <c r="B430" s="148" t="s">
        <v>283</v>
      </c>
      <c r="C430" s="143" t="s">
        <v>283</v>
      </c>
      <c r="D430" s="143" t="s">
        <v>2504</v>
      </c>
      <c r="E430" s="143" t="s">
        <v>2504</v>
      </c>
      <c r="F430" s="143" t="s">
        <v>2504</v>
      </c>
      <c r="G430" s="143" t="s">
        <v>2504</v>
      </c>
      <c r="H430" s="143" t="s">
        <v>2504</v>
      </c>
      <c r="I430" s="143" t="s">
        <v>2504</v>
      </c>
      <c r="J430" s="143" t="s">
        <v>2504</v>
      </c>
      <c r="K430" s="143" t="s">
        <v>2504</v>
      </c>
      <c r="L430" s="143" t="s">
        <v>2504</v>
      </c>
      <c r="M430" s="143" t="s">
        <v>2504</v>
      </c>
      <c r="N430" s="143" t="s">
        <v>2504</v>
      </c>
      <c r="O430" s="143" t="s">
        <v>2504</v>
      </c>
      <c r="P430" s="143" t="s">
        <v>2504</v>
      </c>
      <c r="Q430" s="148" t="s">
        <v>2330</v>
      </c>
      <c r="R430" s="148" t="s">
        <v>594</v>
      </c>
      <c r="S430" s="148" t="s">
        <v>2257</v>
      </c>
      <c r="T430" s="149">
        <v>200</v>
      </c>
      <c r="U430" s="241" t="s">
        <v>591</v>
      </c>
      <c r="V430" s="150">
        <v>41876.050000000003</v>
      </c>
      <c r="W430" s="151">
        <v>2015.08</v>
      </c>
    </row>
    <row r="431" spans="1:23" ht="15" customHeight="1" x14ac:dyDescent="0.25">
      <c r="A431" s="148">
        <v>16931</v>
      </c>
      <c r="B431" s="148" t="s">
        <v>284</v>
      </c>
      <c r="C431" s="143" t="s">
        <v>284</v>
      </c>
      <c r="D431" s="143" t="s">
        <v>2504</v>
      </c>
      <c r="E431" s="143" t="s">
        <v>2504</v>
      </c>
      <c r="F431" s="143" t="s">
        <v>2504</v>
      </c>
      <c r="G431" s="143" t="s">
        <v>2504</v>
      </c>
      <c r="H431" s="143" t="s">
        <v>2504</v>
      </c>
      <c r="I431" s="143" t="s">
        <v>2504</v>
      </c>
      <c r="J431" s="143" t="s">
        <v>2504</v>
      </c>
      <c r="K431" s="143" t="s">
        <v>2504</v>
      </c>
      <c r="L431" s="143" t="s">
        <v>2504</v>
      </c>
      <c r="M431" s="143" t="s">
        <v>2504</v>
      </c>
      <c r="N431" s="143" t="s">
        <v>2504</v>
      </c>
      <c r="O431" s="143" t="s">
        <v>2504</v>
      </c>
      <c r="P431" s="143" t="s">
        <v>2504</v>
      </c>
      <c r="Q431" s="148" t="s">
        <v>2419</v>
      </c>
      <c r="R431" s="148" t="s">
        <v>594</v>
      </c>
      <c r="S431" s="148" t="s">
        <v>2257</v>
      </c>
      <c r="T431" s="149">
        <v>0.95</v>
      </c>
      <c r="U431" s="241" t="s">
        <v>591</v>
      </c>
      <c r="V431" s="150">
        <v>197.16</v>
      </c>
      <c r="W431" s="151">
        <v>2030</v>
      </c>
    </row>
    <row r="432" spans="1:23" ht="15" customHeight="1" x14ac:dyDescent="0.25">
      <c r="A432" s="148">
        <v>16932</v>
      </c>
      <c r="B432" s="148" t="s">
        <v>278</v>
      </c>
      <c r="C432" s="143" t="s">
        <v>278</v>
      </c>
      <c r="D432" s="143" t="s">
        <v>2504</v>
      </c>
      <c r="E432" s="143" t="s">
        <v>2504</v>
      </c>
      <c r="F432" s="143" t="s">
        <v>2504</v>
      </c>
      <c r="G432" s="143" t="s">
        <v>2504</v>
      </c>
      <c r="H432" s="143" t="s">
        <v>2504</v>
      </c>
      <c r="I432" s="143" t="s">
        <v>2504</v>
      </c>
      <c r="J432" s="143" t="s">
        <v>2504</v>
      </c>
      <c r="K432" s="143" t="s">
        <v>2504</v>
      </c>
      <c r="L432" s="143" t="s">
        <v>2504</v>
      </c>
      <c r="M432" s="143" t="s">
        <v>2504</v>
      </c>
      <c r="N432" s="143" t="s">
        <v>2504</v>
      </c>
      <c r="O432" s="143" t="s">
        <v>2504</v>
      </c>
      <c r="P432" s="143" t="s">
        <v>2504</v>
      </c>
      <c r="Q432" s="148" t="s">
        <v>2420</v>
      </c>
      <c r="R432" s="148" t="s">
        <v>594</v>
      </c>
      <c r="S432" s="148" t="s">
        <v>2257</v>
      </c>
      <c r="T432" s="149">
        <v>0.95</v>
      </c>
      <c r="U432" s="241" t="s">
        <v>591</v>
      </c>
      <c r="V432" s="150">
        <v>197.69</v>
      </c>
      <c r="W432" s="151">
        <v>2035.18</v>
      </c>
    </row>
    <row r="433" spans="1:23" ht="15" customHeight="1" x14ac:dyDescent="0.25">
      <c r="A433" s="148">
        <v>16933</v>
      </c>
      <c r="B433" s="148" t="s">
        <v>280</v>
      </c>
      <c r="C433" s="143" t="s">
        <v>280</v>
      </c>
      <c r="D433" s="143" t="s">
        <v>2504</v>
      </c>
      <c r="E433" s="143" t="s">
        <v>2504</v>
      </c>
      <c r="F433" s="143" t="s">
        <v>2504</v>
      </c>
      <c r="G433" s="143" t="s">
        <v>2504</v>
      </c>
      <c r="H433" s="143" t="s">
        <v>2504</v>
      </c>
      <c r="I433" s="143" t="s">
        <v>2504</v>
      </c>
      <c r="J433" s="143" t="s">
        <v>2504</v>
      </c>
      <c r="K433" s="143" t="s">
        <v>2504</v>
      </c>
      <c r="L433" s="143" t="s">
        <v>2504</v>
      </c>
      <c r="M433" s="143" t="s">
        <v>2504</v>
      </c>
      <c r="N433" s="143" t="s">
        <v>2504</v>
      </c>
      <c r="O433" s="143" t="s">
        <v>2504</v>
      </c>
      <c r="P433" s="143" t="s">
        <v>2504</v>
      </c>
      <c r="Q433" s="148" t="s">
        <v>2421</v>
      </c>
      <c r="R433" s="148" t="s">
        <v>594</v>
      </c>
      <c r="S433" s="148" t="s">
        <v>2257</v>
      </c>
      <c r="T433" s="149">
        <v>0.95</v>
      </c>
      <c r="U433" s="241" t="s">
        <v>591</v>
      </c>
      <c r="V433" s="150">
        <v>197.24</v>
      </c>
      <c r="W433" s="151">
        <v>2036.39</v>
      </c>
    </row>
    <row r="434" spans="1:23" ht="15" customHeight="1" x14ac:dyDescent="0.25">
      <c r="A434" s="148">
        <v>16934</v>
      </c>
      <c r="B434" s="148" t="s">
        <v>282</v>
      </c>
      <c r="C434" s="143" t="s">
        <v>282</v>
      </c>
      <c r="D434" s="143" t="s">
        <v>2504</v>
      </c>
      <c r="E434" s="143" t="s">
        <v>2504</v>
      </c>
      <c r="F434" s="143" t="s">
        <v>2504</v>
      </c>
      <c r="G434" s="143" t="s">
        <v>2504</v>
      </c>
      <c r="H434" s="143" t="s">
        <v>2504</v>
      </c>
      <c r="I434" s="143" t="s">
        <v>2504</v>
      </c>
      <c r="J434" s="143" t="s">
        <v>2504</v>
      </c>
      <c r="K434" s="143" t="s">
        <v>2504</v>
      </c>
      <c r="L434" s="143" t="s">
        <v>2504</v>
      </c>
      <c r="M434" s="143" t="s">
        <v>2504</v>
      </c>
      <c r="N434" s="143" t="s">
        <v>2504</v>
      </c>
      <c r="O434" s="143" t="s">
        <v>2504</v>
      </c>
      <c r="P434" s="143" t="s">
        <v>2504</v>
      </c>
      <c r="Q434" s="148" t="s">
        <v>2422</v>
      </c>
      <c r="R434" s="148" t="s">
        <v>594</v>
      </c>
      <c r="S434" s="148" t="s">
        <v>2257</v>
      </c>
      <c r="T434" s="149">
        <v>0.95</v>
      </c>
      <c r="U434" s="241" t="s">
        <v>591</v>
      </c>
      <c r="V434" s="150">
        <v>197.34</v>
      </c>
      <c r="W434" s="151">
        <v>2041.55</v>
      </c>
    </row>
    <row r="435" spans="1:23" ht="15" customHeight="1" x14ac:dyDescent="0.25">
      <c r="A435" s="148">
        <v>16605</v>
      </c>
      <c r="B435" s="148" t="s">
        <v>506</v>
      </c>
      <c r="C435" s="143" t="s">
        <v>506</v>
      </c>
      <c r="D435" s="143" t="s">
        <v>2504</v>
      </c>
      <c r="E435" s="143" t="s">
        <v>2504</v>
      </c>
      <c r="F435" s="143" t="s">
        <v>2504</v>
      </c>
      <c r="G435" s="143" t="s">
        <v>2504</v>
      </c>
      <c r="H435" s="143" t="s">
        <v>2504</v>
      </c>
      <c r="I435" s="143" t="s">
        <v>2504</v>
      </c>
      <c r="J435" s="143" t="s">
        <v>2504</v>
      </c>
      <c r="K435" s="143" t="s">
        <v>2504</v>
      </c>
      <c r="L435" s="143" t="s">
        <v>2504</v>
      </c>
      <c r="M435" s="143" t="s">
        <v>2504</v>
      </c>
      <c r="N435" s="143" t="s">
        <v>2504</v>
      </c>
      <c r="O435" s="143" t="s">
        <v>2504</v>
      </c>
      <c r="P435" s="143" t="s">
        <v>2504</v>
      </c>
      <c r="Q435" s="148" t="s">
        <v>2278</v>
      </c>
      <c r="R435" s="148" t="s">
        <v>594</v>
      </c>
      <c r="S435" s="148" t="s">
        <v>2279</v>
      </c>
      <c r="T435" s="149">
        <v>19</v>
      </c>
      <c r="U435" s="148" t="s">
        <v>596</v>
      </c>
      <c r="V435" s="150">
        <v>4071.19</v>
      </c>
      <c r="W435" s="151">
        <v>2036.31</v>
      </c>
    </row>
    <row r="436" spans="1:23" ht="15" customHeight="1" x14ac:dyDescent="0.25">
      <c r="A436" s="148">
        <v>16740</v>
      </c>
      <c r="B436" s="148" t="s">
        <v>287</v>
      </c>
      <c r="C436" s="143" t="s">
        <v>287</v>
      </c>
      <c r="D436" s="143" t="s">
        <v>2504</v>
      </c>
      <c r="E436" s="143" t="s">
        <v>2504</v>
      </c>
      <c r="F436" s="143" t="s">
        <v>2504</v>
      </c>
      <c r="G436" s="143" t="s">
        <v>2504</v>
      </c>
      <c r="H436" s="143" t="s">
        <v>2504</v>
      </c>
      <c r="I436" s="143" t="s">
        <v>2504</v>
      </c>
      <c r="J436" s="143" t="s">
        <v>2504</v>
      </c>
      <c r="K436" s="143" t="s">
        <v>2504</v>
      </c>
      <c r="L436" s="143" t="s">
        <v>2504</v>
      </c>
      <c r="M436" s="143" t="s">
        <v>2504</v>
      </c>
      <c r="N436" s="143" t="s">
        <v>2504</v>
      </c>
      <c r="O436" s="143" t="s">
        <v>2504</v>
      </c>
      <c r="P436" s="143" t="s">
        <v>2504</v>
      </c>
      <c r="Q436" s="148" t="s">
        <v>2335</v>
      </c>
      <c r="R436" s="148" t="s">
        <v>594</v>
      </c>
      <c r="S436" s="148" t="s">
        <v>2232</v>
      </c>
      <c r="T436" s="149">
        <v>200</v>
      </c>
      <c r="U436" s="241" t="s">
        <v>591</v>
      </c>
      <c r="V436" s="150">
        <v>40194.050000000003</v>
      </c>
      <c r="W436" s="151">
        <v>2065.06</v>
      </c>
    </row>
    <row r="437" spans="1:23" ht="15" customHeight="1" x14ac:dyDescent="0.25">
      <c r="A437" s="148">
        <v>16741</v>
      </c>
      <c r="B437" s="148" t="s">
        <v>507</v>
      </c>
      <c r="C437" s="143" t="s">
        <v>507</v>
      </c>
      <c r="D437" s="143" t="s">
        <v>2504</v>
      </c>
      <c r="E437" s="143" t="s">
        <v>2504</v>
      </c>
      <c r="F437" s="143" t="s">
        <v>2504</v>
      </c>
      <c r="G437" s="143" t="s">
        <v>2504</v>
      </c>
      <c r="H437" s="143" t="s">
        <v>2504</v>
      </c>
      <c r="I437" s="143" t="s">
        <v>2504</v>
      </c>
      <c r="J437" s="143" t="s">
        <v>2504</v>
      </c>
      <c r="K437" s="143" t="s">
        <v>2504</v>
      </c>
      <c r="L437" s="143" t="s">
        <v>2504</v>
      </c>
      <c r="M437" s="143" t="s">
        <v>2504</v>
      </c>
      <c r="N437" s="143" t="s">
        <v>2504</v>
      </c>
      <c r="O437" s="143" t="s">
        <v>2504</v>
      </c>
      <c r="P437" s="143" t="s">
        <v>2504</v>
      </c>
      <c r="Q437" s="148" t="s">
        <v>2336</v>
      </c>
      <c r="R437" s="148" t="s">
        <v>594</v>
      </c>
      <c r="S437" s="148" t="s">
        <v>2232</v>
      </c>
      <c r="T437" s="149">
        <v>200</v>
      </c>
      <c r="U437" s="241" t="s">
        <v>591</v>
      </c>
      <c r="V437" s="150">
        <v>39692.33</v>
      </c>
      <c r="W437" s="151">
        <v>2072.98</v>
      </c>
    </row>
    <row r="438" spans="1:23" ht="15" customHeight="1" x14ac:dyDescent="0.25">
      <c r="A438" s="148">
        <v>16900</v>
      </c>
      <c r="B438" s="148" t="s">
        <v>285</v>
      </c>
      <c r="C438" s="143" t="s">
        <v>285</v>
      </c>
      <c r="D438" s="143" t="s">
        <v>2504</v>
      </c>
      <c r="E438" s="143" t="s">
        <v>2504</v>
      </c>
      <c r="F438" s="143" t="s">
        <v>2504</v>
      </c>
      <c r="G438" s="143" t="s">
        <v>2504</v>
      </c>
      <c r="H438" s="143" t="s">
        <v>2504</v>
      </c>
      <c r="I438" s="143" t="s">
        <v>2504</v>
      </c>
      <c r="J438" s="143" t="s">
        <v>2504</v>
      </c>
      <c r="K438" s="143" t="s">
        <v>2504</v>
      </c>
      <c r="L438" s="143" t="s">
        <v>2504</v>
      </c>
      <c r="M438" s="143" t="s">
        <v>2504</v>
      </c>
      <c r="N438" s="143" t="s">
        <v>2504</v>
      </c>
      <c r="O438" s="143" t="s">
        <v>2504</v>
      </c>
      <c r="P438" s="143" t="s">
        <v>2504</v>
      </c>
      <c r="Q438" s="148" t="s">
        <v>2390</v>
      </c>
      <c r="R438" s="148" t="s">
        <v>594</v>
      </c>
      <c r="S438" s="148" t="s">
        <v>2279</v>
      </c>
      <c r="T438" s="149">
        <v>0.95</v>
      </c>
      <c r="U438" s="241" t="s">
        <v>591</v>
      </c>
      <c r="V438" s="150">
        <v>204.97</v>
      </c>
      <c r="W438" s="151">
        <v>7282.33</v>
      </c>
    </row>
    <row r="439" spans="1:23" ht="15" customHeight="1" x14ac:dyDescent="0.25">
      <c r="A439" s="148">
        <v>16902</v>
      </c>
      <c r="B439" s="148" t="s">
        <v>508</v>
      </c>
      <c r="C439" s="143" t="s">
        <v>508</v>
      </c>
      <c r="D439" s="143" t="s">
        <v>2504</v>
      </c>
      <c r="E439" s="143" t="s">
        <v>2504</v>
      </c>
      <c r="F439" s="143" t="s">
        <v>2504</v>
      </c>
      <c r="G439" s="143" t="s">
        <v>2504</v>
      </c>
      <c r="H439" s="143" t="s">
        <v>2504</v>
      </c>
      <c r="I439" s="143" t="s">
        <v>2504</v>
      </c>
      <c r="J439" s="143" t="s">
        <v>2504</v>
      </c>
      <c r="K439" s="143" t="s">
        <v>2504</v>
      </c>
      <c r="L439" s="143" t="s">
        <v>2504</v>
      </c>
      <c r="M439" s="143" t="s">
        <v>2504</v>
      </c>
      <c r="N439" s="143" t="s">
        <v>2504</v>
      </c>
      <c r="O439" s="143" t="s">
        <v>2504</v>
      </c>
      <c r="P439" s="143" t="s">
        <v>2504</v>
      </c>
      <c r="Q439" s="148" t="s">
        <v>2393</v>
      </c>
      <c r="R439" s="148" t="s">
        <v>594</v>
      </c>
      <c r="S439" s="148" t="s">
        <v>2279</v>
      </c>
      <c r="T439" s="149">
        <v>0.95</v>
      </c>
      <c r="U439" s="148" t="s">
        <v>596</v>
      </c>
      <c r="V439" s="150">
        <v>202.21</v>
      </c>
      <c r="W439" s="151">
        <v>8961.42</v>
      </c>
    </row>
    <row r="440" spans="1:23" ht="15" customHeight="1" x14ac:dyDescent="0.25">
      <c r="A440" s="148">
        <v>16928</v>
      </c>
      <c r="B440" s="148" t="s">
        <v>286</v>
      </c>
      <c r="C440" s="143" t="s">
        <v>286</v>
      </c>
      <c r="D440" s="143" t="s">
        <v>2504</v>
      </c>
      <c r="E440" s="143" t="s">
        <v>2504</v>
      </c>
      <c r="F440" s="143" t="s">
        <v>2504</v>
      </c>
      <c r="G440" s="143" t="s">
        <v>2504</v>
      </c>
      <c r="H440" s="143" t="s">
        <v>2504</v>
      </c>
      <c r="I440" s="143" t="s">
        <v>2504</v>
      </c>
      <c r="J440" s="143" t="s">
        <v>2504</v>
      </c>
      <c r="K440" s="143" t="s">
        <v>2504</v>
      </c>
      <c r="L440" s="143" t="s">
        <v>2504</v>
      </c>
      <c r="M440" s="143" t="s">
        <v>2504</v>
      </c>
      <c r="N440" s="143" t="s">
        <v>2504</v>
      </c>
      <c r="O440" s="143" t="s">
        <v>2504</v>
      </c>
      <c r="P440" s="143" t="s">
        <v>2504</v>
      </c>
      <c r="Q440" s="148" t="s">
        <v>2416</v>
      </c>
      <c r="R440" s="148" t="s">
        <v>594</v>
      </c>
      <c r="S440" s="148" t="s">
        <v>2232</v>
      </c>
      <c r="T440" s="149">
        <v>0.95</v>
      </c>
      <c r="U440" s="241" t="s">
        <v>591</v>
      </c>
      <c r="V440" s="150">
        <v>188.4</v>
      </c>
      <c r="W440" s="151">
        <v>6939.2</v>
      </c>
    </row>
    <row r="441" spans="1:23" ht="15" customHeight="1" x14ac:dyDescent="0.25">
      <c r="A441" s="148">
        <v>16412</v>
      </c>
      <c r="B441" s="148" t="s">
        <v>291</v>
      </c>
      <c r="C441" s="143" t="s">
        <v>2504</v>
      </c>
      <c r="D441" s="143" t="s">
        <v>291</v>
      </c>
      <c r="E441" s="143" t="s">
        <v>2504</v>
      </c>
      <c r="F441" s="143" t="s">
        <v>2504</v>
      </c>
      <c r="G441" s="143" t="s">
        <v>2504</v>
      </c>
      <c r="H441" s="143" t="s">
        <v>2504</v>
      </c>
      <c r="I441" s="143" t="s">
        <v>2504</v>
      </c>
      <c r="J441" s="143" t="s">
        <v>2504</v>
      </c>
      <c r="K441" s="143" t="s">
        <v>2504</v>
      </c>
      <c r="L441" s="143" t="s">
        <v>2504</v>
      </c>
      <c r="M441" s="143" t="s">
        <v>2504</v>
      </c>
      <c r="N441" s="143" t="s">
        <v>2504</v>
      </c>
      <c r="O441" s="143" t="s">
        <v>2504</v>
      </c>
      <c r="P441" s="143" t="s">
        <v>2504</v>
      </c>
      <c r="Q441" s="148" t="s">
        <v>2248</v>
      </c>
      <c r="R441" s="148" t="s">
        <v>594</v>
      </c>
      <c r="S441" s="148" t="s">
        <v>674</v>
      </c>
      <c r="T441" s="149">
        <v>0.25</v>
      </c>
      <c r="U441" s="241" t="s">
        <v>591</v>
      </c>
      <c r="V441" s="150">
        <v>34.07</v>
      </c>
      <c r="W441" s="151">
        <v>7448.61</v>
      </c>
    </row>
    <row r="442" spans="1:23" ht="15" customHeight="1" x14ac:dyDescent="0.25">
      <c r="A442" s="148">
        <v>16939</v>
      </c>
      <c r="B442" s="148" t="s">
        <v>292</v>
      </c>
      <c r="C442" s="143" t="s">
        <v>2504</v>
      </c>
      <c r="D442" s="143" t="s">
        <v>292</v>
      </c>
      <c r="E442" s="143" t="s">
        <v>2504</v>
      </c>
      <c r="F442" s="143" t="s">
        <v>2504</v>
      </c>
      <c r="G442" s="143" t="s">
        <v>2504</v>
      </c>
      <c r="H442" s="143" t="s">
        <v>2504</v>
      </c>
      <c r="I442" s="143" t="s">
        <v>2504</v>
      </c>
      <c r="J442" s="143" t="s">
        <v>2504</v>
      </c>
      <c r="K442" s="143" t="s">
        <v>2504</v>
      </c>
      <c r="L442" s="143" t="s">
        <v>2504</v>
      </c>
      <c r="M442" s="143" t="s">
        <v>2504</v>
      </c>
      <c r="N442" s="143" t="s">
        <v>2504</v>
      </c>
      <c r="O442" s="143" t="s">
        <v>2504</v>
      </c>
      <c r="P442" s="143" t="s">
        <v>2504</v>
      </c>
      <c r="Q442" s="148" t="s">
        <v>2427</v>
      </c>
      <c r="R442" s="148" t="s">
        <v>594</v>
      </c>
      <c r="S442" s="148" t="s">
        <v>674</v>
      </c>
      <c r="T442" s="149">
        <v>0.95</v>
      </c>
      <c r="U442" s="241" t="s">
        <v>591</v>
      </c>
      <c r="V442" s="150">
        <v>113.39</v>
      </c>
      <c r="W442" s="151">
        <v>7916.69</v>
      </c>
    </row>
    <row r="443" spans="1:23" ht="15" customHeight="1" x14ac:dyDescent="0.25">
      <c r="A443" s="148">
        <v>16119</v>
      </c>
      <c r="B443" s="148" t="s">
        <v>509</v>
      </c>
      <c r="C443" s="143" t="s">
        <v>2504</v>
      </c>
      <c r="D443" s="143" t="s">
        <v>509</v>
      </c>
      <c r="E443" s="143" t="s">
        <v>2504</v>
      </c>
      <c r="F443" s="143" t="s">
        <v>2504</v>
      </c>
      <c r="G443" s="143" t="s">
        <v>2504</v>
      </c>
      <c r="H443" s="143" t="s">
        <v>2504</v>
      </c>
      <c r="I443" s="143" t="s">
        <v>2504</v>
      </c>
      <c r="J443" s="143" t="s">
        <v>2504</v>
      </c>
      <c r="K443" s="143" t="s">
        <v>2504</v>
      </c>
      <c r="L443" s="143" t="s">
        <v>2504</v>
      </c>
      <c r="M443" s="143" t="s">
        <v>2504</v>
      </c>
      <c r="N443" s="143" t="s">
        <v>2504</v>
      </c>
      <c r="O443" s="143" t="s">
        <v>2504</v>
      </c>
      <c r="P443" s="143" t="s">
        <v>2504</v>
      </c>
      <c r="Q443" s="148" t="s">
        <v>2164</v>
      </c>
      <c r="R443" s="148" t="s">
        <v>594</v>
      </c>
      <c r="S443" s="148" t="s">
        <v>776</v>
      </c>
      <c r="T443" s="149">
        <v>19</v>
      </c>
      <c r="U443" s="241" t="s">
        <v>591</v>
      </c>
      <c r="V443" s="150">
        <v>2127.5700000000002</v>
      </c>
      <c r="W443" s="151">
        <v>7094.77</v>
      </c>
    </row>
    <row r="444" spans="1:23" ht="15" customHeight="1" x14ac:dyDescent="0.25">
      <c r="A444" s="148">
        <v>16940</v>
      </c>
      <c r="B444" s="148" t="s">
        <v>293</v>
      </c>
      <c r="C444" s="143" t="s">
        <v>2504</v>
      </c>
      <c r="D444" s="143" t="s">
        <v>293</v>
      </c>
      <c r="E444" s="143" t="s">
        <v>2504</v>
      </c>
      <c r="F444" s="143" t="s">
        <v>2504</v>
      </c>
      <c r="G444" s="143" t="s">
        <v>2504</v>
      </c>
      <c r="H444" s="143" t="s">
        <v>2504</v>
      </c>
      <c r="I444" s="143" t="s">
        <v>2504</v>
      </c>
      <c r="J444" s="143" t="s">
        <v>2504</v>
      </c>
      <c r="K444" s="143" t="s">
        <v>2504</v>
      </c>
      <c r="L444" s="143" t="s">
        <v>2504</v>
      </c>
      <c r="M444" s="143" t="s">
        <v>2504</v>
      </c>
      <c r="N444" s="143" t="s">
        <v>2504</v>
      </c>
      <c r="O444" s="143" t="s">
        <v>2504</v>
      </c>
      <c r="P444" s="143" t="s">
        <v>2504</v>
      </c>
      <c r="Q444" s="148" t="s">
        <v>2428</v>
      </c>
      <c r="R444" s="148" t="s">
        <v>594</v>
      </c>
      <c r="S444" s="148" t="s">
        <v>776</v>
      </c>
      <c r="T444" s="149">
        <v>0.95</v>
      </c>
      <c r="U444" s="241" t="s">
        <v>591</v>
      </c>
      <c r="V444" s="150">
        <v>113</v>
      </c>
      <c r="W444" s="151">
        <v>2048.08</v>
      </c>
    </row>
    <row r="445" spans="1:23" ht="15" customHeight="1" x14ac:dyDescent="0.25">
      <c r="A445" s="148">
        <v>16941</v>
      </c>
      <c r="B445" s="148" t="s">
        <v>294</v>
      </c>
      <c r="C445" s="143" t="s">
        <v>2504</v>
      </c>
      <c r="D445" s="143" t="s">
        <v>294</v>
      </c>
      <c r="E445" s="143" t="s">
        <v>2504</v>
      </c>
      <c r="F445" s="143" t="s">
        <v>2504</v>
      </c>
      <c r="G445" s="143" t="s">
        <v>2504</v>
      </c>
      <c r="H445" s="143" t="s">
        <v>2504</v>
      </c>
      <c r="I445" s="143" t="s">
        <v>2504</v>
      </c>
      <c r="J445" s="143" t="s">
        <v>2504</v>
      </c>
      <c r="K445" s="143" t="s">
        <v>2504</v>
      </c>
      <c r="L445" s="143" t="s">
        <v>2504</v>
      </c>
      <c r="M445" s="143" t="s">
        <v>2504</v>
      </c>
      <c r="N445" s="143" t="s">
        <v>2504</v>
      </c>
      <c r="O445" s="143" t="s">
        <v>2504</v>
      </c>
      <c r="P445" s="143" t="s">
        <v>2504</v>
      </c>
      <c r="Q445" s="148" t="s">
        <v>2429</v>
      </c>
      <c r="R445" s="148" t="s">
        <v>594</v>
      </c>
      <c r="S445" s="148" t="s">
        <v>776</v>
      </c>
      <c r="T445" s="149">
        <v>0.95</v>
      </c>
      <c r="U445" s="241" t="s">
        <v>591</v>
      </c>
      <c r="V445" s="150">
        <v>135.61000000000001</v>
      </c>
      <c r="W445" s="151">
        <v>2187.4299999999998</v>
      </c>
    </row>
    <row r="446" spans="1:23" ht="15" customHeight="1" x14ac:dyDescent="0.25">
      <c r="A446" s="148">
        <v>16942</v>
      </c>
      <c r="B446" s="148" t="s">
        <v>296</v>
      </c>
      <c r="C446" s="143" t="s">
        <v>2504</v>
      </c>
      <c r="D446" s="143" t="s">
        <v>296</v>
      </c>
      <c r="E446" s="143" t="s">
        <v>2504</v>
      </c>
      <c r="F446" s="143" t="s">
        <v>2504</v>
      </c>
      <c r="G446" s="143" t="s">
        <v>2504</v>
      </c>
      <c r="H446" s="143" t="s">
        <v>2504</v>
      </c>
      <c r="I446" s="143" t="s">
        <v>2504</v>
      </c>
      <c r="J446" s="143" t="s">
        <v>2504</v>
      </c>
      <c r="K446" s="143" t="s">
        <v>2504</v>
      </c>
      <c r="L446" s="143" t="s">
        <v>2504</v>
      </c>
      <c r="M446" s="143" t="s">
        <v>2504</v>
      </c>
      <c r="N446" s="143" t="s">
        <v>2504</v>
      </c>
      <c r="O446" s="143" t="s">
        <v>2504</v>
      </c>
      <c r="P446" s="143" t="s">
        <v>2504</v>
      </c>
      <c r="Q446" s="148" t="s">
        <v>2430</v>
      </c>
      <c r="R446" s="148" t="s">
        <v>594</v>
      </c>
      <c r="S446" s="148" t="s">
        <v>776</v>
      </c>
      <c r="T446" s="149">
        <v>0.95</v>
      </c>
      <c r="U446" s="241" t="s">
        <v>591</v>
      </c>
      <c r="V446" s="150">
        <v>121.6</v>
      </c>
      <c r="W446" s="151">
        <v>2310.5300000000002</v>
      </c>
    </row>
    <row r="447" spans="1:23" ht="15" customHeight="1" x14ac:dyDescent="0.25">
      <c r="A447" s="148">
        <v>16943</v>
      </c>
      <c r="B447" s="148" t="s">
        <v>571</v>
      </c>
      <c r="C447" s="143" t="s">
        <v>2504</v>
      </c>
      <c r="D447" s="143" t="s">
        <v>571</v>
      </c>
      <c r="E447" s="143" t="s">
        <v>2504</v>
      </c>
      <c r="F447" s="143" t="s">
        <v>2504</v>
      </c>
      <c r="G447" s="143" t="s">
        <v>2504</v>
      </c>
      <c r="H447" s="143" t="s">
        <v>2504</v>
      </c>
      <c r="I447" s="143" t="s">
        <v>2504</v>
      </c>
      <c r="J447" s="143" t="s">
        <v>2504</v>
      </c>
      <c r="K447" s="143" t="s">
        <v>2504</v>
      </c>
      <c r="L447" s="143" t="s">
        <v>2504</v>
      </c>
      <c r="M447" s="143" t="s">
        <v>2504</v>
      </c>
      <c r="N447" s="143" t="s">
        <v>2504</v>
      </c>
      <c r="O447" s="143" t="s">
        <v>2504</v>
      </c>
      <c r="P447" s="143" t="s">
        <v>2504</v>
      </c>
      <c r="Q447" s="148" t="s">
        <v>2431</v>
      </c>
      <c r="R447" s="148" t="s">
        <v>594</v>
      </c>
      <c r="S447" s="148" t="s">
        <v>776</v>
      </c>
      <c r="T447" s="149">
        <v>0.95</v>
      </c>
      <c r="U447" s="241" t="s">
        <v>591</v>
      </c>
      <c r="V447" s="150">
        <v>110.52</v>
      </c>
      <c r="W447" s="151">
        <v>2284.12</v>
      </c>
    </row>
    <row r="448" spans="1:23" ht="15" customHeight="1" x14ac:dyDescent="0.25">
      <c r="A448" s="148">
        <v>16944</v>
      </c>
      <c r="B448" s="148" t="s">
        <v>295</v>
      </c>
      <c r="C448" s="143" t="s">
        <v>2504</v>
      </c>
      <c r="D448" s="143" t="s">
        <v>295</v>
      </c>
      <c r="E448" s="143" t="s">
        <v>2504</v>
      </c>
      <c r="F448" s="143" t="s">
        <v>2504</v>
      </c>
      <c r="G448" s="143" t="s">
        <v>2504</v>
      </c>
      <c r="H448" s="143" t="s">
        <v>2504</v>
      </c>
      <c r="I448" s="143" t="s">
        <v>2504</v>
      </c>
      <c r="J448" s="143" t="s">
        <v>2504</v>
      </c>
      <c r="K448" s="143" t="s">
        <v>2504</v>
      </c>
      <c r="L448" s="143" t="s">
        <v>2504</v>
      </c>
      <c r="M448" s="143" t="s">
        <v>2504</v>
      </c>
      <c r="N448" s="143" t="s">
        <v>2504</v>
      </c>
      <c r="O448" s="143" t="s">
        <v>2504</v>
      </c>
      <c r="P448" s="143" t="s">
        <v>2504</v>
      </c>
      <c r="Q448" s="148" t="s">
        <v>2432</v>
      </c>
      <c r="R448" s="148" t="s">
        <v>594</v>
      </c>
      <c r="S448" s="148" t="s">
        <v>776</v>
      </c>
      <c r="T448" s="149">
        <v>0.95</v>
      </c>
      <c r="U448" s="241" t="s">
        <v>591</v>
      </c>
      <c r="V448" s="150">
        <v>107.4</v>
      </c>
      <c r="W448" s="151">
        <v>8049.96</v>
      </c>
    </row>
    <row r="449" spans="1:23" ht="15" customHeight="1" x14ac:dyDescent="0.25">
      <c r="A449" s="148">
        <v>16945</v>
      </c>
      <c r="B449" s="148" t="s">
        <v>297</v>
      </c>
      <c r="C449" s="143" t="s">
        <v>2504</v>
      </c>
      <c r="D449" s="143" t="s">
        <v>297</v>
      </c>
      <c r="E449" s="143" t="s">
        <v>2504</v>
      </c>
      <c r="F449" s="143" t="s">
        <v>2504</v>
      </c>
      <c r="G449" s="143" t="s">
        <v>2504</v>
      </c>
      <c r="H449" s="143" t="s">
        <v>2504</v>
      </c>
      <c r="I449" s="143" t="s">
        <v>2504</v>
      </c>
      <c r="J449" s="143" t="s">
        <v>2504</v>
      </c>
      <c r="K449" s="143" t="s">
        <v>2504</v>
      </c>
      <c r="L449" s="143" t="s">
        <v>2504</v>
      </c>
      <c r="M449" s="143" t="s">
        <v>2504</v>
      </c>
      <c r="N449" s="143" t="s">
        <v>2504</v>
      </c>
      <c r="O449" s="143" t="s">
        <v>2504</v>
      </c>
      <c r="P449" s="143" t="s">
        <v>2504</v>
      </c>
      <c r="Q449" s="148" t="s">
        <v>2433</v>
      </c>
      <c r="R449" s="148" t="s">
        <v>594</v>
      </c>
      <c r="S449" s="148" t="s">
        <v>776</v>
      </c>
      <c r="T449" s="149">
        <v>0.95</v>
      </c>
      <c r="U449" s="241" t="s">
        <v>591</v>
      </c>
      <c r="V449" s="150">
        <v>123.49</v>
      </c>
      <c r="W449" s="151">
        <v>8466.24</v>
      </c>
    </row>
    <row r="450" spans="1:23" ht="15" customHeight="1" x14ac:dyDescent="0.25">
      <c r="A450" s="148">
        <v>16952</v>
      </c>
      <c r="B450" s="148" t="s">
        <v>298</v>
      </c>
      <c r="C450" s="143" t="s">
        <v>2504</v>
      </c>
      <c r="D450" s="143" t="s">
        <v>298</v>
      </c>
      <c r="E450" s="143" t="s">
        <v>2504</v>
      </c>
      <c r="F450" s="143" t="s">
        <v>2504</v>
      </c>
      <c r="G450" s="143" t="s">
        <v>2504</v>
      </c>
      <c r="H450" s="143" t="s">
        <v>2504</v>
      </c>
      <c r="I450" s="143" t="s">
        <v>2504</v>
      </c>
      <c r="J450" s="143" t="s">
        <v>2504</v>
      </c>
      <c r="K450" s="143" t="s">
        <v>2504</v>
      </c>
      <c r="L450" s="143" t="s">
        <v>2504</v>
      </c>
      <c r="M450" s="143" t="s">
        <v>2504</v>
      </c>
      <c r="N450" s="143" t="s">
        <v>2504</v>
      </c>
      <c r="O450" s="143" t="s">
        <v>2504</v>
      </c>
      <c r="P450" s="143" t="s">
        <v>2504</v>
      </c>
      <c r="Q450" s="148" t="s">
        <v>2434</v>
      </c>
      <c r="R450" s="148" t="s">
        <v>594</v>
      </c>
      <c r="S450" s="148" t="s">
        <v>2214</v>
      </c>
      <c r="T450" s="149">
        <v>0.95</v>
      </c>
      <c r="U450" s="241" t="s">
        <v>591</v>
      </c>
      <c r="V450" s="150">
        <v>138.18</v>
      </c>
      <c r="W450" s="151">
        <v>8836.25</v>
      </c>
    </row>
    <row r="451" spans="1:23" ht="15" customHeight="1" x14ac:dyDescent="0.25">
      <c r="A451" s="148">
        <v>16739</v>
      </c>
      <c r="B451" s="148" t="s">
        <v>290</v>
      </c>
      <c r="C451" s="143" t="s">
        <v>2504</v>
      </c>
      <c r="D451" s="143" t="s">
        <v>290</v>
      </c>
      <c r="E451" s="143" t="s">
        <v>2504</v>
      </c>
      <c r="F451" s="143" t="s">
        <v>2504</v>
      </c>
      <c r="G451" s="143" t="s">
        <v>2504</v>
      </c>
      <c r="H451" s="143" t="s">
        <v>2504</v>
      </c>
      <c r="I451" s="143" t="s">
        <v>2504</v>
      </c>
      <c r="J451" s="143" t="s">
        <v>2504</v>
      </c>
      <c r="K451" s="143" t="s">
        <v>2504</v>
      </c>
      <c r="L451" s="143" t="s">
        <v>2504</v>
      </c>
      <c r="M451" s="143" t="s">
        <v>2504</v>
      </c>
      <c r="N451" s="143" t="s">
        <v>2504</v>
      </c>
      <c r="O451" s="143" t="s">
        <v>2504</v>
      </c>
      <c r="P451" s="143" t="s">
        <v>2504</v>
      </c>
      <c r="Q451" s="148" t="s">
        <v>2334</v>
      </c>
      <c r="R451" s="148" t="s">
        <v>594</v>
      </c>
      <c r="S451" s="148" t="s">
        <v>2232</v>
      </c>
      <c r="T451" s="149">
        <v>200</v>
      </c>
      <c r="U451" s="241" t="s">
        <v>591</v>
      </c>
      <c r="V451" s="150">
        <v>39912.35</v>
      </c>
      <c r="W451" s="151">
        <v>10422.09</v>
      </c>
    </row>
    <row r="452" spans="1:23" ht="15" customHeight="1" x14ac:dyDescent="0.25">
      <c r="A452" s="148">
        <v>16929</v>
      </c>
      <c r="B452" s="148" t="s">
        <v>288</v>
      </c>
      <c r="C452" s="143" t="s">
        <v>2504</v>
      </c>
      <c r="D452" s="143" t="s">
        <v>288</v>
      </c>
      <c r="E452" s="143" t="s">
        <v>2504</v>
      </c>
      <c r="F452" s="143" t="s">
        <v>2504</v>
      </c>
      <c r="G452" s="143" t="s">
        <v>2504</v>
      </c>
      <c r="H452" s="143" t="s">
        <v>2504</v>
      </c>
      <c r="I452" s="143" t="s">
        <v>2504</v>
      </c>
      <c r="J452" s="143" t="s">
        <v>2504</v>
      </c>
      <c r="K452" s="143" t="s">
        <v>2504</v>
      </c>
      <c r="L452" s="143" t="s">
        <v>2504</v>
      </c>
      <c r="M452" s="143" t="s">
        <v>2504</v>
      </c>
      <c r="N452" s="143" t="s">
        <v>2504</v>
      </c>
      <c r="O452" s="143" t="s">
        <v>2504</v>
      </c>
      <c r="P452" s="143" t="s">
        <v>2504</v>
      </c>
      <c r="Q452" s="148" t="s">
        <v>2417</v>
      </c>
      <c r="R452" s="148" t="s">
        <v>594</v>
      </c>
      <c r="S452" s="148" t="s">
        <v>2232</v>
      </c>
      <c r="T452" s="149">
        <v>0.95</v>
      </c>
      <c r="U452" s="241" t="s">
        <v>591</v>
      </c>
      <c r="V452" s="150">
        <v>190.33</v>
      </c>
      <c r="W452" s="151">
        <v>9443.4699999999993</v>
      </c>
    </row>
    <row r="453" spans="1:23" ht="15" customHeight="1" x14ac:dyDescent="0.25">
      <c r="A453" s="148">
        <v>16930</v>
      </c>
      <c r="B453" s="148" t="s">
        <v>289</v>
      </c>
      <c r="C453" s="143" t="s">
        <v>2504</v>
      </c>
      <c r="D453" s="143" t="s">
        <v>289</v>
      </c>
      <c r="E453" s="143" t="s">
        <v>2504</v>
      </c>
      <c r="F453" s="143" t="s">
        <v>2504</v>
      </c>
      <c r="G453" s="143" t="s">
        <v>2504</v>
      </c>
      <c r="H453" s="143" t="s">
        <v>2504</v>
      </c>
      <c r="I453" s="143" t="s">
        <v>2504</v>
      </c>
      <c r="J453" s="143" t="s">
        <v>2504</v>
      </c>
      <c r="K453" s="143" t="s">
        <v>2504</v>
      </c>
      <c r="L453" s="143" t="s">
        <v>2504</v>
      </c>
      <c r="M453" s="143" t="s">
        <v>2504</v>
      </c>
      <c r="N453" s="143" t="s">
        <v>2504</v>
      </c>
      <c r="O453" s="143" t="s">
        <v>2504</v>
      </c>
      <c r="P453" s="143" t="s">
        <v>2504</v>
      </c>
      <c r="Q453" s="148" t="s">
        <v>2418</v>
      </c>
      <c r="R453" s="148" t="s">
        <v>594</v>
      </c>
      <c r="S453" s="148" t="s">
        <v>2232</v>
      </c>
      <c r="T453" s="149">
        <v>0.95</v>
      </c>
      <c r="U453" s="241" t="s">
        <v>591</v>
      </c>
      <c r="V453" s="150">
        <v>187.47</v>
      </c>
      <c r="W453" s="151">
        <v>6425.58</v>
      </c>
    </row>
    <row r="454" spans="1:23" ht="15" customHeight="1" x14ac:dyDescent="0.25">
      <c r="A454" s="148">
        <v>16746</v>
      </c>
      <c r="B454" s="148" t="s">
        <v>514</v>
      </c>
      <c r="C454" s="143" t="s">
        <v>2504</v>
      </c>
      <c r="D454" s="143" t="s">
        <v>514</v>
      </c>
      <c r="E454" s="143" t="s">
        <v>2504</v>
      </c>
      <c r="F454" s="143" t="s">
        <v>2504</v>
      </c>
      <c r="G454" s="143" t="s">
        <v>2504</v>
      </c>
      <c r="H454" s="143" t="s">
        <v>2504</v>
      </c>
      <c r="I454" s="143" t="s">
        <v>2504</v>
      </c>
      <c r="J454" s="143" t="s">
        <v>2504</v>
      </c>
      <c r="K454" s="143" t="s">
        <v>2504</v>
      </c>
      <c r="L454" s="143" t="s">
        <v>2504</v>
      </c>
      <c r="M454" s="143" t="s">
        <v>2504</v>
      </c>
      <c r="N454" s="143" t="s">
        <v>2504</v>
      </c>
      <c r="O454" s="143" t="s">
        <v>2504</v>
      </c>
      <c r="P454" s="143" t="s">
        <v>2504</v>
      </c>
      <c r="Q454" s="148" t="s">
        <v>2339</v>
      </c>
      <c r="R454" s="148" t="s">
        <v>630</v>
      </c>
      <c r="S454" s="148" t="s">
        <v>830</v>
      </c>
      <c r="T454" s="149">
        <v>200</v>
      </c>
      <c r="U454" s="241" t="s">
        <v>591</v>
      </c>
      <c r="V454" s="150">
        <v>23392.3</v>
      </c>
      <c r="W454" s="151">
        <v>7153.91</v>
      </c>
    </row>
    <row r="455" spans="1:23" ht="15" customHeight="1" x14ac:dyDescent="0.25">
      <c r="A455" s="148">
        <v>16137</v>
      </c>
      <c r="B455" s="148" t="s">
        <v>466</v>
      </c>
      <c r="C455" s="143" t="s">
        <v>2504</v>
      </c>
      <c r="D455" s="143" t="s">
        <v>466</v>
      </c>
      <c r="E455" s="143" t="s">
        <v>2504</v>
      </c>
      <c r="F455" s="143" t="s">
        <v>2504</v>
      </c>
      <c r="G455" s="143" t="s">
        <v>2504</v>
      </c>
      <c r="H455" s="143" t="s">
        <v>2504</v>
      </c>
      <c r="I455" s="143" t="s">
        <v>2504</v>
      </c>
      <c r="J455" s="143" t="s">
        <v>2504</v>
      </c>
      <c r="K455" s="143" t="s">
        <v>2504</v>
      </c>
      <c r="L455" s="143" t="s">
        <v>2504</v>
      </c>
      <c r="M455" s="143" t="s">
        <v>2504</v>
      </c>
      <c r="N455" s="143" t="s">
        <v>2504</v>
      </c>
      <c r="O455" s="143" t="s">
        <v>2504</v>
      </c>
      <c r="P455" s="143" t="s">
        <v>2504</v>
      </c>
      <c r="Q455" s="148" t="s">
        <v>2180</v>
      </c>
      <c r="R455" s="148" t="s">
        <v>594</v>
      </c>
      <c r="S455" s="148" t="s">
        <v>2175</v>
      </c>
      <c r="T455" s="149">
        <v>4</v>
      </c>
      <c r="U455" s="241" t="s">
        <v>591</v>
      </c>
      <c r="V455" s="150">
        <v>567.66999999999996</v>
      </c>
      <c r="W455" s="151">
        <v>7648.86</v>
      </c>
    </row>
    <row r="456" spans="1:23" ht="15" customHeight="1" x14ac:dyDescent="0.25">
      <c r="A456" s="148">
        <v>1198</v>
      </c>
      <c r="B456" s="148" t="s">
        <v>320</v>
      </c>
      <c r="C456" s="143" t="s">
        <v>2504</v>
      </c>
      <c r="D456" s="143" t="s">
        <v>320</v>
      </c>
      <c r="E456" s="143" t="s">
        <v>2504</v>
      </c>
      <c r="F456" s="143" t="s">
        <v>2504</v>
      </c>
      <c r="G456" s="143" t="s">
        <v>2504</v>
      </c>
      <c r="H456" s="143" t="s">
        <v>2504</v>
      </c>
      <c r="I456" s="143" t="s">
        <v>2504</v>
      </c>
      <c r="J456" s="143" t="s">
        <v>2504</v>
      </c>
      <c r="K456" s="143" t="s">
        <v>2504</v>
      </c>
      <c r="L456" s="143" t="s">
        <v>2504</v>
      </c>
      <c r="M456" s="143" t="s">
        <v>2504</v>
      </c>
      <c r="N456" s="143" t="s">
        <v>2504</v>
      </c>
      <c r="O456" s="143" t="s">
        <v>2504</v>
      </c>
      <c r="P456" s="143" t="s">
        <v>2504</v>
      </c>
      <c r="Q456" s="148" t="s">
        <v>1048</v>
      </c>
      <c r="R456" s="148" t="s">
        <v>630</v>
      </c>
      <c r="S456" s="148" t="s">
        <v>886</v>
      </c>
      <c r="T456" s="149">
        <v>19</v>
      </c>
      <c r="U456" s="241" t="s">
        <v>591</v>
      </c>
      <c r="V456" s="150">
        <v>2010.72</v>
      </c>
      <c r="W456" s="151">
        <v>2140.96</v>
      </c>
    </row>
    <row r="457" spans="1:23" ht="15" customHeight="1" x14ac:dyDescent="0.25">
      <c r="A457" s="148">
        <v>1199</v>
      </c>
      <c r="B457" s="148" t="s">
        <v>321</v>
      </c>
      <c r="C457" s="143" t="s">
        <v>2504</v>
      </c>
      <c r="D457" s="143" t="s">
        <v>321</v>
      </c>
      <c r="E457" s="143" t="s">
        <v>2504</v>
      </c>
      <c r="F457" s="143" t="s">
        <v>2504</v>
      </c>
      <c r="G457" s="143" t="s">
        <v>2504</v>
      </c>
      <c r="H457" s="143" t="s">
        <v>2504</v>
      </c>
      <c r="I457" s="143" t="s">
        <v>2504</v>
      </c>
      <c r="J457" s="143" t="s">
        <v>2504</v>
      </c>
      <c r="K457" s="143" t="s">
        <v>2504</v>
      </c>
      <c r="L457" s="143" t="s">
        <v>2504</v>
      </c>
      <c r="M457" s="143" t="s">
        <v>2504</v>
      </c>
      <c r="N457" s="143" t="s">
        <v>2504</v>
      </c>
      <c r="O457" s="143" t="s">
        <v>2504</v>
      </c>
      <c r="P457" s="143" t="s">
        <v>2504</v>
      </c>
      <c r="Q457" s="148" t="s">
        <v>1049</v>
      </c>
      <c r="R457" s="148" t="s">
        <v>630</v>
      </c>
      <c r="S457" s="148" t="s">
        <v>886</v>
      </c>
      <c r="T457" s="149">
        <v>200</v>
      </c>
      <c r="U457" s="241" t="s">
        <v>591</v>
      </c>
      <c r="V457" s="150">
        <v>21265.87</v>
      </c>
      <c r="W457" s="151">
        <v>2330.52</v>
      </c>
    </row>
    <row r="458" spans="1:23" ht="15" customHeight="1" x14ac:dyDescent="0.25">
      <c r="A458" s="148">
        <v>16301</v>
      </c>
      <c r="B458" s="148" t="s">
        <v>319</v>
      </c>
      <c r="C458" s="143" t="s">
        <v>2504</v>
      </c>
      <c r="D458" s="143" t="s">
        <v>319</v>
      </c>
      <c r="E458" s="143" t="s">
        <v>2504</v>
      </c>
      <c r="F458" s="143" t="s">
        <v>2504</v>
      </c>
      <c r="G458" s="143" t="s">
        <v>2504</v>
      </c>
      <c r="H458" s="143" t="s">
        <v>2504</v>
      </c>
      <c r="I458" s="143" t="s">
        <v>2504</v>
      </c>
      <c r="J458" s="143" t="s">
        <v>2504</v>
      </c>
      <c r="K458" s="143" t="s">
        <v>2504</v>
      </c>
      <c r="L458" s="143" t="s">
        <v>2504</v>
      </c>
      <c r="M458" s="143" t="s">
        <v>2504</v>
      </c>
      <c r="N458" s="143" t="s">
        <v>2504</v>
      </c>
      <c r="O458" s="143" t="s">
        <v>2504</v>
      </c>
      <c r="P458" s="143" t="s">
        <v>2504</v>
      </c>
      <c r="Q458" s="148" t="s">
        <v>2210</v>
      </c>
      <c r="R458" s="148" t="s">
        <v>630</v>
      </c>
      <c r="S458" s="148" t="s">
        <v>886</v>
      </c>
      <c r="T458" s="149">
        <v>5</v>
      </c>
      <c r="U458" s="241" t="s">
        <v>591</v>
      </c>
      <c r="V458" s="150">
        <v>547</v>
      </c>
      <c r="W458" s="151">
        <v>3179.24</v>
      </c>
    </row>
    <row r="459" spans="1:23" ht="15" customHeight="1" x14ac:dyDescent="0.25">
      <c r="A459" s="148">
        <v>610</v>
      </c>
      <c r="B459" s="148" t="s">
        <v>315</v>
      </c>
      <c r="C459" s="143" t="s">
        <v>2504</v>
      </c>
      <c r="D459" s="143" t="s">
        <v>315</v>
      </c>
      <c r="E459" s="143" t="s">
        <v>2504</v>
      </c>
      <c r="F459" s="143" t="s">
        <v>2504</v>
      </c>
      <c r="G459" s="143" t="s">
        <v>2504</v>
      </c>
      <c r="H459" s="143" t="s">
        <v>2504</v>
      </c>
      <c r="I459" s="143" t="s">
        <v>2504</v>
      </c>
      <c r="J459" s="143" t="s">
        <v>2504</v>
      </c>
      <c r="K459" s="143" t="s">
        <v>2504</v>
      </c>
      <c r="L459" s="143" t="s">
        <v>2504</v>
      </c>
      <c r="M459" s="143" t="s">
        <v>2504</v>
      </c>
      <c r="N459" s="143" t="s">
        <v>2504</v>
      </c>
      <c r="O459" s="143" t="s">
        <v>2504</v>
      </c>
      <c r="P459" s="143" t="s">
        <v>2504</v>
      </c>
      <c r="Q459" s="148" t="s">
        <v>899</v>
      </c>
      <c r="R459" s="148" t="s">
        <v>630</v>
      </c>
      <c r="S459" s="148" t="s">
        <v>835</v>
      </c>
      <c r="T459" s="149">
        <v>19</v>
      </c>
      <c r="U459" s="241" t="s">
        <v>591</v>
      </c>
      <c r="V459" s="150">
        <v>1858.44</v>
      </c>
      <c r="W459" s="151">
        <v>3389.17</v>
      </c>
    </row>
    <row r="460" spans="1:23" ht="15" customHeight="1" x14ac:dyDescent="0.25">
      <c r="A460" s="148">
        <v>611</v>
      </c>
      <c r="B460" s="148" t="s">
        <v>316</v>
      </c>
      <c r="C460" s="143" t="s">
        <v>2504</v>
      </c>
      <c r="D460" s="143" t="s">
        <v>316</v>
      </c>
      <c r="E460" s="143" t="s">
        <v>2504</v>
      </c>
      <c r="F460" s="143" t="s">
        <v>2504</v>
      </c>
      <c r="G460" s="143" t="s">
        <v>2504</v>
      </c>
      <c r="H460" s="143" t="s">
        <v>2504</v>
      </c>
      <c r="I460" s="143" t="s">
        <v>2504</v>
      </c>
      <c r="J460" s="143" t="s">
        <v>2504</v>
      </c>
      <c r="K460" s="143" t="s">
        <v>2504</v>
      </c>
      <c r="L460" s="143" t="s">
        <v>2504</v>
      </c>
      <c r="M460" s="143" t="s">
        <v>2504</v>
      </c>
      <c r="N460" s="143" t="s">
        <v>2504</v>
      </c>
      <c r="O460" s="143" t="s">
        <v>2504</v>
      </c>
      <c r="P460" s="143" t="s">
        <v>2504</v>
      </c>
      <c r="Q460" s="148" t="s">
        <v>900</v>
      </c>
      <c r="R460" s="148" t="s">
        <v>630</v>
      </c>
      <c r="S460" s="148" t="s">
        <v>835</v>
      </c>
      <c r="T460" s="149">
        <v>200</v>
      </c>
      <c r="U460" s="241" t="s">
        <v>591</v>
      </c>
      <c r="V460" s="150">
        <v>19667.57</v>
      </c>
      <c r="W460" s="151">
        <v>3513.96</v>
      </c>
    </row>
    <row r="461" spans="1:23" ht="15" customHeight="1" x14ac:dyDescent="0.25">
      <c r="A461" s="148">
        <v>612</v>
      </c>
      <c r="B461" s="148" t="s">
        <v>317</v>
      </c>
      <c r="C461" s="143" t="s">
        <v>2504</v>
      </c>
      <c r="D461" s="143" t="s">
        <v>317</v>
      </c>
      <c r="E461" s="143" t="s">
        <v>2504</v>
      </c>
      <c r="F461" s="143" t="s">
        <v>2504</v>
      </c>
      <c r="G461" s="143" t="s">
        <v>2504</v>
      </c>
      <c r="H461" s="143" t="s">
        <v>2504</v>
      </c>
      <c r="I461" s="143" t="s">
        <v>2504</v>
      </c>
      <c r="J461" s="143" t="s">
        <v>2504</v>
      </c>
      <c r="K461" s="143" t="s">
        <v>2504</v>
      </c>
      <c r="L461" s="143" t="s">
        <v>2504</v>
      </c>
      <c r="M461" s="143" t="s">
        <v>2504</v>
      </c>
      <c r="N461" s="143" t="s">
        <v>2504</v>
      </c>
      <c r="O461" s="143" t="s">
        <v>2504</v>
      </c>
      <c r="P461" s="143" t="s">
        <v>2504</v>
      </c>
      <c r="Q461" s="148" t="s">
        <v>901</v>
      </c>
      <c r="R461" s="148" t="s">
        <v>630</v>
      </c>
      <c r="S461" s="148" t="s">
        <v>835</v>
      </c>
      <c r="T461" s="149">
        <v>19</v>
      </c>
      <c r="U461" s="241" t="s">
        <v>591</v>
      </c>
      <c r="V461" s="150">
        <v>2029.72</v>
      </c>
      <c r="W461" s="151">
        <v>2155.16</v>
      </c>
    </row>
    <row r="462" spans="1:23" ht="15" customHeight="1" x14ac:dyDescent="0.25">
      <c r="A462" s="148">
        <v>613</v>
      </c>
      <c r="B462" s="148" t="s">
        <v>318</v>
      </c>
      <c r="C462" s="143" t="s">
        <v>2504</v>
      </c>
      <c r="D462" s="143" t="s">
        <v>318</v>
      </c>
      <c r="E462" s="143" t="s">
        <v>2504</v>
      </c>
      <c r="F462" s="143" t="s">
        <v>2504</v>
      </c>
      <c r="G462" s="143" t="s">
        <v>2504</v>
      </c>
      <c r="H462" s="143" t="s">
        <v>2504</v>
      </c>
      <c r="I462" s="143" t="s">
        <v>2504</v>
      </c>
      <c r="J462" s="143" t="s">
        <v>2504</v>
      </c>
      <c r="K462" s="143" t="s">
        <v>2504</v>
      </c>
      <c r="L462" s="143" t="s">
        <v>2504</v>
      </c>
      <c r="M462" s="143" t="s">
        <v>2504</v>
      </c>
      <c r="N462" s="143" t="s">
        <v>2504</v>
      </c>
      <c r="O462" s="143" t="s">
        <v>2504</v>
      </c>
      <c r="P462" s="143" t="s">
        <v>2504</v>
      </c>
      <c r="Q462" s="148" t="s">
        <v>902</v>
      </c>
      <c r="R462" s="148" t="s">
        <v>630</v>
      </c>
      <c r="S462" s="148" t="s">
        <v>835</v>
      </c>
      <c r="T462" s="149">
        <v>200</v>
      </c>
      <c r="U462" s="241" t="s">
        <v>591</v>
      </c>
      <c r="V462" s="150">
        <v>21475.32</v>
      </c>
      <c r="W462" s="151">
        <v>2181.2399999999998</v>
      </c>
    </row>
    <row r="463" spans="1:23" ht="15" customHeight="1" x14ac:dyDescent="0.25">
      <c r="A463" s="148">
        <v>16300</v>
      </c>
      <c r="B463" s="148" t="s">
        <v>314</v>
      </c>
      <c r="C463" s="143" t="s">
        <v>2504</v>
      </c>
      <c r="D463" s="143" t="s">
        <v>314</v>
      </c>
      <c r="E463" s="143" t="s">
        <v>2504</v>
      </c>
      <c r="F463" s="143" t="s">
        <v>2504</v>
      </c>
      <c r="G463" s="143" t="s">
        <v>2504</v>
      </c>
      <c r="H463" s="143" t="s">
        <v>2504</v>
      </c>
      <c r="I463" s="143" t="s">
        <v>2504</v>
      </c>
      <c r="J463" s="143" t="s">
        <v>2504</v>
      </c>
      <c r="K463" s="143" t="s">
        <v>2504</v>
      </c>
      <c r="L463" s="143" t="s">
        <v>2504</v>
      </c>
      <c r="M463" s="143" t="s">
        <v>2504</v>
      </c>
      <c r="N463" s="143" t="s">
        <v>2504</v>
      </c>
      <c r="O463" s="143" t="s">
        <v>2504</v>
      </c>
      <c r="P463" s="143" t="s">
        <v>2504</v>
      </c>
      <c r="Q463" s="148" t="s">
        <v>2209</v>
      </c>
      <c r="R463" s="148" t="s">
        <v>630</v>
      </c>
      <c r="S463" s="148" t="s">
        <v>835</v>
      </c>
      <c r="T463" s="149">
        <v>5</v>
      </c>
      <c r="U463" s="241" t="s">
        <v>591</v>
      </c>
      <c r="V463" s="150">
        <v>552.29999999999995</v>
      </c>
      <c r="W463" s="151">
        <v>2349.98</v>
      </c>
    </row>
    <row r="464" spans="1:23" ht="15" customHeight="1" x14ac:dyDescent="0.25">
      <c r="A464" s="148">
        <v>16250</v>
      </c>
      <c r="B464" s="148" t="s">
        <v>310</v>
      </c>
      <c r="C464" s="143" t="s">
        <v>2504</v>
      </c>
      <c r="D464" s="143" t="s">
        <v>310</v>
      </c>
      <c r="E464" s="143" t="s">
        <v>2504</v>
      </c>
      <c r="F464" s="143" t="s">
        <v>2504</v>
      </c>
      <c r="G464" s="143" t="s">
        <v>2504</v>
      </c>
      <c r="H464" s="143" t="s">
        <v>2504</v>
      </c>
      <c r="I464" s="143" t="s">
        <v>2504</v>
      </c>
      <c r="J464" s="143" t="s">
        <v>2504</v>
      </c>
      <c r="K464" s="143" t="s">
        <v>2504</v>
      </c>
      <c r="L464" s="143" t="s">
        <v>2504</v>
      </c>
      <c r="M464" s="143" t="s">
        <v>2504</v>
      </c>
      <c r="N464" s="143" t="s">
        <v>2504</v>
      </c>
      <c r="O464" s="143" t="s">
        <v>2504</v>
      </c>
      <c r="P464" s="143" t="s">
        <v>2504</v>
      </c>
      <c r="Q464" s="148" t="s">
        <v>2201</v>
      </c>
      <c r="R464" s="148" t="s">
        <v>630</v>
      </c>
      <c r="S464" s="148" t="s">
        <v>830</v>
      </c>
      <c r="T464" s="149">
        <v>4</v>
      </c>
      <c r="U464" s="241" t="s">
        <v>591</v>
      </c>
      <c r="V464" s="150">
        <v>354.35</v>
      </c>
      <c r="W464" s="151">
        <v>1992.19</v>
      </c>
    </row>
    <row r="465" spans="1:23" ht="15" customHeight="1" x14ac:dyDescent="0.25">
      <c r="A465" s="148">
        <v>16310</v>
      </c>
      <c r="B465" s="148" t="s">
        <v>307</v>
      </c>
      <c r="C465" s="143" t="s">
        <v>2504</v>
      </c>
      <c r="D465" s="143" t="s">
        <v>307</v>
      </c>
      <c r="E465" s="143" t="s">
        <v>2504</v>
      </c>
      <c r="F465" s="143" t="s">
        <v>2504</v>
      </c>
      <c r="G465" s="143" t="s">
        <v>2504</v>
      </c>
      <c r="H465" s="143" t="s">
        <v>2504</v>
      </c>
      <c r="I465" s="143" t="s">
        <v>2504</v>
      </c>
      <c r="J465" s="143" t="s">
        <v>2504</v>
      </c>
      <c r="K465" s="143" t="s">
        <v>2504</v>
      </c>
      <c r="L465" s="143" t="s">
        <v>2504</v>
      </c>
      <c r="M465" s="143" t="s">
        <v>2504</v>
      </c>
      <c r="N465" s="143" t="s">
        <v>2504</v>
      </c>
      <c r="O465" s="143" t="s">
        <v>2504</v>
      </c>
      <c r="P465" s="143" t="s">
        <v>2504</v>
      </c>
      <c r="Q465" s="148" t="s">
        <v>2219</v>
      </c>
      <c r="R465" s="148" t="s">
        <v>630</v>
      </c>
      <c r="S465" s="148" t="s">
        <v>830</v>
      </c>
      <c r="T465" s="149">
        <v>5</v>
      </c>
      <c r="U465" s="241" t="s">
        <v>591</v>
      </c>
      <c r="V465" s="150">
        <v>464.57</v>
      </c>
      <c r="W465" s="151">
        <v>2031.72</v>
      </c>
    </row>
    <row r="466" spans="1:23" ht="15" customHeight="1" x14ac:dyDescent="0.25">
      <c r="A466" s="148">
        <v>16311</v>
      </c>
      <c r="B466" s="148" t="s">
        <v>311</v>
      </c>
      <c r="C466" s="143" t="s">
        <v>2504</v>
      </c>
      <c r="D466" s="143" t="s">
        <v>311</v>
      </c>
      <c r="E466" s="143" t="s">
        <v>2504</v>
      </c>
      <c r="F466" s="143" t="s">
        <v>2504</v>
      </c>
      <c r="G466" s="143" t="s">
        <v>2504</v>
      </c>
      <c r="H466" s="143" t="s">
        <v>2504</v>
      </c>
      <c r="I466" s="143" t="s">
        <v>2504</v>
      </c>
      <c r="J466" s="143" t="s">
        <v>2504</v>
      </c>
      <c r="K466" s="143" t="s">
        <v>2504</v>
      </c>
      <c r="L466" s="143" t="s">
        <v>2504</v>
      </c>
      <c r="M466" s="143" t="s">
        <v>2504</v>
      </c>
      <c r="N466" s="143" t="s">
        <v>2504</v>
      </c>
      <c r="O466" s="143" t="s">
        <v>2504</v>
      </c>
      <c r="P466" s="143" t="s">
        <v>2504</v>
      </c>
      <c r="Q466" s="148" t="s">
        <v>2220</v>
      </c>
      <c r="R466" s="148" t="s">
        <v>630</v>
      </c>
      <c r="S466" s="148" t="s">
        <v>830</v>
      </c>
      <c r="T466" s="149">
        <v>5</v>
      </c>
      <c r="U466" s="241" t="s">
        <v>591</v>
      </c>
      <c r="V466" s="150">
        <v>473.95</v>
      </c>
      <c r="W466" s="151">
        <v>2047.95</v>
      </c>
    </row>
    <row r="467" spans="1:23" ht="15" customHeight="1" x14ac:dyDescent="0.25">
      <c r="A467" s="148">
        <v>16601</v>
      </c>
      <c r="B467" s="148" t="s">
        <v>308</v>
      </c>
      <c r="C467" s="143" t="s">
        <v>2504</v>
      </c>
      <c r="D467" s="143" t="s">
        <v>308</v>
      </c>
      <c r="E467" s="143" t="s">
        <v>2504</v>
      </c>
      <c r="F467" s="143" t="s">
        <v>2504</v>
      </c>
      <c r="G467" s="143" t="s">
        <v>2504</v>
      </c>
      <c r="H467" s="143" t="s">
        <v>2504</v>
      </c>
      <c r="I467" s="143" t="s">
        <v>2504</v>
      </c>
      <c r="J467" s="143" t="s">
        <v>2504</v>
      </c>
      <c r="K467" s="143" t="s">
        <v>2504</v>
      </c>
      <c r="L467" s="143" t="s">
        <v>2504</v>
      </c>
      <c r="M467" s="143" t="s">
        <v>2504</v>
      </c>
      <c r="N467" s="143" t="s">
        <v>2504</v>
      </c>
      <c r="O467" s="143" t="s">
        <v>2504</v>
      </c>
      <c r="P467" s="143" t="s">
        <v>2504</v>
      </c>
      <c r="Q467" s="148" t="s">
        <v>2274</v>
      </c>
      <c r="R467" s="148" t="s">
        <v>630</v>
      </c>
      <c r="S467" s="148" t="s">
        <v>830</v>
      </c>
      <c r="T467" s="149">
        <v>19</v>
      </c>
      <c r="U467" s="241" t="s">
        <v>591</v>
      </c>
      <c r="V467" s="150">
        <v>1690.65</v>
      </c>
      <c r="W467" s="151">
        <v>2051.3000000000002</v>
      </c>
    </row>
    <row r="468" spans="1:23" ht="15" customHeight="1" x14ac:dyDescent="0.25">
      <c r="A468" s="148">
        <v>16602</v>
      </c>
      <c r="B468" s="148" t="s">
        <v>312</v>
      </c>
      <c r="C468" s="143" t="s">
        <v>2504</v>
      </c>
      <c r="D468" s="143" t="s">
        <v>312</v>
      </c>
      <c r="E468" s="143" t="s">
        <v>2504</v>
      </c>
      <c r="F468" s="143" t="s">
        <v>2504</v>
      </c>
      <c r="G468" s="143" t="s">
        <v>2504</v>
      </c>
      <c r="H468" s="143" t="s">
        <v>2504</v>
      </c>
      <c r="I468" s="143" t="s">
        <v>2504</v>
      </c>
      <c r="J468" s="143" t="s">
        <v>2504</v>
      </c>
      <c r="K468" s="143" t="s">
        <v>2504</v>
      </c>
      <c r="L468" s="143" t="s">
        <v>2504</v>
      </c>
      <c r="M468" s="143" t="s">
        <v>2504</v>
      </c>
      <c r="N468" s="143" t="s">
        <v>2504</v>
      </c>
      <c r="O468" s="143" t="s">
        <v>2504</v>
      </c>
      <c r="P468" s="143" t="s">
        <v>2504</v>
      </c>
      <c r="Q468" s="148" t="s">
        <v>2275</v>
      </c>
      <c r="R468" s="148" t="s">
        <v>630</v>
      </c>
      <c r="S468" s="148" t="s">
        <v>830</v>
      </c>
      <c r="T468" s="149">
        <v>19</v>
      </c>
      <c r="U468" s="241" t="s">
        <v>591</v>
      </c>
      <c r="V468" s="150">
        <v>1728.33</v>
      </c>
      <c r="W468" s="151">
        <v>2057.29</v>
      </c>
    </row>
    <row r="469" spans="1:23" ht="15" customHeight="1" x14ac:dyDescent="0.25">
      <c r="A469" s="148">
        <v>16633</v>
      </c>
      <c r="B469" s="148" t="s">
        <v>469</v>
      </c>
      <c r="C469" s="143" t="s">
        <v>2504</v>
      </c>
      <c r="D469" s="143" t="s">
        <v>469</v>
      </c>
      <c r="E469" s="143" t="s">
        <v>2504</v>
      </c>
      <c r="F469" s="143" t="s">
        <v>2504</v>
      </c>
      <c r="G469" s="143" t="s">
        <v>2504</v>
      </c>
      <c r="H469" s="143" t="s">
        <v>2504</v>
      </c>
      <c r="I469" s="143" t="s">
        <v>2504</v>
      </c>
      <c r="J469" s="143" t="s">
        <v>2504</v>
      </c>
      <c r="K469" s="143" t="s">
        <v>2504</v>
      </c>
      <c r="L469" s="143" t="s">
        <v>2504</v>
      </c>
      <c r="M469" s="143" t="s">
        <v>2504</v>
      </c>
      <c r="N469" s="143" t="s">
        <v>2504</v>
      </c>
      <c r="O469" s="143" t="s">
        <v>2504</v>
      </c>
      <c r="P469" s="143" t="s">
        <v>2504</v>
      </c>
      <c r="Q469" s="148" t="s">
        <v>2297</v>
      </c>
      <c r="R469" s="148" t="s">
        <v>630</v>
      </c>
      <c r="S469" s="148" t="s">
        <v>830</v>
      </c>
      <c r="T469" s="149">
        <v>19</v>
      </c>
      <c r="U469" s="241" t="s">
        <v>591</v>
      </c>
      <c r="V469" s="150">
        <v>1998.89</v>
      </c>
      <c r="W469" s="151">
        <v>7124.17</v>
      </c>
    </row>
    <row r="470" spans="1:23" ht="15" customHeight="1" x14ac:dyDescent="0.25">
      <c r="A470" s="148">
        <v>16701</v>
      </c>
      <c r="B470" s="148" t="s">
        <v>309</v>
      </c>
      <c r="C470" s="143" t="s">
        <v>2504</v>
      </c>
      <c r="D470" s="143" t="s">
        <v>309</v>
      </c>
      <c r="E470" s="143" t="s">
        <v>2504</v>
      </c>
      <c r="F470" s="143" t="s">
        <v>2504</v>
      </c>
      <c r="G470" s="143" t="s">
        <v>2504</v>
      </c>
      <c r="H470" s="143" t="s">
        <v>2504</v>
      </c>
      <c r="I470" s="143" t="s">
        <v>2504</v>
      </c>
      <c r="J470" s="143" t="s">
        <v>2504</v>
      </c>
      <c r="K470" s="143" t="s">
        <v>2504</v>
      </c>
      <c r="L470" s="143" t="s">
        <v>2504</v>
      </c>
      <c r="M470" s="143" t="s">
        <v>2504</v>
      </c>
      <c r="N470" s="143" t="s">
        <v>2504</v>
      </c>
      <c r="O470" s="143" t="s">
        <v>2504</v>
      </c>
      <c r="P470" s="143" t="s">
        <v>2504</v>
      </c>
      <c r="Q470" s="148" t="s">
        <v>2299</v>
      </c>
      <c r="R470" s="148" t="s">
        <v>630</v>
      </c>
      <c r="S470" s="148" t="s">
        <v>830</v>
      </c>
      <c r="T470" s="149">
        <v>200</v>
      </c>
      <c r="U470" s="241" t="s">
        <v>591</v>
      </c>
      <c r="V470" s="150">
        <v>17898.490000000002</v>
      </c>
      <c r="W470" s="151">
        <v>5535.21</v>
      </c>
    </row>
    <row r="471" spans="1:23" ht="15" customHeight="1" x14ac:dyDescent="0.25">
      <c r="A471" s="148">
        <v>16703</v>
      </c>
      <c r="B471" s="148" t="s">
        <v>313</v>
      </c>
      <c r="C471" s="143" t="s">
        <v>2504</v>
      </c>
      <c r="D471" s="143" t="s">
        <v>313</v>
      </c>
      <c r="E471" s="143" t="s">
        <v>2504</v>
      </c>
      <c r="F471" s="143" t="s">
        <v>2504</v>
      </c>
      <c r="G471" s="143" t="s">
        <v>2504</v>
      </c>
      <c r="H471" s="143" t="s">
        <v>2504</v>
      </c>
      <c r="I471" s="143" t="s">
        <v>2504</v>
      </c>
      <c r="J471" s="143" t="s">
        <v>2504</v>
      </c>
      <c r="K471" s="143" t="s">
        <v>2504</v>
      </c>
      <c r="L471" s="143" t="s">
        <v>2504</v>
      </c>
      <c r="M471" s="143" t="s">
        <v>2504</v>
      </c>
      <c r="N471" s="143" t="s">
        <v>2504</v>
      </c>
      <c r="O471" s="143" t="s">
        <v>2504</v>
      </c>
      <c r="P471" s="143" t="s">
        <v>2504</v>
      </c>
      <c r="Q471" s="148" t="s">
        <v>2301</v>
      </c>
      <c r="R471" s="148" t="s">
        <v>630</v>
      </c>
      <c r="S471" s="148" t="s">
        <v>830</v>
      </c>
      <c r="T471" s="149">
        <v>200</v>
      </c>
      <c r="U471" s="241" t="s">
        <v>591</v>
      </c>
      <c r="V471" s="150">
        <v>18299.64</v>
      </c>
      <c r="W471" s="151">
        <v>7844.99</v>
      </c>
    </row>
    <row r="472" spans="1:23" ht="15" customHeight="1" x14ac:dyDescent="0.25">
      <c r="A472" s="148">
        <v>16603</v>
      </c>
      <c r="B472" s="148" t="s">
        <v>322</v>
      </c>
      <c r="C472" s="143" t="s">
        <v>2504</v>
      </c>
      <c r="D472" s="143" t="s">
        <v>322</v>
      </c>
      <c r="E472" s="143" t="s">
        <v>2504</v>
      </c>
      <c r="F472" s="143" t="s">
        <v>2504</v>
      </c>
      <c r="G472" s="143" t="s">
        <v>2504</v>
      </c>
      <c r="H472" s="143" t="s">
        <v>2504</v>
      </c>
      <c r="I472" s="143" t="s">
        <v>2504</v>
      </c>
      <c r="J472" s="143" t="s">
        <v>2504</v>
      </c>
      <c r="K472" s="143" t="s">
        <v>2504</v>
      </c>
      <c r="L472" s="143" t="s">
        <v>2504</v>
      </c>
      <c r="M472" s="143" t="s">
        <v>2504</v>
      </c>
      <c r="N472" s="143" t="s">
        <v>2504</v>
      </c>
      <c r="O472" s="143" t="s">
        <v>2504</v>
      </c>
      <c r="P472" s="143" t="s">
        <v>2504</v>
      </c>
      <c r="Q472" s="148" t="s">
        <v>2276</v>
      </c>
      <c r="R472" s="148" t="s">
        <v>630</v>
      </c>
      <c r="S472" s="148" t="s">
        <v>840</v>
      </c>
      <c r="T472" s="149">
        <v>19</v>
      </c>
      <c r="U472" s="241" t="s">
        <v>591</v>
      </c>
      <c r="V472" s="150">
        <v>2336.77</v>
      </c>
      <c r="W472" s="151">
        <v>2167.54</v>
      </c>
    </row>
    <row r="473" spans="1:23" ht="15" customHeight="1" x14ac:dyDescent="0.25">
      <c r="A473" s="148">
        <v>16702</v>
      </c>
      <c r="B473" s="148" t="s">
        <v>323</v>
      </c>
      <c r="C473" s="143" t="s">
        <v>2504</v>
      </c>
      <c r="D473" s="143" t="s">
        <v>323</v>
      </c>
      <c r="E473" s="143" t="s">
        <v>2504</v>
      </c>
      <c r="F473" s="143" t="s">
        <v>2504</v>
      </c>
      <c r="G473" s="143" t="s">
        <v>2504</v>
      </c>
      <c r="H473" s="143" t="s">
        <v>2504</v>
      </c>
      <c r="I473" s="143" t="s">
        <v>2504</v>
      </c>
      <c r="J473" s="143" t="s">
        <v>2504</v>
      </c>
      <c r="K473" s="143" t="s">
        <v>2504</v>
      </c>
      <c r="L473" s="143" t="s">
        <v>2504</v>
      </c>
      <c r="M473" s="143" t="s">
        <v>2504</v>
      </c>
      <c r="N473" s="143" t="s">
        <v>2504</v>
      </c>
      <c r="O473" s="143" t="s">
        <v>2504</v>
      </c>
      <c r="P473" s="143" t="s">
        <v>2504</v>
      </c>
      <c r="Q473" s="148" t="s">
        <v>2300</v>
      </c>
      <c r="R473" s="148" t="s">
        <v>630</v>
      </c>
      <c r="S473" s="148" t="s">
        <v>840</v>
      </c>
      <c r="T473" s="149">
        <v>200</v>
      </c>
      <c r="U473" s="241" t="s">
        <v>591</v>
      </c>
      <c r="V473" s="150">
        <v>24698.58</v>
      </c>
      <c r="W473" s="151">
        <v>2008.01</v>
      </c>
    </row>
    <row r="474" spans="1:23" ht="15" customHeight="1" x14ac:dyDescent="0.25">
      <c r="A474" s="148">
        <v>16267</v>
      </c>
      <c r="B474" s="148" t="s">
        <v>552</v>
      </c>
      <c r="C474" s="143" t="s">
        <v>2504</v>
      </c>
      <c r="D474" s="143" t="s">
        <v>552</v>
      </c>
      <c r="E474" s="143" t="s">
        <v>2504</v>
      </c>
      <c r="F474" s="143" t="s">
        <v>2504</v>
      </c>
      <c r="G474" s="143" t="s">
        <v>2504</v>
      </c>
      <c r="H474" s="143" t="s">
        <v>2504</v>
      </c>
      <c r="I474" s="143" t="s">
        <v>2504</v>
      </c>
      <c r="J474" s="143" t="s">
        <v>2504</v>
      </c>
      <c r="K474" s="143" t="s">
        <v>2504</v>
      </c>
      <c r="L474" s="143" t="s">
        <v>2504</v>
      </c>
      <c r="M474" s="143" t="s">
        <v>2504</v>
      </c>
      <c r="N474" s="143" t="s">
        <v>2504</v>
      </c>
      <c r="O474" s="143" t="s">
        <v>2504</v>
      </c>
      <c r="P474" s="143" t="s">
        <v>2504</v>
      </c>
      <c r="Q474" s="148" t="s">
        <v>2207</v>
      </c>
      <c r="R474" s="148" t="s">
        <v>630</v>
      </c>
      <c r="S474" s="148" t="s">
        <v>631</v>
      </c>
      <c r="T474" s="149">
        <v>4</v>
      </c>
      <c r="U474" s="241" t="s">
        <v>591</v>
      </c>
      <c r="V474" s="150">
        <v>349.58</v>
      </c>
      <c r="W474" s="151">
        <v>1982.11</v>
      </c>
    </row>
    <row r="475" spans="1:23" ht="15" customHeight="1" x14ac:dyDescent="0.25">
      <c r="A475" s="148">
        <v>16268</v>
      </c>
      <c r="B475" s="148" t="s">
        <v>304</v>
      </c>
      <c r="C475" s="143" t="s">
        <v>2504</v>
      </c>
      <c r="D475" s="143" t="s">
        <v>304</v>
      </c>
      <c r="E475" s="143" t="s">
        <v>2504</v>
      </c>
      <c r="F475" s="143" t="s">
        <v>2504</v>
      </c>
      <c r="G475" s="143" t="s">
        <v>2504</v>
      </c>
      <c r="H475" s="143" t="s">
        <v>2504</v>
      </c>
      <c r="I475" s="143" t="s">
        <v>2504</v>
      </c>
      <c r="J475" s="143" t="s">
        <v>2504</v>
      </c>
      <c r="K475" s="143" t="s">
        <v>2504</v>
      </c>
      <c r="L475" s="143" t="s">
        <v>2504</v>
      </c>
      <c r="M475" s="143" t="s">
        <v>2504</v>
      </c>
      <c r="N475" s="143" t="s">
        <v>2504</v>
      </c>
      <c r="O475" s="143" t="s">
        <v>2504</v>
      </c>
      <c r="P475" s="143" t="s">
        <v>2504</v>
      </c>
      <c r="Q475" s="148" t="s">
        <v>2208</v>
      </c>
      <c r="R475" s="148" t="s">
        <v>630</v>
      </c>
      <c r="S475" s="148" t="s">
        <v>631</v>
      </c>
      <c r="T475" s="149">
        <v>4</v>
      </c>
      <c r="U475" s="241" t="s">
        <v>591</v>
      </c>
      <c r="V475" s="150">
        <v>349.48</v>
      </c>
      <c r="W475" s="151">
        <v>3128.24</v>
      </c>
    </row>
    <row r="476" spans="1:23" ht="15" customHeight="1" x14ac:dyDescent="0.25">
      <c r="A476" s="148">
        <v>16318</v>
      </c>
      <c r="B476" s="148" t="s">
        <v>299</v>
      </c>
      <c r="C476" s="143" t="s">
        <v>2504</v>
      </c>
      <c r="D476" s="143" t="s">
        <v>299</v>
      </c>
      <c r="E476" s="143" t="s">
        <v>2504</v>
      </c>
      <c r="F476" s="143" t="s">
        <v>2504</v>
      </c>
      <c r="G476" s="143" t="s">
        <v>2504</v>
      </c>
      <c r="H476" s="143" t="s">
        <v>2504</v>
      </c>
      <c r="I476" s="143" t="s">
        <v>2504</v>
      </c>
      <c r="J476" s="143" t="s">
        <v>2504</v>
      </c>
      <c r="K476" s="143" t="s">
        <v>2504</v>
      </c>
      <c r="L476" s="143" t="s">
        <v>2504</v>
      </c>
      <c r="M476" s="143" t="s">
        <v>2504</v>
      </c>
      <c r="N476" s="143" t="s">
        <v>2504</v>
      </c>
      <c r="O476" s="143" t="s">
        <v>2504</v>
      </c>
      <c r="P476" s="143" t="s">
        <v>2504</v>
      </c>
      <c r="Q476" s="148" t="s">
        <v>2228</v>
      </c>
      <c r="R476" s="148" t="s">
        <v>630</v>
      </c>
      <c r="S476" s="148" t="s">
        <v>631</v>
      </c>
      <c r="T476" s="149">
        <v>5</v>
      </c>
      <c r="U476" s="241" t="s">
        <v>591</v>
      </c>
      <c r="V476" s="150">
        <v>467.94</v>
      </c>
      <c r="W476" s="151">
        <v>3783.38</v>
      </c>
    </row>
    <row r="477" spans="1:23" ht="15" customHeight="1" x14ac:dyDescent="0.25">
      <c r="A477" s="148">
        <v>16319</v>
      </c>
      <c r="B477" s="148" t="s">
        <v>300</v>
      </c>
      <c r="C477" s="143" t="s">
        <v>2504</v>
      </c>
      <c r="D477" s="143" t="s">
        <v>300</v>
      </c>
      <c r="E477" s="143" t="s">
        <v>2504</v>
      </c>
      <c r="F477" s="143" t="s">
        <v>2504</v>
      </c>
      <c r="G477" s="143" t="s">
        <v>2504</v>
      </c>
      <c r="H477" s="143" t="s">
        <v>2504</v>
      </c>
      <c r="I477" s="143" t="s">
        <v>2504</v>
      </c>
      <c r="J477" s="143" t="s">
        <v>2504</v>
      </c>
      <c r="K477" s="143" t="s">
        <v>2504</v>
      </c>
      <c r="L477" s="143" t="s">
        <v>2504</v>
      </c>
      <c r="M477" s="143" t="s">
        <v>2504</v>
      </c>
      <c r="N477" s="143" t="s">
        <v>2504</v>
      </c>
      <c r="O477" s="143" t="s">
        <v>2504</v>
      </c>
      <c r="P477" s="143" t="s">
        <v>2504</v>
      </c>
      <c r="Q477" s="148" t="s">
        <v>2229</v>
      </c>
      <c r="R477" s="148" t="s">
        <v>630</v>
      </c>
      <c r="S477" s="148" t="s">
        <v>631</v>
      </c>
      <c r="T477" s="149">
        <v>5</v>
      </c>
      <c r="U477" s="241" t="s">
        <v>591</v>
      </c>
      <c r="V477" s="150">
        <v>468.1</v>
      </c>
      <c r="W477" s="151">
        <v>2026.12</v>
      </c>
    </row>
    <row r="478" spans="1:23" ht="15" customHeight="1" x14ac:dyDescent="0.25">
      <c r="A478" s="148">
        <v>16513</v>
      </c>
      <c r="B478" s="148" t="s">
        <v>306</v>
      </c>
      <c r="C478" s="143" t="s">
        <v>2504</v>
      </c>
      <c r="D478" s="143" t="s">
        <v>306</v>
      </c>
      <c r="E478" s="143" t="s">
        <v>2504</v>
      </c>
      <c r="F478" s="143" t="s">
        <v>2504</v>
      </c>
      <c r="G478" s="143" t="s">
        <v>2504</v>
      </c>
      <c r="H478" s="143" t="s">
        <v>2504</v>
      </c>
      <c r="I478" s="143" t="s">
        <v>2504</v>
      </c>
      <c r="J478" s="143" t="s">
        <v>2504</v>
      </c>
      <c r="K478" s="143" t="s">
        <v>2504</v>
      </c>
      <c r="L478" s="143" t="s">
        <v>2504</v>
      </c>
      <c r="M478" s="143" t="s">
        <v>2504</v>
      </c>
      <c r="N478" s="143" t="s">
        <v>2504</v>
      </c>
      <c r="O478" s="143" t="s">
        <v>2504</v>
      </c>
      <c r="P478" s="143" t="s">
        <v>2504</v>
      </c>
      <c r="Q478" s="148" t="s">
        <v>2272</v>
      </c>
      <c r="R478" s="148" t="s">
        <v>630</v>
      </c>
      <c r="S478" s="148" t="s">
        <v>631</v>
      </c>
      <c r="T478" s="149">
        <v>0.95</v>
      </c>
      <c r="U478" s="241" t="s">
        <v>591</v>
      </c>
      <c r="V478" s="150">
        <v>83.83</v>
      </c>
      <c r="W478" s="151">
        <v>4185.9399999999996</v>
      </c>
    </row>
    <row r="479" spans="1:23" ht="15" customHeight="1" x14ac:dyDescent="0.25">
      <c r="A479" s="148">
        <v>16629</v>
      </c>
      <c r="B479" s="148" t="s">
        <v>302</v>
      </c>
      <c r="C479" s="143" t="s">
        <v>2504</v>
      </c>
      <c r="D479" s="143" t="s">
        <v>302</v>
      </c>
      <c r="E479" s="143" t="s">
        <v>2504</v>
      </c>
      <c r="F479" s="143" t="s">
        <v>2504</v>
      </c>
      <c r="G479" s="143" t="s">
        <v>2504</v>
      </c>
      <c r="H479" s="143" t="s">
        <v>2504</v>
      </c>
      <c r="I479" s="143" t="s">
        <v>2504</v>
      </c>
      <c r="J479" s="143" t="s">
        <v>2504</v>
      </c>
      <c r="K479" s="143" t="s">
        <v>2504</v>
      </c>
      <c r="L479" s="143" t="s">
        <v>2504</v>
      </c>
      <c r="M479" s="143" t="s">
        <v>2504</v>
      </c>
      <c r="N479" s="143" t="s">
        <v>2504</v>
      </c>
      <c r="O479" s="143" t="s">
        <v>2504</v>
      </c>
      <c r="P479" s="143" t="s">
        <v>2504</v>
      </c>
      <c r="Q479" s="148" t="s">
        <v>2295</v>
      </c>
      <c r="R479" s="148" t="s">
        <v>630</v>
      </c>
      <c r="S479" s="148" t="s">
        <v>631</v>
      </c>
      <c r="T479" s="149">
        <v>19</v>
      </c>
      <c r="U479" s="241" t="s">
        <v>591</v>
      </c>
      <c r="V479" s="150">
        <v>1703.52</v>
      </c>
      <c r="W479" s="151">
        <v>4247.05</v>
      </c>
    </row>
    <row r="480" spans="1:23" ht="15" customHeight="1" x14ac:dyDescent="0.25">
      <c r="A480" s="148">
        <v>16630</v>
      </c>
      <c r="B480" s="148" t="s">
        <v>305</v>
      </c>
      <c r="C480" s="143" t="s">
        <v>2504</v>
      </c>
      <c r="D480" s="143" t="s">
        <v>305</v>
      </c>
      <c r="E480" s="143" t="s">
        <v>2504</v>
      </c>
      <c r="F480" s="143" t="s">
        <v>2504</v>
      </c>
      <c r="G480" s="143" t="s">
        <v>2504</v>
      </c>
      <c r="H480" s="143" t="s">
        <v>2504</v>
      </c>
      <c r="I480" s="143" t="s">
        <v>2504</v>
      </c>
      <c r="J480" s="143" t="s">
        <v>2504</v>
      </c>
      <c r="K480" s="143" t="s">
        <v>2504</v>
      </c>
      <c r="L480" s="143" t="s">
        <v>2504</v>
      </c>
      <c r="M480" s="143" t="s">
        <v>2504</v>
      </c>
      <c r="N480" s="143" t="s">
        <v>2504</v>
      </c>
      <c r="O480" s="143" t="s">
        <v>2504</v>
      </c>
      <c r="P480" s="143" t="s">
        <v>2504</v>
      </c>
      <c r="Q480" s="148" t="s">
        <v>2296</v>
      </c>
      <c r="R480" s="148" t="s">
        <v>630</v>
      </c>
      <c r="S480" s="148" t="s">
        <v>631</v>
      </c>
      <c r="T480" s="149">
        <v>19</v>
      </c>
      <c r="U480" s="241" t="s">
        <v>591</v>
      </c>
      <c r="V480" s="150">
        <v>1706.2</v>
      </c>
      <c r="W480" s="151">
        <v>2828.23</v>
      </c>
    </row>
    <row r="481" spans="1:23" ht="15" customHeight="1" x14ac:dyDescent="0.25">
      <c r="A481" s="148">
        <v>16744</v>
      </c>
      <c r="B481" s="148" t="s">
        <v>301</v>
      </c>
      <c r="C481" s="143" t="s">
        <v>2504</v>
      </c>
      <c r="D481" s="143" t="s">
        <v>301</v>
      </c>
      <c r="E481" s="143" t="s">
        <v>2504</v>
      </c>
      <c r="F481" s="143" t="s">
        <v>2504</v>
      </c>
      <c r="G481" s="143" t="s">
        <v>2504</v>
      </c>
      <c r="H481" s="143" t="s">
        <v>2504</v>
      </c>
      <c r="I481" s="143" t="s">
        <v>2504</v>
      </c>
      <c r="J481" s="143" t="s">
        <v>2504</v>
      </c>
      <c r="K481" s="143" t="s">
        <v>2504</v>
      </c>
      <c r="L481" s="143" t="s">
        <v>2504</v>
      </c>
      <c r="M481" s="143" t="s">
        <v>2504</v>
      </c>
      <c r="N481" s="143" t="s">
        <v>2504</v>
      </c>
      <c r="O481" s="143" t="s">
        <v>2504</v>
      </c>
      <c r="P481" s="143" t="s">
        <v>2504</v>
      </c>
      <c r="Q481" s="148" t="s">
        <v>2337</v>
      </c>
      <c r="R481" s="148" t="s">
        <v>630</v>
      </c>
      <c r="S481" s="148" t="s">
        <v>631</v>
      </c>
      <c r="T481" s="149">
        <v>200</v>
      </c>
      <c r="U481" s="241" t="s">
        <v>591</v>
      </c>
      <c r="V481" s="150">
        <v>18060.8</v>
      </c>
      <c r="W481" s="151">
        <v>2579.59</v>
      </c>
    </row>
    <row r="482" spans="1:23" ht="15" customHeight="1" x14ac:dyDescent="0.25">
      <c r="A482" s="148">
        <v>16745</v>
      </c>
      <c r="B482" s="148" t="s">
        <v>303</v>
      </c>
      <c r="C482" s="143" t="s">
        <v>2504</v>
      </c>
      <c r="D482" s="143" t="s">
        <v>303</v>
      </c>
      <c r="E482" s="143" t="s">
        <v>2504</v>
      </c>
      <c r="F482" s="143" t="s">
        <v>2504</v>
      </c>
      <c r="G482" s="143" t="s">
        <v>2504</v>
      </c>
      <c r="H482" s="143" t="s">
        <v>2504</v>
      </c>
      <c r="I482" s="143" t="s">
        <v>2504</v>
      </c>
      <c r="J482" s="143" t="s">
        <v>2504</v>
      </c>
      <c r="K482" s="143" t="s">
        <v>2504</v>
      </c>
      <c r="L482" s="143" t="s">
        <v>2504</v>
      </c>
      <c r="M482" s="143" t="s">
        <v>2504</v>
      </c>
      <c r="N482" s="143" t="s">
        <v>2504</v>
      </c>
      <c r="O482" s="143" t="s">
        <v>2504</v>
      </c>
      <c r="P482" s="143" t="s">
        <v>2504</v>
      </c>
      <c r="Q482" s="148" t="s">
        <v>2338</v>
      </c>
      <c r="R482" s="148" t="s">
        <v>630</v>
      </c>
      <c r="S482" s="148" t="s">
        <v>631</v>
      </c>
      <c r="T482" s="149">
        <v>200</v>
      </c>
      <c r="U482" s="241" t="s">
        <v>591</v>
      </c>
      <c r="V482" s="150">
        <v>18032.59</v>
      </c>
      <c r="W482" s="151">
        <v>2058.6799999999998</v>
      </c>
    </row>
    <row r="483" spans="1:23" ht="15" customHeight="1" x14ac:dyDescent="0.25">
      <c r="A483" s="148">
        <v>16600</v>
      </c>
      <c r="B483" s="148" t="s">
        <v>330</v>
      </c>
      <c r="C483" s="143" t="s">
        <v>2504</v>
      </c>
      <c r="D483" s="143" t="s">
        <v>2504</v>
      </c>
      <c r="E483" s="143" t="s">
        <v>330</v>
      </c>
      <c r="F483" s="143" t="s">
        <v>2504</v>
      </c>
      <c r="G483" s="143" t="s">
        <v>2504</v>
      </c>
      <c r="H483" s="143" t="s">
        <v>2504</v>
      </c>
      <c r="I483" s="143" t="s">
        <v>2504</v>
      </c>
      <c r="J483" s="143" t="s">
        <v>2504</v>
      </c>
      <c r="K483" s="143" t="s">
        <v>2504</v>
      </c>
      <c r="L483" s="143" t="s">
        <v>2504</v>
      </c>
      <c r="M483" s="143" t="s">
        <v>2504</v>
      </c>
      <c r="N483" s="143" t="s">
        <v>2504</v>
      </c>
      <c r="O483" s="143" t="s">
        <v>2504</v>
      </c>
      <c r="P483" s="143" t="s">
        <v>2504</v>
      </c>
      <c r="Q483" s="148" t="s">
        <v>2273</v>
      </c>
      <c r="R483" s="148" t="s">
        <v>630</v>
      </c>
      <c r="S483" s="148" t="s">
        <v>817</v>
      </c>
      <c r="T483" s="149">
        <v>19</v>
      </c>
      <c r="U483" s="241" t="s">
        <v>591</v>
      </c>
      <c r="V483" s="150">
        <v>3725.15</v>
      </c>
      <c r="W483" s="151">
        <v>2094.2399999999998</v>
      </c>
    </row>
    <row r="484" spans="1:23" ht="15" customHeight="1" x14ac:dyDescent="0.25">
      <c r="A484" s="148">
        <v>16700</v>
      </c>
      <c r="B484" s="148" t="s">
        <v>487</v>
      </c>
      <c r="C484" s="143" t="s">
        <v>2504</v>
      </c>
      <c r="D484" s="143" t="s">
        <v>2504</v>
      </c>
      <c r="E484" s="143" t="s">
        <v>487</v>
      </c>
      <c r="F484" s="143" t="s">
        <v>2504</v>
      </c>
      <c r="G484" s="143" t="s">
        <v>2504</v>
      </c>
      <c r="H484" s="143" t="s">
        <v>2504</v>
      </c>
      <c r="I484" s="143" t="s">
        <v>2504</v>
      </c>
      <c r="J484" s="143" t="s">
        <v>2504</v>
      </c>
      <c r="K484" s="143" t="s">
        <v>2504</v>
      </c>
      <c r="L484" s="143" t="s">
        <v>2504</v>
      </c>
      <c r="M484" s="143" t="s">
        <v>2504</v>
      </c>
      <c r="N484" s="143" t="s">
        <v>2504</v>
      </c>
      <c r="O484" s="143" t="s">
        <v>2504</v>
      </c>
      <c r="P484" s="143" t="s">
        <v>2504</v>
      </c>
      <c r="Q484" s="148" t="s">
        <v>2298</v>
      </c>
      <c r="R484" s="148" t="s">
        <v>630</v>
      </c>
      <c r="S484" s="148" t="s">
        <v>817</v>
      </c>
      <c r="T484" s="149">
        <v>200</v>
      </c>
      <c r="U484" s="241" t="s">
        <v>591</v>
      </c>
      <c r="V484" s="150">
        <v>38760.620000000003</v>
      </c>
      <c r="W484" s="151">
        <v>2499.11</v>
      </c>
    </row>
    <row r="485" spans="1:23" ht="15" customHeight="1" x14ac:dyDescent="0.25">
      <c r="A485" s="148">
        <v>433</v>
      </c>
      <c r="B485" s="148" t="s">
        <v>328</v>
      </c>
      <c r="C485" s="143" t="s">
        <v>2504</v>
      </c>
      <c r="D485" s="143" t="s">
        <v>2504</v>
      </c>
      <c r="E485" s="143" t="s">
        <v>328</v>
      </c>
      <c r="F485" s="143" t="s">
        <v>2504</v>
      </c>
      <c r="G485" s="143" t="s">
        <v>2504</v>
      </c>
      <c r="H485" s="143" t="s">
        <v>2504</v>
      </c>
      <c r="I485" s="143" t="s">
        <v>2504</v>
      </c>
      <c r="J485" s="143" t="s">
        <v>2504</v>
      </c>
      <c r="K485" s="143" t="s">
        <v>2504</v>
      </c>
      <c r="L485" s="143" t="s">
        <v>2504</v>
      </c>
      <c r="M485" s="143" t="s">
        <v>2504</v>
      </c>
      <c r="N485" s="143" t="s">
        <v>2504</v>
      </c>
      <c r="O485" s="143" t="s">
        <v>2504</v>
      </c>
      <c r="P485" s="143" t="s">
        <v>2504</v>
      </c>
      <c r="Q485" s="148" t="s">
        <v>813</v>
      </c>
      <c r="R485" s="148" t="s">
        <v>630</v>
      </c>
      <c r="S485" s="148" t="s">
        <v>812</v>
      </c>
      <c r="T485" s="149">
        <v>19</v>
      </c>
      <c r="U485" s="241" t="s">
        <v>591</v>
      </c>
      <c r="V485" s="150">
        <v>4136.51</v>
      </c>
      <c r="W485" s="151">
        <v>2506.5300000000002</v>
      </c>
    </row>
    <row r="486" spans="1:23" ht="15" customHeight="1" x14ac:dyDescent="0.25">
      <c r="A486" s="148">
        <v>434</v>
      </c>
      <c r="B486" s="148" t="s">
        <v>329</v>
      </c>
      <c r="C486" s="143" t="s">
        <v>2504</v>
      </c>
      <c r="D486" s="143" t="s">
        <v>2504</v>
      </c>
      <c r="E486" s="143" t="s">
        <v>329</v>
      </c>
      <c r="F486" s="143" t="s">
        <v>2504</v>
      </c>
      <c r="G486" s="143" t="s">
        <v>2504</v>
      </c>
      <c r="H486" s="143" t="s">
        <v>2504</v>
      </c>
      <c r="I486" s="143" t="s">
        <v>2504</v>
      </c>
      <c r="J486" s="143" t="s">
        <v>2504</v>
      </c>
      <c r="K486" s="143" t="s">
        <v>2504</v>
      </c>
      <c r="L486" s="143" t="s">
        <v>2504</v>
      </c>
      <c r="M486" s="143" t="s">
        <v>2504</v>
      </c>
      <c r="N486" s="143" t="s">
        <v>2504</v>
      </c>
      <c r="O486" s="143" t="s">
        <v>2504</v>
      </c>
      <c r="P486" s="143" t="s">
        <v>2504</v>
      </c>
      <c r="Q486" s="148" t="s">
        <v>814</v>
      </c>
      <c r="R486" s="148" t="s">
        <v>630</v>
      </c>
      <c r="S486" s="148" t="s">
        <v>812</v>
      </c>
      <c r="T486" s="149">
        <v>200</v>
      </c>
      <c r="U486" s="241" t="s">
        <v>591</v>
      </c>
      <c r="V486" s="150">
        <v>43642.54</v>
      </c>
      <c r="W486" s="151">
        <v>1822.07</v>
      </c>
    </row>
    <row r="487" spans="1:23" ht="15" customHeight="1" x14ac:dyDescent="0.25">
      <c r="A487" s="148">
        <v>16748</v>
      </c>
      <c r="B487" s="148" t="s">
        <v>519</v>
      </c>
      <c r="C487" s="143" t="s">
        <v>2504</v>
      </c>
      <c r="D487" s="143" t="s">
        <v>2504</v>
      </c>
      <c r="E487" s="143" t="s">
        <v>519</v>
      </c>
      <c r="F487" s="143" t="s">
        <v>2504</v>
      </c>
      <c r="G487" s="143" t="s">
        <v>2504</v>
      </c>
      <c r="H487" s="143" t="s">
        <v>2504</v>
      </c>
      <c r="I487" s="143" t="s">
        <v>2504</v>
      </c>
      <c r="J487" s="143" t="s">
        <v>2504</v>
      </c>
      <c r="K487" s="143" t="s">
        <v>2504</v>
      </c>
      <c r="L487" s="143" t="s">
        <v>2504</v>
      </c>
      <c r="M487" s="143" t="s">
        <v>2504</v>
      </c>
      <c r="N487" s="143" t="s">
        <v>2504</v>
      </c>
      <c r="O487" s="143" t="s">
        <v>2504</v>
      </c>
      <c r="P487" s="143" t="s">
        <v>2504</v>
      </c>
      <c r="Q487" s="148" t="s">
        <v>2340</v>
      </c>
      <c r="R487" s="148" t="s">
        <v>630</v>
      </c>
      <c r="S487" s="148" t="s">
        <v>2341</v>
      </c>
      <c r="T487" s="149">
        <v>200</v>
      </c>
      <c r="U487" s="241" t="s">
        <v>591</v>
      </c>
      <c r="V487" s="150">
        <v>35375.33</v>
      </c>
      <c r="W487" s="151">
        <v>2339.42</v>
      </c>
    </row>
    <row r="488" spans="1:23" ht="15" customHeight="1" x14ac:dyDescent="0.25">
      <c r="A488" s="148">
        <v>16172</v>
      </c>
      <c r="B488" s="148" t="s">
        <v>520</v>
      </c>
      <c r="C488" s="143" t="s">
        <v>2504</v>
      </c>
      <c r="D488" s="143" t="s">
        <v>2504</v>
      </c>
      <c r="E488" s="143" t="s">
        <v>520</v>
      </c>
      <c r="F488" s="143" t="s">
        <v>2504</v>
      </c>
      <c r="G488" s="143" t="s">
        <v>2504</v>
      </c>
      <c r="H488" s="143" t="s">
        <v>2504</v>
      </c>
      <c r="I488" s="143" t="s">
        <v>2504</v>
      </c>
      <c r="J488" s="143" t="s">
        <v>2504</v>
      </c>
      <c r="K488" s="143" t="s">
        <v>2504</v>
      </c>
      <c r="L488" s="143" t="s">
        <v>2504</v>
      </c>
      <c r="M488" s="143" t="s">
        <v>2504</v>
      </c>
      <c r="N488" s="143" t="s">
        <v>2504</v>
      </c>
      <c r="O488" s="143" t="s">
        <v>2504</v>
      </c>
      <c r="P488" s="143" t="s">
        <v>2504</v>
      </c>
      <c r="Q488" s="148" t="s">
        <v>2196</v>
      </c>
      <c r="R488" s="148" t="s">
        <v>630</v>
      </c>
      <c r="S488" s="148" t="s">
        <v>2195</v>
      </c>
      <c r="T488" s="149">
        <v>200</v>
      </c>
      <c r="U488" s="241" t="s">
        <v>591</v>
      </c>
      <c r="V488" s="150">
        <v>23851.86</v>
      </c>
      <c r="W488" s="151">
        <v>1783.2</v>
      </c>
    </row>
    <row r="489" spans="1:23" ht="15" customHeight="1" x14ac:dyDescent="0.25">
      <c r="A489" s="148">
        <v>1789</v>
      </c>
      <c r="B489" s="148" t="s">
        <v>327</v>
      </c>
      <c r="C489" s="143" t="s">
        <v>2504</v>
      </c>
      <c r="D489" s="143" t="s">
        <v>2504</v>
      </c>
      <c r="E489" s="143" t="s">
        <v>327</v>
      </c>
      <c r="F489" s="143" t="s">
        <v>2504</v>
      </c>
      <c r="G489" s="143" t="s">
        <v>2504</v>
      </c>
      <c r="H489" s="143" t="s">
        <v>2504</v>
      </c>
      <c r="I489" s="143" t="s">
        <v>2504</v>
      </c>
      <c r="J489" s="143" t="s">
        <v>2504</v>
      </c>
      <c r="K489" s="143" t="s">
        <v>2504</v>
      </c>
      <c r="L489" s="143" t="s">
        <v>2504</v>
      </c>
      <c r="M489" s="143" t="s">
        <v>2504</v>
      </c>
      <c r="N489" s="143" t="s">
        <v>2504</v>
      </c>
      <c r="O489" s="143" t="s">
        <v>2504</v>
      </c>
      <c r="P489" s="143" t="s">
        <v>2504</v>
      </c>
      <c r="Q489" s="148" t="s">
        <v>1091</v>
      </c>
      <c r="R489" s="148" t="s">
        <v>630</v>
      </c>
      <c r="S489" s="148" t="s">
        <v>1042</v>
      </c>
      <c r="T489" s="149">
        <v>200</v>
      </c>
      <c r="U489" s="241" t="s">
        <v>591</v>
      </c>
      <c r="V489" s="150">
        <v>23035.22</v>
      </c>
      <c r="W489" s="151">
        <v>2890.97</v>
      </c>
    </row>
    <row r="490" spans="1:23" ht="15" customHeight="1" x14ac:dyDescent="0.25">
      <c r="A490" s="148">
        <v>1790</v>
      </c>
      <c r="B490" s="148" t="s">
        <v>326</v>
      </c>
      <c r="C490" s="143" t="s">
        <v>2504</v>
      </c>
      <c r="D490" s="143" t="s">
        <v>2504</v>
      </c>
      <c r="E490" s="143" t="s">
        <v>326</v>
      </c>
      <c r="F490" s="143" t="s">
        <v>2504</v>
      </c>
      <c r="G490" s="143" t="s">
        <v>2504</v>
      </c>
      <c r="H490" s="143" t="s">
        <v>2504</v>
      </c>
      <c r="I490" s="143" t="s">
        <v>2504</v>
      </c>
      <c r="J490" s="143" t="s">
        <v>2504</v>
      </c>
      <c r="K490" s="143" t="s">
        <v>2504</v>
      </c>
      <c r="L490" s="143" t="s">
        <v>2504</v>
      </c>
      <c r="M490" s="143" t="s">
        <v>2504</v>
      </c>
      <c r="N490" s="143" t="s">
        <v>2504</v>
      </c>
      <c r="O490" s="143" t="s">
        <v>2504</v>
      </c>
      <c r="P490" s="143" t="s">
        <v>2504</v>
      </c>
      <c r="Q490" s="148" t="s">
        <v>1092</v>
      </c>
      <c r="R490" s="148" t="s">
        <v>630</v>
      </c>
      <c r="S490" s="148" t="s">
        <v>1042</v>
      </c>
      <c r="T490" s="149">
        <v>19</v>
      </c>
      <c r="U490" s="241" t="s">
        <v>591</v>
      </c>
      <c r="V490" s="150">
        <v>2181.56</v>
      </c>
      <c r="W490" s="151">
        <v>1878.98</v>
      </c>
    </row>
    <row r="491" spans="1:23" ht="15" customHeight="1" x14ac:dyDescent="0.25">
      <c r="A491" s="148">
        <v>16849</v>
      </c>
      <c r="B491" s="148" t="s">
        <v>518</v>
      </c>
      <c r="C491" s="143" t="s">
        <v>2504</v>
      </c>
      <c r="D491" s="143" t="s">
        <v>2504</v>
      </c>
      <c r="E491" s="143" t="s">
        <v>518</v>
      </c>
      <c r="F491" s="143" t="s">
        <v>2504</v>
      </c>
      <c r="G491" s="143" t="s">
        <v>2504</v>
      </c>
      <c r="H491" s="143" t="s">
        <v>2504</v>
      </c>
      <c r="I491" s="143" t="s">
        <v>2504</v>
      </c>
      <c r="J491" s="143" t="s">
        <v>2504</v>
      </c>
      <c r="K491" s="143" t="s">
        <v>2504</v>
      </c>
      <c r="L491" s="143" t="s">
        <v>2504</v>
      </c>
      <c r="M491" s="143" t="s">
        <v>2504</v>
      </c>
      <c r="N491" s="143" t="s">
        <v>2504</v>
      </c>
      <c r="O491" s="143" t="s">
        <v>2504</v>
      </c>
      <c r="P491" s="143" t="s">
        <v>2504</v>
      </c>
      <c r="Q491" s="148" t="s">
        <v>2387</v>
      </c>
      <c r="R491" s="148" t="s">
        <v>630</v>
      </c>
      <c r="S491" s="148" t="s">
        <v>745</v>
      </c>
      <c r="T491" s="149">
        <v>200</v>
      </c>
      <c r="U491" s="241" t="s">
        <v>591</v>
      </c>
      <c r="V491" s="150">
        <v>27427.96</v>
      </c>
      <c r="W491" s="151">
        <v>2034.61</v>
      </c>
    </row>
    <row r="492" spans="1:23" ht="15" customHeight="1" x14ac:dyDescent="0.25">
      <c r="A492" s="148">
        <v>490</v>
      </c>
      <c r="B492" s="148" t="s">
        <v>370</v>
      </c>
      <c r="C492" s="143" t="s">
        <v>2504</v>
      </c>
      <c r="D492" s="143" t="s">
        <v>2504</v>
      </c>
      <c r="E492" s="143" t="s">
        <v>370</v>
      </c>
      <c r="F492" s="143" t="s">
        <v>2504</v>
      </c>
      <c r="G492" s="143" t="s">
        <v>2504</v>
      </c>
      <c r="H492" s="143" t="s">
        <v>2504</v>
      </c>
      <c r="I492" s="143" t="s">
        <v>2504</v>
      </c>
      <c r="J492" s="143" t="s">
        <v>2504</v>
      </c>
      <c r="K492" s="143" t="s">
        <v>2504</v>
      </c>
      <c r="L492" s="143" t="s">
        <v>2504</v>
      </c>
      <c r="M492" s="143" t="s">
        <v>2504</v>
      </c>
      <c r="N492" s="143" t="s">
        <v>2504</v>
      </c>
      <c r="O492" s="143" t="s">
        <v>2504</v>
      </c>
      <c r="P492" s="143" t="s">
        <v>2504</v>
      </c>
      <c r="Q492" s="148" t="s">
        <v>851</v>
      </c>
      <c r="R492" s="148" t="s">
        <v>606</v>
      </c>
      <c r="S492" s="148" t="s">
        <v>852</v>
      </c>
      <c r="T492" s="149">
        <v>0.95</v>
      </c>
      <c r="U492" s="241" t="s">
        <v>591</v>
      </c>
      <c r="V492" s="150">
        <v>159.24</v>
      </c>
      <c r="W492" s="151">
        <v>2239.59</v>
      </c>
    </row>
    <row r="493" spans="1:23" ht="15" customHeight="1" x14ac:dyDescent="0.25">
      <c r="A493" s="148">
        <v>736</v>
      </c>
      <c r="B493" s="148" t="s">
        <v>371</v>
      </c>
      <c r="C493" s="143" t="s">
        <v>2504</v>
      </c>
      <c r="D493" s="143" t="s">
        <v>2504</v>
      </c>
      <c r="E493" s="143" t="s">
        <v>371</v>
      </c>
      <c r="F493" s="143" t="s">
        <v>2504</v>
      </c>
      <c r="G493" s="143" t="s">
        <v>2504</v>
      </c>
      <c r="H493" s="143" t="s">
        <v>2504</v>
      </c>
      <c r="I493" s="143" t="s">
        <v>2504</v>
      </c>
      <c r="J493" s="143" t="s">
        <v>2504</v>
      </c>
      <c r="K493" s="143" t="s">
        <v>2504</v>
      </c>
      <c r="L493" s="143" t="s">
        <v>2504</v>
      </c>
      <c r="M493" s="143" t="s">
        <v>2504</v>
      </c>
      <c r="N493" s="143" t="s">
        <v>2504</v>
      </c>
      <c r="O493" s="143" t="s">
        <v>2504</v>
      </c>
      <c r="P493" s="143" t="s">
        <v>2504</v>
      </c>
      <c r="Q493" s="148" t="s">
        <v>951</v>
      </c>
      <c r="R493" s="148" t="s">
        <v>606</v>
      </c>
      <c r="S493" s="148" t="s">
        <v>852</v>
      </c>
      <c r="T493" s="149">
        <v>19</v>
      </c>
      <c r="U493" s="241" t="s">
        <v>591</v>
      </c>
      <c r="V493" s="150">
        <v>3052.77</v>
      </c>
      <c r="W493" s="151">
        <v>2384.92</v>
      </c>
    </row>
    <row r="494" spans="1:23" ht="15" customHeight="1" x14ac:dyDescent="0.25">
      <c r="A494" s="148">
        <v>49</v>
      </c>
      <c r="B494" s="148" t="s">
        <v>336</v>
      </c>
      <c r="C494" s="143" t="s">
        <v>2504</v>
      </c>
      <c r="D494" s="143" t="s">
        <v>2504</v>
      </c>
      <c r="E494" s="143" t="s">
        <v>336</v>
      </c>
      <c r="F494" s="143" t="s">
        <v>2504</v>
      </c>
      <c r="G494" s="143" t="s">
        <v>2504</v>
      </c>
      <c r="H494" s="143" t="s">
        <v>2504</v>
      </c>
      <c r="I494" s="143" t="s">
        <v>2504</v>
      </c>
      <c r="J494" s="143" t="s">
        <v>2504</v>
      </c>
      <c r="K494" s="143" t="s">
        <v>2504</v>
      </c>
      <c r="L494" s="143" t="s">
        <v>2504</v>
      </c>
      <c r="M494" s="143" t="s">
        <v>2504</v>
      </c>
      <c r="N494" s="143" t="s">
        <v>2504</v>
      </c>
      <c r="O494" s="143" t="s">
        <v>2504</v>
      </c>
      <c r="P494" s="143" t="s">
        <v>2504</v>
      </c>
      <c r="Q494" s="148" t="s">
        <v>614</v>
      </c>
      <c r="R494" s="148" t="s">
        <v>606</v>
      </c>
      <c r="S494" s="148" t="s">
        <v>615</v>
      </c>
      <c r="T494" s="149">
        <v>0.95</v>
      </c>
      <c r="U494" s="241" t="s">
        <v>591</v>
      </c>
      <c r="V494" s="150">
        <v>91.64</v>
      </c>
      <c r="W494" s="151">
        <v>2064.5300000000002</v>
      </c>
    </row>
    <row r="495" spans="1:23" ht="15" customHeight="1" x14ac:dyDescent="0.25">
      <c r="A495" s="148">
        <v>52</v>
      </c>
      <c r="B495" s="148" t="s">
        <v>331</v>
      </c>
      <c r="C495" s="143" t="s">
        <v>2504</v>
      </c>
      <c r="D495" s="143" t="s">
        <v>2504</v>
      </c>
      <c r="E495" s="143" t="s">
        <v>331</v>
      </c>
      <c r="F495" s="143" t="s">
        <v>2504</v>
      </c>
      <c r="G495" s="143" t="s">
        <v>2504</v>
      </c>
      <c r="H495" s="143" t="s">
        <v>2504</v>
      </c>
      <c r="I495" s="143" t="s">
        <v>2504</v>
      </c>
      <c r="J495" s="143" t="s">
        <v>2504</v>
      </c>
      <c r="K495" s="143" t="s">
        <v>2504</v>
      </c>
      <c r="L495" s="143" t="s">
        <v>2504</v>
      </c>
      <c r="M495" s="143" t="s">
        <v>2504</v>
      </c>
      <c r="N495" s="143" t="s">
        <v>2504</v>
      </c>
      <c r="O495" s="143" t="s">
        <v>2504</v>
      </c>
      <c r="P495" s="143" t="s">
        <v>2504</v>
      </c>
      <c r="Q495" s="148" t="s">
        <v>621</v>
      </c>
      <c r="R495" s="148" t="s">
        <v>606</v>
      </c>
      <c r="S495" s="148" t="s">
        <v>615</v>
      </c>
      <c r="T495" s="149">
        <v>0.95</v>
      </c>
      <c r="U495" s="241" t="s">
        <v>591</v>
      </c>
      <c r="V495" s="150">
        <v>91.39</v>
      </c>
      <c r="W495" s="151">
        <v>2095.5700000000002</v>
      </c>
    </row>
    <row r="496" spans="1:23" ht="15" customHeight="1" x14ac:dyDescent="0.25">
      <c r="A496" s="148">
        <v>129</v>
      </c>
      <c r="B496" s="148" t="s">
        <v>332</v>
      </c>
      <c r="C496" s="143" t="s">
        <v>2504</v>
      </c>
      <c r="D496" s="143" t="s">
        <v>2504</v>
      </c>
      <c r="E496" s="143" t="s">
        <v>332</v>
      </c>
      <c r="F496" s="143" t="s">
        <v>2504</v>
      </c>
      <c r="G496" s="143" t="s">
        <v>2504</v>
      </c>
      <c r="H496" s="143" t="s">
        <v>2504</v>
      </c>
      <c r="I496" s="143" t="s">
        <v>2504</v>
      </c>
      <c r="J496" s="143" t="s">
        <v>2504</v>
      </c>
      <c r="K496" s="143" t="s">
        <v>2504</v>
      </c>
      <c r="L496" s="143" t="s">
        <v>2504</v>
      </c>
      <c r="M496" s="143" t="s">
        <v>2504</v>
      </c>
      <c r="N496" s="143" t="s">
        <v>2504</v>
      </c>
      <c r="O496" s="143" t="s">
        <v>2504</v>
      </c>
      <c r="P496" s="143" t="s">
        <v>2504</v>
      </c>
      <c r="Q496" s="148" t="s">
        <v>679</v>
      </c>
      <c r="R496" s="148" t="s">
        <v>606</v>
      </c>
      <c r="S496" s="148" t="s">
        <v>615</v>
      </c>
      <c r="T496" s="149">
        <v>0.95</v>
      </c>
      <c r="U496" s="241" t="s">
        <v>591</v>
      </c>
      <c r="V496" s="150">
        <v>97.46</v>
      </c>
      <c r="W496" s="151">
        <v>2092.73</v>
      </c>
    </row>
    <row r="497" spans="1:23" ht="15" customHeight="1" x14ac:dyDescent="0.25">
      <c r="A497" s="148">
        <v>130</v>
      </c>
      <c r="B497" s="148" t="s">
        <v>333</v>
      </c>
      <c r="C497" s="143" t="s">
        <v>2504</v>
      </c>
      <c r="D497" s="143" t="s">
        <v>2504</v>
      </c>
      <c r="E497" s="143" t="s">
        <v>333</v>
      </c>
      <c r="F497" s="143" t="s">
        <v>2504</v>
      </c>
      <c r="G497" s="143" t="s">
        <v>2504</v>
      </c>
      <c r="H497" s="143" t="s">
        <v>2504</v>
      </c>
      <c r="I497" s="143" t="s">
        <v>2504</v>
      </c>
      <c r="J497" s="143" t="s">
        <v>2504</v>
      </c>
      <c r="K497" s="143" t="s">
        <v>2504</v>
      </c>
      <c r="L497" s="143" t="s">
        <v>2504</v>
      </c>
      <c r="M497" s="143" t="s">
        <v>2504</v>
      </c>
      <c r="N497" s="143" t="s">
        <v>2504</v>
      </c>
      <c r="O497" s="143" t="s">
        <v>2504</v>
      </c>
      <c r="P497" s="143" t="s">
        <v>2504</v>
      </c>
      <c r="Q497" s="148" t="s">
        <v>680</v>
      </c>
      <c r="R497" s="148" t="s">
        <v>606</v>
      </c>
      <c r="S497" s="148" t="s">
        <v>615</v>
      </c>
      <c r="T497" s="149">
        <v>5</v>
      </c>
      <c r="U497" s="241" t="s">
        <v>591</v>
      </c>
      <c r="V497" s="150">
        <v>500.51</v>
      </c>
      <c r="W497" s="151">
        <v>2222.65</v>
      </c>
    </row>
    <row r="498" spans="1:23" ht="15" customHeight="1" x14ac:dyDescent="0.25">
      <c r="A498" s="148">
        <v>131</v>
      </c>
      <c r="B498" s="148" t="s">
        <v>334</v>
      </c>
      <c r="C498" s="143" t="s">
        <v>2504</v>
      </c>
      <c r="D498" s="143" t="s">
        <v>2504</v>
      </c>
      <c r="E498" s="143" t="s">
        <v>334</v>
      </c>
      <c r="F498" s="143" t="s">
        <v>2504</v>
      </c>
      <c r="G498" s="143" t="s">
        <v>2504</v>
      </c>
      <c r="H498" s="143" t="s">
        <v>2504</v>
      </c>
      <c r="I498" s="143" t="s">
        <v>2504</v>
      </c>
      <c r="J498" s="143" t="s">
        <v>2504</v>
      </c>
      <c r="K498" s="143" t="s">
        <v>2504</v>
      </c>
      <c r="L498" s="143" t="s">
        <v>2504</v>
      </c>
      <c r="M498" s="143" t="s">
        <v>2504</v>
      </c>
      <c r="N498" s="143" t="s">
        <v>2504</v>
      </c>
      <c r="O498" s="143" t="s">
        <v>2504</v>
      </c>
      <c r="P498" s="143" t="s">
        <v>2504</v>
      </c>
      <c r="Q498" s="148" t="s">
        <v>681</v>
      </c>
      <c r="R498" s="148" t="s">
        <v>606</v>
      </c>
      <c r="S498" s="148" t="s">
        <v>615</v>
      </c>
      <c r="T498" s="149">
        <v>19</v>
      </c>
      <c r="U498" s="241" t="s">
        <v>591</v>
      </c>
      <c r="V498" s="150">
        <v>1830.3</v>
      </c>
      <c r="W498" s="151">
        <v>3016.7</v>
      </c>
    </row>
    <row r="499" spans="1:23" ht="15" customHeight="1" x14ac:dyDescent="0.25">
      <c r="A499" s="148">
        <v>132</v>
      </c>
      <c r="B499" s="148" t="s">
        <v>335</v>
      </c>
      <c r="C499" s="143" t="s">
        <v>2504</v>
      </c>
      <c r="D499" s="143" t="s">
        <v>2504</v>
      </c>
      <c r="E499" s="143" t="s">
        <v>335</v>
      </c>
      <c r="F499" s="143" t="s">
        <v>2504</v>
      </c>
      <c r="G499" s="143" t="s">
        <v>2504</v>
      </c>
      <c r="H499" s="143" t="s">
        <v>2504</v>
      </c>
      <c r="I499" s="143" t="s">
        <v>2504</v>
      </c>
      <c r="J499" s="143" t="s">
        <v>2504</v>
      </c>
      <c r="K499" s="143" t="s">
        <v>2504</v>
      </c>
      <c r="L499" s="143" t="s">
        <v>2504</v>
      </c>
      <c r="M499" s="143" t="s">
        <v>2504</v>
      </c>
      <c r="N499" s="143" t="s">
        <v>2504</v>
      </c>
      <c r="O499" s="143" t="s">
        <v>2504</v>
      </c>
      <c r="P499" s="143" t="s">
        <v>2504</v>
      </c>
      <c r="Q499" s="148" t="s">
        <v>682</v>
      </c>
      <c r="R499" s="148" t="s">
        <v>606</v>
      </c>
      <c r="S499" s="148" t="s">
        <v>615</v>
      </c>
      <c r="T499" s="149">
        <v>200</v>
      </c>
      <c r="U499" s="241" t="s">
        <v>591</v>
      </c>
      <c r="V499" s="150">
        <v>19372.91</v>
      </c>
      <c r="W499" s="151">
        <v>3312.74</v>
      </c>
    </row>
    <row r="500" spans="1:23" ht="15" customHeight="1" x14ac:dyDescent="0.25">
      <c r="A500" s="148">
        <v>133</v>
      </c>
      <c r="B500" s="148" t="s">
        <v>337</v>
      </c>
      <c r="C500" s="143" t="s">
        <v>2504</v>
      </c>
      <c r="D500" s="143" t="s">
        <v>2504</v>
      </c>
      <c r="E500" s="143" t="s">
        <v>337</v>
      </c>
      <c r="F500" s="143" t="s">
        <v>2504</v>
      </c>
      <c r="G500" s="143" t="s">
        <v>2504</v>
      </c>
      <c r="H500" s="143" t="s">
        <v>2504</v>
      </c>
      <c r="I500" s="143" t="s">
        <v>2504</v>
      </c>
      <c r="J500" s="143" t="s">
        <v>2504</v>
      </c>
      <c r="K500" s="143" t="s">
        <v>2504</v>
      </c>
      <c r="L500" s="143" t="s">
        <v>2504</v>
      </c>
      <c r="M500" s="143" t="s">
        <v>2504</v>
      </c>
      <c r="N500" s="143" t="s">
        <v>2504</v>
      </c>
      <c r="O500" s="143" t="s">
        <v>2504</v>
      </c>
      <c r="P500" s="143" t="s">
        <v>2504</v>
      </c>
      <c r="Q500" s="148" t="s">
        <v>683</v>
      </c>
      <c r="R500" s="148" t="s">
        <v>606</v>
      </c>
      <c r="S500" s="148" t="s">
        <v>615</v>
      </c>
      <c r="T500" s="149">
        <v>0.95</v>
      </c>
      <c r="U500" s="241" t="s">
        <v>591</v>
      </c>
      <c r="V500" s="150">
        <v>98.77</v>
      </c>
      <c r="W500" s="151">
        <v>3514.55</v>
      </c>
    </row>
    <row r="501" spans="1:23" ht="15" customHeight="1" x14ac:dyDescent="0.25">
      <c r="A501" s="148">
        <v>134</v>
      </c>
      <c r="B501" s="148" t="s">
        <v>338</v>
      </c>
      <c r="C501" s="143" t="s">
        <v>2504</v>
      </c>
      <c r="D501" s="143" t="s">
        <v>2504</v>
      </c>
      <c r="E501" s="143" t="s">
        <v>338</v>
      </c>
      <c r="F501" s="143" t="s">
        <v>2504</v>
      </c>
      <c r="G501" s="143" t="s">
        <v>2504</v>
      </c>
      <c r="H501" s="143" t="s">
        <v>2504</v>
      </c>
      <c r="I501" s="143" t="s">
        <v>2504</v>
      </c>
      <c r="J501" s="143" t="s">
        <v>2504</v>
      </c>
      <c r="K501" s="143" t="s">
        <v>2504</v>
      </c>
      <c r="L501" s="143" t="s">
        <v>2504</v>
      </c>
      <c r="M501" s="143" t="s">
        <v>2504</v>
      </c>
      <c r="N501" s="143" t="s">
        <v>2504</v>
      </c>
      <c r="O501" s="143" t="s">
        <v>2504</v>
      </c>
      <c r="P501" s="143" t="s">
        <v>2504</v>
      </c>
      <c r="Q501" s="148" t="s">
        <v>684</v>
      </c>
      <c r="R501" s="148" t="s">
        <v>606</v>
      </c>
      <c r="S501" s="148" t="s">
        <v>615</v>
      </c>
      <c r="T501" s="149">
        <v>5</v>
      </c>
      <c r="U501" s="241" t="s">
        <v>591</v>
      </c>
      <c r="V501" s="150">
        <v>499.52</v>
      </c>
      <c r="W501" s="151">
        <v>3106.28</v>
      </c>
    </row>
    <row r="502" spans="1:23" ht="15" customHeight="1" x14ac:dyDescent="0.25">
      <c r="A502" s="148">
        <v>135</v>
      </c>
      <c r="B502" s="148" t="s">
        <v>339</v>
      </c>
      <c r="C502" s="143" t="s">
        <v>2504</v>
      </c>
      <c r="D502" s="143" t="s">
        <v>2504</v>
      </c>
      <c r="E502" s="143" t="s">
        <v>339</v>
      </c>
      <c r="F502" s="143" t="s">
        <v>2504</v>
      </c>
      <c r="G502" s="143" t="s">
        <v>2504</v>
      </c>
      <c r="H502" s="143" t="s">
        <v>2504</v>
      </c>
      <c r="I502" s="143" t="s">
        <v>2504</v>
      </c>
      <c r="J502" s="143" t="s">
        <v>2504</v>
      </c>
      <c r="K502" s="143" t="s">
        <v>2504</v>
      </c>
      <c r="L502" s="143" t="s">
        <v>2504</v>
      </c>
      <c r="M502" s="143" t="s">
        <v>2504</v>
      </c>
      <c r="N502" s="143" t="s">
        <v>2504</v>
      </c>
      <c r="O502" s="143" t="s">
        <v>2504</v>
      </c>
      <c r="P502" s="143" t="s">
        <v>2504</v>
      </c>
      <c r="Q502" s="148" t="s">
        <v>685</v>
      </c>
      <c r="R502" s="148" t="s">
        <v>606</v>
      </c>
      <c r="S502" s="148" t="s">
        <v>615</v>
      </c>
      <c r="T502" s="149">
        <v>19</v>
      </c>
      <c r="U502" s="241" t="s">
        <v>591</v>
      </c>
      <c r="V502" s="150">
        <v>1825.26</v>
      </c>
      <c r="W502" s="151">
        <v>19266.52</v>
      </c>
    </row>
    <row r="503" spans="1:23" ht="15" customHeight="1" x14ac:dyDescent="0.25">
      <c r="A503" s="148">
        <v>136</v>
      </c>
      <c r="B503" s="148" t="s">
        <v>340</v>
      </c>
      <c r="C503" s="143" t="s">
        <v>2504</v>
      </c>
      <c r="D503" s="143" t="s">
        <v>2504</v>
      </c>
      <c r="E503" s="143" t="s">
        <v>340</v>
      </c>
      <c r="F503" s="143" t="s">
        <v>2504</v>
      </c>
      <c r="G503" s="143" t="s">
        <v>2504</v>
      </c>
      <c r="H503" s="143" t="s">
        <v>2504</v>
      </c>
      <c r="I503" s="143" t="s">
        <v>2504</v>
      </c>
      <c r="J503" s="143" t="s">
        <v>2504</v>
      </c>
      <c r="K503" s="143" t="s">
        <v>2504</v>
      </c>
      <c r="L503" s="143" t="s">
        <v>2504</v>
      </c>
      <c r="M503" s="143" t="s">
        <v>2504</v>
      </c>
      <c r="N503" s="143" t="s">
        <v>2504</v>
      </c>
      <c r="O503" s="143" t="s">
        <v>2504</v>
      </c>
      <c r="P503" s="143" t="s">
        <v>2504</v>
      </c>
      <c r="Q503" s="148" t="s">
        <v>686</v>
      </c>
      <c r="R503" s="148" t="s">
        <v>606</v>
      </c>
      <c r="S503" s="148" t="s">
        <v>615</v>
      </c>
      <c r="T503" s="149">
        <v>200</v>
      </c>
      <c r="U503" s="241" t="s">
        <v>591</v>
      </c>
      <c r="V503" s="150">
        <v>19318.41</v>
      </c>
      <c r="W503" s="151">
        <v>18802.23</v>
      </c>
    </row>
    <row r="504" spans="1:23" ht="15" customHeight="1" x14ac:dyDescent="0.25">
      <c r="A504" s="148">
        <v>139</v>
      </c>
      <c r="B504" s="148" t="s">
        <v>341</v>
      </c>
      <c r="C504" s="143" t="s">
        <v>2504</v>
      </c>
      <c r="D504" s="143" t="s">
        <v>2504</v>
      </c>
      <c r="E504" s="143" t="s">
        <v>341</v>
      </c>
      <c r="F504" s="143" t="s">
        <v>2504</v>
      </c>
      <c r="G504" s="143" t="s">
        <v>2504</v>
      </c>
      <c r="H504" s="143" t="s">
        <v>2504</v>
      </c>
      <c r="I504" s="143" t="s">
        <v>2504</v>
      </c>
      <c r="J504" s="143" t="s">
        <v>2504</v>
      </c>
      <c r="K504" s="143" t="s">
        <v>2504</v>
      </c>
      <c r="L504" s="143" t="s">
        <v>2504</v>
      </c>
      <c r="M504" s="143" t="s">
        <v>2504</v>
      </c>
      <c r="N504" s="143" t="s">
        <v>2504</v>
      </c>
      <c r="O504" s="143" t="s">
        <v>2504</v>
      </c>
      <c r="P504" s="143" t="s">
        <v>2504</v>
      </c>
      <c r="Q504" s="148" t="s">
        <v>689</v>
      </c>
      <c r="R504" s="148" t="s">
        <v>606</v>
      </c>
      <c r="S504" s="148" t="s">
        <v>615</v>
      </c>
      <c r="T504" s="149">
        <v>0.95</v>
      </c>
      <c r="U504" s="241" t="s">
        <v>591</v>
      </c>
      <c r="V504" s="150">
        <v>96.79</v>
      </c>
      <c r="W504" s="151">
        <v>19008.73</v>
      </c>
    </row>
    <row r="505" spans="1:23" ht="15" customHeight="1" x14ac:dyDescent="0.25">
      <c r="A505" s="148">
        <v>140</v>
      </c>
      <c r="B505" s="148" t="s">
        <v>342</v>
      </c>
      <c r="C505" s="143" t="s">
        <v>2504</v>
      </c>
      <c r="D505" s="143" t="s">
        <v>2504</v>
      </c>
      <c r="E505" s="143" t="s">
        <v>342</v>
      </c>
      <c r="F505" s="143" t="s">
        <v>2504</v>
      </c>
      <c r="G505" s="143" t="s">
        <v>2504</v>
      </c>
      <c r="H505" s="143" t="s">
        <v>2504</v>
      </c>
      <c r="I505" s="143" t="s">
        <v>2504</v>
      </c>
      <c r="J505" s="143" t="s">
        <v>2504</v>
      </c>
      <c r="K505" s="143" t="s">
        <v>2504</v>
      </c>
      <c r="L505" s="143" t="s">
        <v>2504</v>
      </c>
      <c r="M505" s="143" t="s">
        <v>2504</v>
      </c>
      <c r="N505" s="143" t="s">
        <v>2504</v>
      </c>
      <c r="O505" s="143" t="s">
        <v>2504</v>
      </c>
      <c r="P505" s="143" t="s">
        <v>2504</v>
      </c>
      <c r="Q505" s="148" t="s">
        <v>690</v>
      </c>
      <c r="R505" s="148" t="s">
        <v>606</v>
      </c>
      <c r="S505" s="148" t="s">
        <v>615</v>
      </c>
      <c r="T505" s="149">
        <v>5</v>
      </c>
      <c r="U505" s="241" t="s">
        <v>591</v>
      </c>
      <c r="V505" s="150">
        <v>504.04</v>
      </c>
      <c r="W505" s="151">
        <v>19754.259999999998</v>
      </c>
    </row>
    <row r="506" spans="1:23" ht="15" customHeight="1" x14ac:dyDescent="0.25">
      <c r="A506" s="148">
        <v>141</v>
      </c>
      <c r="B506" s="148" t="s">
        <v>343</v>
      </c>
      <c r="C506" s="143" t="s">
        <v>2504</v>
      </c>
      <c r="D506" s="143" t="s">
        <v>2504</v>
      </c>
      <c r="E506" s="143" t="s">
        <v>343</v>
      </c>
      <c r="F506" s="143" t="s">
        <v>2504</v>
      </c>
      <c r="G506" s="143" t="s">
        <v>2504</v>
      </c>
      <c r="H506" s="143" t="s">
        <v>2504</v>
      </c>
      <c r="I506" s="143" t="s">
        <v>2504</v>
      </c>
      <c r="J506" s="143" t="s">
        <v>2504</v>
      </c>
      <c r="K506" s="143" t="s">
        <v>2504</v>
      </c>
      <c r="L506" s="143" t="s">
        <v>2504</v>
      </c>
      <c r="M506" s="143" t="s">
        <v>2504</v>
      </c>
      <c r="N506" s="143" t="s">
        <v>2504</v>
      </c>
      <c r="O506" s="143" t="s">
        <v>2504</v>
      </c>
      <c r="P506" s="143" t="s">
        <v>2504</v>
      </c>
      <c r="Q506" s="148" t="s">
        <v>691</v>
      </c>
      <c r="R506" s="148" t="s">
        <v>606</v>
      </c>
      <c r="S506" s="148" t="s">
        <v>615</v>
      </c>
      <c r="T506" s="149">
        <v>19</v>
      </c>
      <c r="U506" s="241" t="s">
        <v>591</v>
      </c>
      <c r="V506" s="150">
        <v>1819.8</v>
      </c>
      <c r="W506" s="151">
        <v>20465.2</v>
      </c>
    </row>
    <row r="507" spans="1:23" ht="15" customHeight="1" x14ac:dyDescent="0.25">
      <c r="A507" s="148">
        <v>142</v>
      </c>
      <c r="B507" s="148" t="s">
        <v>344</v>
      </c>
      <c r="C507" s="143" t="s">
        <v>2504</v>
      </c>
      <c r="D507" s="143" t="s">
        <v>2504</v>
      </c>
      <c r="E507" s="143" t="s">
        <v>344</v>
      </c>
      <c r="F507" s="143" t="s">
        <v>2504</v>
      </c>
      <c r="G507" s="143" t="s">
        <v>2504</v>
      </c>
      <c r="H507" s="143" t="s">
        <v>2504</v>
      </c>
      <c r="I507" s="143" t="s">
        <v>2504</v>
      </c>
      <c r="J507" s="143" t="s">
        <v>2504</v>
      </c>
      <c r="K507" s="143" t="s">
        <v>2504</v>
      </c>
      <c r="L507" s="143" t="s">
        <v>2504</v>
      </c>
      <c r="M507" s="143" t="s">
        <v>2504</v>
      </c>
      <c r="N507" s="143" t="s">
        <v>2504</v>
      </c>
      <c r="O507" s="143" t="s">
        <v>2504</v>
      </c>
      <c r="P507" s="143" t="s">
        <v>2504</v>
      </c>
      <c r="Q507" s="148" t="s">
        <v>692</v>
      </c>
      <c r="R507" s="148" t="s">
        <v>606</v>
      </c>
      <c r="S507" s="148" t="s">
        <v>615</v>
      </c>
      <c r="T507" s="149">
        <v>200</v>
      </c>
      <c r="U507" s="241" t="s">
        <v>591</v>
      </c>
      <c r="V507" s="150">
        <v>19259.939999999999</v>
      </c>
      <c r="W507" s="151">
        <v>20656.3</v>
      </c>
    </row>
    <row r="508" spans="1:23" ht="15" customHeight="1" x14ac:dyDescent="0.25">
      <c r="A508" s="148">
        <v>709</v>
      </c>
      <c r="B508" s="148" t="s">
        <v>522</v>
      </c>
      <c r="C508" s="143" t="s">
        <v>2504</v>
      </c>
      <c r="D508" s="143" t="s">
        <v>2504</v>
      </c>
      <c r="E508" s="143" t="s">
        <v>522</v>
      </c>
      <c r="F508" s="143" t="s">
        <v>2504</v>
      </c>
      <c r="G508" s="143" t="s">
        <v>2504</v>
      </c>
      <c r="H508" s="143" t="s">
        <v>2504</v>
      </c>
      <c r="I508" s="143" t="s">
        <v>2504</v>
      </c>
      <c r="J508" s="143" t="s">
        <v>2504</v>
      </c>
      <c r="K508" s="143" t="s">
        <v>2504</v>
      </c>
      <c r="L508" s="143" t="s">
        <v>2504</v>
      </c>
      <c r="M508" s="143" t="s">
        <v>2504</v>
      </c>
      <c r="N508" s="143" t="s">
        <v>2504</v>
      </c>
      <c r="O508" s="143" t="s">
        <v>2504</v>
      </c>
      <c r="P508" s="143" t="s">
        <v>2504</v>
      </c>
      <c r="Q508" s="148" t="s">
        <v>947</v>
      </c>
      <c r="R508" s="148" t="s">
        <v>606</v>
      </c>
      <c r="S508" s="148" t="s">
        <v>493</v>
      </c>
      <c r="T508" s="149">
        <v>19</v>
      </c>
      <c r="U508" s="241" t="s">
        <v>591</v>
      </c>
      <c r="V508" s="150">
        <v>4465.79</v>
      </c>
      <c r="W508" s="151">
        <v>20802.5</v>
      </c>
    </row>
    <row r="509" spans="1:23" ht="15" customHeight="1" x14ac:dyDescent="0.25">
      <c r="A509" s="148">
        <v>706</v>
      </c>
      <c r="B509" s="148" t="s">
        <v>521</v>
      </c>
      <c r="C509" s="143" t="s">
        <v>2504</v>
      </c>
      <c r="D509" s="143" t="s">
        <v>2504</v>
      </c>
      <c r="E509" s="143" t="s">
        <v>521</v>
      </c>
      <c r="F509" s="143" t="s">
        <v>2504</v>
      </c>
      <c r="G509" s="143" t="s">
        <v>2504</v>
      </c>
      <c r="H509" s="143" t="s">
        <v>2504</v>
      </c>
      <c r="I509" s="143" t="s">
        <v>2504</v>
      </c>
      <c r="J509" s="143" t="s">
        <v>2504</v>
      </c>
      <c r="K509" s="143" t="s">
        <v>2504</v>
      </c>
      <c r="L509" s="143" t="s">
        <v>2504</v>
      </c>
      <c r="M509" s="143" t="s">
        <v>2504</v>
      </c>
      <c r="N509" s="143" t="s">
        <v>2504</v>
      </c>
      <c r="O509" s="143" t="s">
        <v>2504</v>
      </c>
      <c r="P509" s="143" t="s">
        <v>2504</v>
      </c>
      <c r="Q509" s="148" t="s">
        <v>944</v>
      </c>
      <c r="R509" s="148" t="s">
        <v>606</v>
      </c>
      <c r="S509" s="148" t="s">
        <v>494</v>
      </c>
      <c r="T509" s="149">
        <v>19</v>
      </c>
      <c r="U509" s="241" t="s">
        <v>591</v>
      </c>
      <c r="V509" s="150">
        <v>9626.73</v>
      </c>
      <c r="W509" s="151">
        <v>20873.25</v>
      </c>
    </row>
    <row r="510" spans="1:23" ht="15" customHeight="1" x14ac:dyDescent="0.25">
      <c r="A510" s="148">
        <v>83</v>
      </c>
      <c r="B510" s="148" t="s">
        <v>345</v>
      </c>
      <c r="C510" s="143" t="s">
        <v>2504</v>
      </c>
      <c r="D510" s="143" t="s">
        <v>2504</v>
      </c>
      <c r="E510" s="143" t="s">
        <v>345</v>
      </c>
      <c r="F510" s="143" t="s">
        <v>2504</v>
      </c>
      <c r="G510" s="143" t="s">
        <v>2504</v>
      </c>
      <c r="H510" s="143" t="s">
        <v>2504</v>
      </c>
      <c r="I510" s="143" t="s">
        <v>2504</v>
      </c>
      <c r="J510" s="143" t="s">
        <v>2504</v>
      </c>
      <c r="K510" s="143" t="s">
        <v>2504</v>
      </c>
      <c r="L510" s="143" t="s">
        <v>2504</v>
      </c>
      <c r="M510" s="143" t="s">
        <v>2504</v>
      </c>
      <c r="N510" s="143" t="s">
        <v>2504</v>
      </c>
      <c r="O510" s="143" t="s">
        <v>2504</v>
      </c>
      <c r="P510" s="143" t="s">
        <v>2504</v>
      </c>
      <c r="Q510" s="148" t="s">
        <v>644</v>
      </c>
      <c r="R510" s="148" t="s">
        <v>606</v>
      </c>
      <c r="S510" s="148" t="s">
        <v>645</v>
      </c>
      <c r="T510" s="149">
        <v>19</v>
      </c>
      <c r="U510" s="241" t="s">
        <v>591</v>
      </c>
      <c r="V510" s="150">
        <v>1893.43</v>
      </c>
      <c r="W510" s="151">
        <v>20860.72</v>
      </c>
    </row>
    <row r="511" spans="1:23" ht="15" customHeight="1" x14ac:dyDescent="0.25">
      <c r="A511" s="148">
        <v>84</v>
      </c>
      <c r="B511" s="148" t="s">
        <v>347</v>
      </c>
      <c r="C511" s="143" t="s">
        <v>2504</v>
      </c>
      <c r="D511" s="143" t="s">
        <v>2504</v>
      </c>
      <c r="E511" s="143" t="s">
        <v>347</v>
      </c>
      <c r="F511" s="143" t="s">
        <v>2504</v>
      </c>
      <c r="G511" s="143" t="s">
        <v>2504</v>
      </c>
      <c r="H511" s="143" t="s">
        <v>2504</v>
      </c>
      <c r="I511" s="143" t="s">
        <v>2504</v>
      </c>
      <c r="J511" s="143" t="s">
        <v>2504</v>
      </c>
      <c r="K511" s="143" t="s">
        <v>2504</v>
      </c>
      <c r="L511" s="143" t="s">
        <v>2504</v>
      </c>
      <c r="M511" s="143" t="s">
        <v>2504</v>
      </c>
      <c r="N511" s="143" t="s">
        <v>2504</v>
      </c>
      <c r="O511" s="143" t="s">
        <v>2504</v>
      </c>
      <c r="P511" s="143" t="s">
        <v>2504</v>
      </c>
      <c r="Q511" s="148" t="s">
        <v>646</v>
      </c>
      <c r="R511" s="148" t="s">
        <v>606</v>
      </c>
      <c r="S511" s="148" t="s">
        <v>645</v>
      </c>
      <c r="T511" s="149">
        <v>19</v>
      </c>
      <c r="U511" s="241" t="s">
        <v>591</v>
      </c>
      <c r="V511" s="150">
        <v>1888.64</v>
      </c>
      <c r="W511" s="151">
        <v>20861.060000000001</v>
      </c>
    </row>
    <row r="512" spans="1:23" ht="15" customHeight="1" x14ac:dyDescent="0.25">
      <c r="A512" s="148">
        <v>85</v>
      </c>
      <c r="B512" s="148" t="s">
        <v>349</v>
      </c>
      <c r="C512" s="143" t="s">
        <v>2504</v>
      </c>
      <c r="D512" s="143" t="s">
        <v>2504</v>
      </c>
      <c r="E512" s="143" t="s">
        <v>349</v>
      </c>
      <c r="F512" s="143" t="s">
        <v>2504</v>
      </c>
      <c r="G512" s="143" t="s">
        <v>2504</v>
      </c>
      <c r="H512" s="143" t="s">
        <v>2504</v>
      </c>
      <c r="I512" s="143" t="s">
        <v>2504</v>
      </c>
      <c r="J512" s="143" t="s">
        <v>2504</v>
      </c>
      <c r="K512" s="143" t="s">
        <v>2504</v>
      </c>
      <c r="L512" s="143" t="s">
        <v>2504</v>
      </c>
      <c r="M512" s="143" t="s">
        <v>2504</v>
      </c>
      <c r="N512" s="143" t="s">
        <v>2504</v>
      </c>
      <c r="O512" s="143" t="s">
        <v>2504</v>
      </c>
      <c r="P512" s="143" t="s">
        <v>2504</v>
      </c>
      <c r="Q512" s="148" t="s">
        <v>647</v>
      </c>
      <c r="R512" s="148" t="s">
        <v>606</v>
      </c>
      <c r="S512" s="148" t="s">
        <v>645</v>
      </c>
      <c r="T512" s="149">
        <v>19</v>
      </c>
      <c r="U512" s="241" t="s">
        <v>591</v>
      </c>
      <c r="V512" s="150">
        <v>1884.3</v>
      </c>
      <c r="W512" s="151">
        <v>20910.060000000001</v>
      </c>
    </row>
    <row r="513" spans="1:23" ht="15" customHeight="1" x14ac:dyDescent="0.25">
      <c r="A513" s="148">
        <v>89</v>
      </c>
      <c r="B513" s="148" t="s">
        <v>346</v>
      </c>
      <c r="C513" s="143" t="s">
        <v>2504</v>
      </c>
      <c r="D513" s="143" t="s">
        <v>2504</v>
      </c>
      <c r="E513" s="143" t="s">
        <v>346</v>
      </c>
      <c r="F513" s="143" t="s">
        <v>2504</v>
      </c>
      <c r="G513" s="143" t="s">
        <v>2504</v>
      </c>
      <c r="H513" s="143" t="s">
        <v>2504</v>
      </c>
      <c r="I513" s="143" t="s">
        <v>2504</v>
      </c>
      <c r="J513" s="143" t="s">
        <v>2504</v>
      </c>
      <c r="K513" s="143" t="s">
        <v>2504</v>
      </c>
      <c r="L513" s="143" t="s">
        <v>2504</v>
      </c>
      <c r="M513" s="143" t="s">
        <v>2504</v>
      </c>
      <c r="N513" s="143" t="s">
        <v>2504</v>
      </c>
      <c r="O513" s="143" t="s">
        <v>2504</v>
      </c>
      <c r="P513" s="143" t="s">
        <v>2504</v>
      </c>
      <c r="Q513" s="148" t="s">
        <v>651</v>
      </c>
      <c r="R513" s="148" t="s">
        <v>606</v>
      </c>
      <c r="S513" s="148" t="s">
        <v>645</v>
      </c>
      <c r="T513" s="149">
        <v>200</v>
      </c>
      <c r="U513" s="241" t="s">
        <v>591</v>
      </c>
      <c r="V513" s="150">
        <v>20035.990000000002</v>
      </c>
      <c r="W513" s="151">
        <v>20875.78</v>
      </c>
    </row>
    <row r="514" spans="1:23" ht="15" customHeight="1" x14ac:dyDescent="0.25">
      <c r="A514" s="148">
        <v>90</v>
      </c>
      <c r="B514" s="148" t="s">
        <v>348</v>
      </c>
      <c r="C514" s="143" t="s">
        <v>2504</v>
      </c>
      <c r="D514" s="143" t="s">
        <v>2504</v>
      </c>
      <c r="E514" s="143" t="s">
        <v>348</v>
      </c>
      <c r="F514" s="143" t="s">
        <v>2504</v>
      </c>
      <c r="G514" s="143" t="s">
        <v>2504</v>
      </c>
      <c r="H514" s="143" t="s">
        <v>2504</v>
      </c>
      <c r="I514" s="143" t="s">
        <v>2504</v>
      </c>
      <c r="J514" s="143" t="s">
        <v>2504</v>
      </c>
      <c r="K514" s="143" t="s">
        <v>2504</v>
      </c>
      <c r="L514" s="143" t="s">
        <v>2504</v>
      </c>
      <c r="M514" s="143" t="s">
        <v>2504</v>
      </c>
      <c r="N514" s="143" t="s">
        <v>2504</v>
      </c>
      <c r="O514" s="143" t="s">
        <v>2504</v>
      </c>
      <c r="P514" s="143" t="s">
        <v>2504</v>
      </c>
      <c r="Q514" s="148" t="s">
        <v>652</v>
      </c>
      <c r="R514" s="148" t="s">
        <v>606</v>
      </c>
      <c r="S514" s="148" t="s">
        <v>645</v>
      </c>
      <c r="T514" s="149">
        <v>200</v>
      </c>
      <c r="U514" s="241" t="s">
        <v>591</v>
      </c>
      <c r="V514" s="150">
        <v>20009.310000000001</v>
      </c>
      <c r="W514" s="151">
        <v>22013.56</v>
      </c>
    </row>
    <row r="515" spans="1:23" ht="15" customHeight="1" x14ac:dyDescent="0.25">
      <c r="A515" s="148">
        <v>91</v>
      </c>
      <c r="B515" s="148" t="s">
        <v>350</v>
      </c>
      <c r="C515" s="143" t="s">
        <v>2504</v>
      </c>
      <c r="D515" s="143" t="s">
        <v>2504</v>
      </c>
      <c r="E515" s="143" t="s">
        <v>350</v>
      </c>
      <c r="F515" s="143" t="s">
        <v>2504</v>
      </c>
      <c r="G515" s="143" t="s">
        <v>2504</v>
      </c>
      <c r="H515" s="143" t="s">
        <v>2504</v>
      </c>
      <c r="I515" s="143" t="s">
        <v>2504</v>
      </c>
      <c r="J515" s="143" t="s">
        <v>2504</v>
      </c>
      <c r="K515" s="143" t="s">
        <v>2504</v>
      </c>
      <c r="L515" s="143" t="s">
        <v>2504</v>
      </c>
      <c r="M515" s="143" t="s">
        <v>2504</v>
      </c>
      <c r="N515" s="143" t="s">
        <v>2504</v>
      </c>
      <c r="O515" s="143" t="s">
        <v>2504</v>
      </c>
      <c r="P515" s="143" t="s">
        <v>2504</v>
      </c>
      <c r="Q515" s="148" t="s">
        <v>653</v>
      </c>
      <c r="R515" s="148" t="s">
        <v>606</v>
      </c>
      <c r="S515" s="148" t="s">
        <v>645</v>
      </c>
      <c r="T515" s="149">
        <v>200</v>
      </c>
      <c r="U515" s="241" t="s">
        <v>591</v>
      </c>
      <c r="V515" s="150">
        <v>19902.939999999999</v>
      </c>
      <c r="W515" s="151">
        <v>21878.26</v>
      </c>
    </row>
    <row r="516" spans="1:23" ht="15" customHeight="1" x14ac:dyDescent="0.25">
      <c r="A516" s="148">
        <v>767</v>
      </c>
      <c r="B516" s="148" t="s">
        <v>523</v>
      </c>
      <c r="C516" s="143" t="s">
        <v>2504</v>
      </c>
      <c r="D516" s="143" t="s">
        <v>2504</v>
      </c>
      <c r="E516" s="143" t="s">
        <v>523</v>
      </c>
      <c r="F516" s="143" t="s">
        <v>2504</v>
      </c>
      <c r="G516" s="143" t="s">
        <v>2504</v>
      </c>
      <c r="H516" s="143" t="s">
        <v>2504</v>
      </c>
      <c r="I516" s="143" t="s">
        <v>2504</v>
      </c>
      <c r="J516" s="143" t="s">
        <v>2504</v>
      </c>
      <c r="K516" s="143" t="s">
        <v>2504</v>
      </c>
      <c r="L516" s="143" t="s">
        <v>2504</v>
      </c>
      <c r="M516" s="143" t="s">
        <v>2504</v>
      </c>
      <c r="N516" s="143" t="s">
        <v>2504</v>
      </c>
      <c r="O516" s="143" t="s">
        <v>2504</v>
      </c>
      <c r="P516" s="143" t="s">
        <v>2504</v>
      </c>
      <c r="Q516" s="148" t="s">
        <v>962</v>
      </c>
      <c r="R516" s="148" t="s">
        <v>606</v>
      </c>
      <c r="S516" s="148" t="s">
        <v>961</v>
      </c>
      <c r="T516" s="149">
        <v>19</v>
      </c>
      <c r="U516" s="241" t="s">
        <v>591</v>
      </c>
      <c r="V516" s="150">
        <v>7220.57</v>
      </c>
      <c r="W516" s="151">
        <v>23112.23</v>
      </c>
    </row>
    <row r="517" spans="1:23" ht="15" customHeight="1" x14ac:dyDescent="0.25">
      <c r="A517" s="148">
        <v>101</v>
      </c>
      <c r="B517" s="148" t="s">
        <v>351</v>
      </c>
      <c r="C517" s="143" t="s">
        <v>2504</v>
      </c>
      <c r="D517" s="143" t="s">
        <v>2504</v>
      </c>
      <c r="E517" s="143" t="s">
        <v>351</v>
      </c>
      <c r="F517" s="143" t="s">
        <v>2504</v>
      </c>
      <c r="G517" s="143" t="s">
        <v>2504</v>
      </c>
      <c r="H517" s="143" t="s">
        <v>2504</v>
      </c>
      <c r="I517" s="143" t="s">
        <v>2504</v>
      </c>
      <c r="J517" s="143" t="s">
        <v>2504</v>
      </c>
      <c r="K517" s="143" t="s">
        <v>2504</v>
      </c>
      <c r="L517" s="143" t="s">
        <v>2504</v>
      </c>
      <c r="M517" s="143" t="s">
        <v>2504</v>
      </c>
      <c r="N517" s="143" t="s">
        <v>2504</v>
      </c>
      <c r="O517" s="143" t="s">
        <v>2504</v>
      </c>
      <c r="P517" s="143" t="s">
        <v>2504</v>
      </c>
      <c r="Q517" s="148" t="s">
        <v>660</v>
      </c>
      <c r="R517" s="148" t="s">
        <v>606</v>
      </c>
      <c r="S517" s="148" t="s">
        <v>661</v>
      </c>
      <c r="T517" s="149">
        <v>19</v>
      </c>
      <c r="U517" s="241" t="s">
        <v>591</v>
      </c>
      <c r="V517" s="150">
        <v>1975.57</v>
      </c>
      <c r="W517" s="151">
        <v>24400.54</v>
      </c>
    </row>
    <row r="518" spans="1:23" ht="15" customHeight="1" x14ac:dyDescent="0.25">
      <c r="A518" s="148">
        <v>102</v>
      </c>
      <c r="B518" s="148" t="s">
        <v>353</v>
      </c>
      <c r="C518" s="143" t="s">
        <v>2504</v>
      </c>
      <c r="D518" s="143" t="s">
        <v>2504</v>
      </c>
      <c r="E518" s="143" t="s">
        <v>353</v>
      </c>
      <c r="F518" s="143" t="s">
        <v>2504</v>
      </c>
      <c r="G518" s="143" t="s">
        <v>2504</v>
      </c>
      <c r="H518" s="143" t="s">
        <v>2504</v>
      </c>
      <c r="I518" s="143" t="s">
        <v>2504</v>
      </c>
      <c r="J518" s="143" t="s">
        <v>2504</v>
      </c>
      <c r="K518" s="143" t="s">
        <v>2504</v>
      </c>
      <c r="L518" s="143" t="s">
        <v>2504</v>
      </c>
      <c r="M518" s="143" t="s">
        <v>2504</v>
      </c>
      <c r="N518" s="143" t="s">
        <v>2504</v>
      </c>
      <c r="O518" s="143" t="s">
        <v>2504</v>
      </c>
      <c r="P518" s="143" t="s">
        <v>2504</v>
      </c>
      <c r="Q518" s="148" t="s">
        <v>662</v>
      </c>
      <c r="R518" s="148" t="s">
        <v>606</v>
      </c>
      <c r="S518" s="148" t="s">
        <v>661</v>
      </c>
      <c r="T518" s="149">
        <v>19</v>
      </c>
      <c r="U518" s="241" t="s">
        <v>591</v>
      </c>
      <c r="V518" s="150">
        <v>1965.31</v>
      </c>
      <c r="W518" s="151">
        <v>27063.74</v>
      </c>
    </row>
    <row r="519" spans="1:23" ht="15" customHeight="1" x14ac:dyDescent="0.25">
      <c r="A519" s="148">
        <v>103</v>
      </c>
      <c r="B519" s="148" t="s">
        <v>355</v>
      </c>
      <c r="C519" s="143" t="s">
        <v>2504</v>
      </c>
      <c r="D519" s="143" t="s">
        <v>2504</v>
      </c>
      <c r="E519" s="143" t="s">
        <v>355</v>
      </c>
      <c r="F519" s="143" t="s">
        <v>2504</v>
      </c>
      <c r="G519" s="143" t="s">
        <v>2504</v>
      </c>
      <c r="H519" s="143" t="s">
        <v>2504</v>
      </c>
      <c r="I519" s="143" t="s">
        <v>2504</v>
      </c>
      <c r="J519" s="143" t="s">
        <v>2504</v>
      </c>
      <c r="K519" s="143" t="s">
        <v>2504</v>
      </c>
      <c r="L519" s="143" t="s">
        <v>2504</v>
      </c>
      <c r="M519" s="143" t="s">
        <v>2504</v>
      </c>
      <c r="N519" s="143" t="s">
        <v>2504</v>
      </c>
      <c r="O519" s="143" t="s">
        <v>2504</v>
      </c>
      <c r="P519" s="143" t="s">
        <v>2504</v>
      </c>
      <c r="Q519" s="148" t="s">
        <v>663</v>
      </c>
      <c r="R519" s="148" t="s">
        <v>606</v>
      </c>
      <c r="S519" s="148" t="s">
        <v>661</v>
      </c>
      <c r="T519" s="149">
        <v>19</v>
      </c>
      <c r="U519" s="241" t="s">
        <v>591</v>
      </c>
      <c r="V519" s="150">
        <v>1963.67</v>
      </c>
      <c r="W519" s="151">
        <v>29426.14</v>
      </c>
    </row>
    <row r="520" spans="1:23" ht="15" customHeight="1" x14ac:dyDescent="0.25">
      <c r="A520" s="148">
        <v>107</v>
      </c>
      <c r="B520" s="148" t="s">
        <v>352</v>
      </c>
      <c r="C520" s="143" t="s">
        <v>2504</v>
      </c>
      <c r="D520" s="143" t="s">
        <v>2504</v>
      </c>
      <c r="E520" s="143" t="s">
        <v>352</v>
      </c>
      <c r="F520" s="143" t="s">
        <v>2504</v>
      </c>
      <c r="G520" s="143" t="s">
        <v>2504</v>
      </c>
      <c r="H520" s="143" t="s">
        <v>2504</v>
      </c>
      <c r="I520" s="143" t="s">
        <v>2504</v>
      </c>
      <c r="J520" s="143" t="s">
        <v>2504</v>
      </c>
      <c r="K520" s="143" t="s">
        <v>2504</v>
      </c>
      <c r="L520" s="143" t="s">
        <v>2504</v>
      </c>
      <c r="M520" s="143" t="s">
        <v>2504</v>
      </c>
      <c r="N520" s="143" t="s">
        <v>2504</v>
      </c>
      <c r="O520" s="143" t="s">
        <v>2504</v>
      </c>
      <c r="P520" s="143" t="s">
        <v>2504</v>
      </c>
      <c r="Q520" s="148" t="s">
        <v>664</v>
      </c>
      <c r="R520" s="148" t="s">
        <v>606</v>
      </c>
      <c r="S520" s="148" t="s">
        <v>661</v>
      </c>
      <c r="T520" s="149">
        <v>200</v>
      </c>
      <c r="U520" s="241" t="s">
        <v>591</v>
      </c>
      <c r="V520" s="150">
        <v>20902.12</v>
      </c>
      <c r="W520" s="151">
        <v>20807.38</v>
      </c>
    </row>
    <row r="521" spans="1:23" ht="15" customHeight="1" x14ac:dyDescent="0.25">
      <c r="A521" s="148">
        <v>108</v>
      </c>
      <c r="B521" s="148" t="s">
        <v>354</v>
      </c>
      <c r="C521" s="143" t="s">
        <v>2504</v>
      </c>
      <c r="D521" s="143" t="s">
        <v>2504</v>
      </c>
      <c r="E521" s="143" t="s">
        <v>354</v>
      </c>
      <c r="F521" s="143" t="s">
        <v>2504</v>
      </c>
      <c r="G521" s="143" t="s">
        <v>2504</v>
      </c>
      <c r="H521" s="143" t="s">
        <v>2504</v>
      </c>
      <c r="I521" s="143" t="s">
        <v>2504</v>
      </c>
      <c r="J521" s="143" t="s">
        <v>2504</v>
      </c>
      <c r="K521" s="143" t="s">
        <v>2504</v>
      </c>
      <c r="L521" s="143" t="s">
        <v>2504</v>
      </c>
      <c r="M521" s="143" t="s">
        <v>2504</v>
      </c>
      <c r="N521" s="143" t="s">
        <v>2504</v>
      </c>
      <c r="O521" s="143" t="s">
        <v>2504</v>
      </c>
      <c r="P521" s="143" t="s">
        <v>2504</v>
      </c>
      <c r="Q521" s="148" t="s">
        <v>665</v>
      </c>
      <c r="R521" s="148" t="s">
        <v>606</v>
      </c>
      <c r="S521" s="148" t="s">
        <v>661</v>
      </c>
      <c r="T521" s="149">
        <v>200</v>
      </c>
      <c r="U521" s="241" t="s">
        <v>591</v>
      </c>
      <c r="V521" s="150">
        <v>20794.060000000001</v>
      </c>
      <c r="W521" s="151">
        <v>21603.83</v>
      </c>
    </row>
    <row r="522" spans="1:23" ht="15" customHeight="1" x14ac:dyDescent="0.25">
      <c r="A522" s="148">
        <v>109</v>
      </c>
      <c r="B522" s="148" t="s">
        <v>356</v>
      </c>
      <c r="C522" s="143" t="s">
        <v>2504</v>
      </c>
      <c r="D522" s="143" t="s">
        <v>2504</v>
      </c>
      <c r="E522" s="143" t="s">
        <v>356</v>
      </c>
      <c r="F522" s="143" t="s">
        <v>2504</v>
      </c>
      <c r="G522" s="143" t="s">
        <v>2504</v>
      </c>
      <c r="H522" s="143" t="s">
        <v>2504</v>
      </c>
      <c r="I522" s="143" t="s">
        <v>2504</v>
      </c>
      <c r="J522" s="143" t="s">
        <v>2504</v>
      </c>
      <c r="K522" s="143" t="s">
        <v>2504</v>
      </c>
      <c r="L522" s="143" t="s">
        <v>2504</v>
      </c>
      <c r="M522" s="143" t="s">
        <v>2504</v>
      </c>
      <c r="N522" s="143" t="s">
        <v>2504</v>
      </c>
      <c r="O522" s="143" t="s">
        <v>2504</v>
      </c>
      <c r="P522" s="143" t="s">
        <v>2504</v>
      </c>
      <c r="Q522" s="148" t="s">
        <v>666</v>
      </c>
      <c r="R522" s="148" t="s">
        <v>606</v>
      </c>
      <c r="S522" s="148" t="s">
        <v>661</v>
      </c>
      <c r="T522" s="149">
        <v>200</v>
      </c>
      <c r="U522" s="241" t="s">
        <v>591</v>
      </c>
      <c r="V522" s="150">
        <v>20773.36</v>
      </c>
      <c r="W522" s="151">
        <v>21755.07</v>
      </c>
    </row>
    <row r="523" spans="1:23" ht="15" customHeight="1" x14ac:dyDescent="0.25">
      <c r="A523" s="148">
        <v>127</v>
      </c>
      <c r="B523" s="148" t="s">
        <v>359</v>
      </c>
      <c r="C523" s="143" t="s">
        <v>2504</v>
      </c>
      <c r="D523" s="143" t="s">
        <v>2504</v>
      </c>
      <c r="E523" s="143" t="s">
        <v>359</v>
      </c>
      <c r="F523" s="143" t="s">
        <v>2504</v>
      </c>
      <c r="G523" s="143" t="s">
        <v>2504</v>
      </c>
      <c r="H523" s="143" t="s">
        <v>2504</v>
      </c>
      <c r="I523" s="143" t="s">
        <v>2504</v>
      </c>
      <c r="J523" s="143" t="s">
        <v>2504</v>
      </c>
      <c r="K523" s="143" t="s">
        <v>2504</v>
      </c>
      <c r="L523" s="143" t="s">
        <v>2504</v>
      </c>
      <c r="M523" s="143" t="s">
        <v>2504</v>
      </c>
      <c r="N523" s="143" t="s">
        <v>2504</v>
      </c>
      <c r="O523" s="143" t="s">
        <v>2504</v>
      </c>
      <c r="P523" s="143" t="s">
        <v>2504</v>
      </c>
      <c r="Q523" s="148" t="s">
        <v>677</v>
      </c>
      <c r="R523" s="148" t="s">
        <v>606</v>
      </c>
      <c r="S523" s="148" t="s">
        <v>661</v>
      </c>
      <c r="T523" s="149">
        <v>0.95</v>
      </c>
      <c r="U523" s="241" t="s">
        <v>591</v>
      </c>
      <c r="V523" s="150">
        <v>107.96</v>
      </c>
      <c r="W523" s="151">
        <v>21857.87</v>
      </c>
    </row>
    <row r="524" spans="1:23" ht="15" customHeight="1" x14ac:dyDescent="0.25">
      <c r="A524" s="148">
        <v>128</v>
      </c>
      <c r="B524" s="148" t="s">
        <v>360</v>
      </c>
      <c r="C524" s="143" t="s">
        <v>2504</v>
      </c>
      <c r="D524" s="143" t="s">
        <v>2504</v>
      </c>
      <c r="E524" s="143" t="s">
        <v>360</v>
      </c>
      <c r="F524" s="143" t="s">
        <v>2504</v>
      </c>
      <c r="G524" s="143" t="s">
        <v>2504</v>
      </c>
      <c r="H524" s="143" t="s">
        <v>2504</v>
      </c>
      <c r="I524" s="143" t="s">
        <v>2504</v>
      </c>
      <c r="J524" s="143" t="s">
        <v>2504</v>
      </c>
      <c r="K524" s="143" t="s">
        <v>2504</v>
      </c>
      <c r="L524" s="143" t="s">
        <v>2504</v>
      </c>
      <c r="M524" s="143" t="s">
        <v>2504</v>
      </c>
      <c r="N524" s="143" t="s">
        <v>2504</v>
      </c>
      <c r="O524" s="143" t="s">
        <v>2504</v>
      </c>
      <c r="P524" s="143" t="s">
        <v>2504</v>
      </c>
      <c r="Q524" s="148" t="s">
        <v>678</v>
      </c>
      <c r="R524" s="148" t="s">
        <v>606</v>
      </c>
      <c r="S524" s="148" t="s">
        <v>661</v>
      </c>
      <c r="T524" s="149">
        <v>5</v>
      </c>
      <c r="U524" s="241" t="s">
        <v>591</v>
      </c>
      <c r="V524" s="150">
        <v>544.80999999999995</v>
      </c>
      <c r="W524" s="151">
        <v>36656.58</v>
      </c>
    </row>
    <row r="525" spans="1:23" ht="15" customHeight="1" x14ac:dyDescent="0.25">
      <c r="A525" s="148">
        <v>137</v>
      </c>
      <c r="B525" s="148" t="s">
        <v>357</v>
      </c>
      <c r="C525" s="143" t="s">
        <v>2504</v>
      </c>
      <c r="D525" s="143" t="s">
        <v>2504</v>
      </c>
      <c r="E525" s="143" t="s">
        <v>357</v>
      </c>
      <c r="F525" s="143" t="s">
        <v>2504</v>
      </c>
      <c r="G525" s="143" t="s">
        <v>2504</v>
      </c>
      <c r="H525" s="143" t="s">
        <v>2504</v>
      </c>
      <c r="I525" s="143" t="s">
        <v>2504</v>
      </c>
      <c r="J525" s="143" t="s">
        <v>2504</v>
      </c>
      <c r="K525" s="143" t="s">
        <v>2504</v>
      </c>
      <c r="L525" s="143" t="s">
        <v>2504</v>
      </c>
      <c r="M525" s="143" t="s">
        <v>2504</v>
      </c>
      <c r="N525" s="143" t="s">
        <v>2504</v>
      </c>
      <c r="O525" s="143" t="s">
        <v>2504</v>
      </c>
      <c r="P525" s="143" t="s">
        <v>2504</v>
      </c>
      <c r="Q525" s="148" t="s">
        <v>687</v>
      </c>
      <c r="R525" s="148" t="s">
        <v>606</v>
      </c>
      <c r="S525" s="148" t="s">
        <v>661</v>
      </c>
      <c r="T525" s="149">
        <v>0.95</v>
      </c>
      <c r="U525" s="241" t="s">
        <v>591</v>
      </c>
      <c r="V525" s="150">
        <v>105.36</v>
      </c>
      <c r="W525" s="151">
        <v>37574.019999999997</v>
      </c>
    </row>
    <row r="526" spans="1:23" ht="15" customHeight="1" x14ac:dyDescent="0.25">
      <c r="A526" s="148">
        <v>138</v>
      </c>
      <c r="B526" s="148" t="s">
        <v>358</v>
      </c>
      <c r="C526" s="143" t="s">
        <v>2504</v>
      </c>
      <c r="D526" s="143" t="s">
        <v>2504</v>
      </c>
      <c r="E526" s="143" t="s">
        <v>358</v>
      </c>
      <c r="F526" s="143" t="s">
        <v>2504</v>
      </c>
      <c r="G526" s="143" t="s">
        <v>2504</v>
      </c>
      <c r="H526" s="143" t="s">
        <v>2504</v>
      </c>
      <c r="I526" s="143" t="s">
        <v>2504</v>
      </c>
      <c r="J526" s="143" t="s">
        <v>2504</v>
      </c>
      <c r="K526" s="143" t="s">
        <v>2504</v>
      </c>
      <c r="L526" s="143" t="s">
        <v>2504</v>
      </c>
      <c r="M526" s="143" t="s">
        <v>2504</v>
      </c>
      <c r="N526" s="143" t="s">
        <v>2504</v>
      </c>
      <c r="O526" s="143" t="s">
        <v>2504</v>
      </c>
      <c r="P526" s="143" t="s">
        <v>2504</v>
      </c>
      <c r="Q526" s="148" t="s">
        <v>688</v>
      </c>
      <c r="R526" s="148" t="s">
        <v>606</v>
      </c>
      <c r="S526" s="148" t="s">
        <v>661</v>
      </c>
      <c r="T526" s="149">
        <v>5</v>
      </c>
      <c r="U526" s="241" t="s">
        <v>591</v>
      </c>
      <c r="V526" s="150">
        <v>539.55999999999995</v>
      </c>
      <c r="W526" s="151">
        <v>40966.21</v>
      </c>
    </row>
    <row r="527" spans="1:23" ht="15" customHeight="1" x14ac:dyDescent="0.25">
      <c r="A527" s="148">
        <v>725</v>
      </c>
      <c r="B527" s="148" t="s">
        <v>363</v>
      </c>
      <c r="C527" s="143" t="s">
        <v>2504</v>
      </c>
      <c r="D527" s="143" t="s">
        <v>2504</v>
      </c>
      <c r="E527" s="143" t="s">
        <v>363</v>
      </c>
      <c r="F527" s="143" t="s">
        <v>2504</v>
      </c>
      <c r="G527" s="143" t="s">
        <v>2504</v>
      </c>
      <c r="H527" s="143" t="s">
        <v>2504</v>
      </c>
      <c r="I527" s="143" t="s">
        <v>2504</v>
      </c>
      <c r="J527" s="143" t="s">
        <v>2504</v>
      </c>
      <c r="K527" s="143" t="s">
        <v>2504</v>
      </c>
      <c r="L527" s="143" t="s">
        <v>2504</v>
      </c>
      <c r="M527" s="143" t="s">
        <v>2504</v>
      </c>
      <c r="N527" s="143" t="s">
        <v>2504</v>
      </c>
      <c r="O527" s="143" t="s">
        <v>2504</v>
      </c>
      <c r="P527" s="143" t="s">
        <v>2504</v>
      </c>
      <c r="Q527" s="148" t="s">
        <v>948</v>
      </c>
      <c r="R527" s="148" t="s">
        <v>606</v>
      </c>
      <c r="S527" s="148" t="s">
        <v>661</v>
      </c>
      <c r="T527" s="149">
        <v>19</v>
      </c>
      <c r="U527" s="241" t="s">
        <v>591</v>
      </c>
      <c r="V527" s="150">
        <v>1994.22</v>
      </c>
      <c r="W527" s="151">
        <v>36266.31</v>
      </c>
    </row>
    <row r="528" spans="1:23" ht="15" customHeight="1" x14ac:dyDescent="0.25">
      <c r="A528" s="148">
        <v>726</v>
      </c>
      <c r="B528" s="148" t="s">
        <v>364</v>
      </c>
      <c r="C528" s="143" t="s">
        <v>2504</v>
      </c>
      <c r="D528" s="143" t="s">
        <v>2504</v>
      </c>
      <c r="E528" s="143" t="s">
        <v>364</v>
      </c>
      <c r="F528" s="143" t="s">
        <v>2504</v>
      </c>
      <c r="G528" s="143" t="s">
        <v>2504</v>
      </c>
      <c r="H528" s="143" t="s">
        <v>2504</v>
      </c>
      <c r="I528" s="143" t="s">
        <v>2504</v>
      </c>
      <c r="J528" s="143" t="s">
        <v>2504</v>
      </c>
      <c r="K528" s="143" t="s">
        <v>2504</v>
      </c>
      <c r="L528" s="143" t="s">
        <v>2504</v>
      </c>
      <c r="M528" s="143" t="s">
        <v>2504</v>
      </c>
      <c r="N528" s="143" t="s">
        <v>2504</v>
      </c>
      <c r="O528" s="143" t="s">
        <v>2504</v>
      </c>
      <c r="P528" s="143" t="s">
        <v>2504</v>
      </c>
      <c r="Q528" s="148" t="s">
        <v>949</v>
      </c>
      <c r="R528" s="148" t="s">
        <v>606</v>
      </c>
      <c r="S528" s="148" t="s">
        <v>661</v>
      </c>
      <c r="T528" s="149">
        <v>200</v>
      </c>
      <c r="U528" s="241" t="s">
        <v>591</v>
      </c>
      <c r="V528" s="150">
        <v>21092.92</v>
      </c>
      <c r="W528" s="151">
        <v>20647.939999999999</v>
      </c>
    </row>
    <row r="529" spans="1:23" ht="15" customHeight="1" x14ac:dyDescent="0.25">
      <c r="A529" s="148">
        <v>776</v>
      </c>
      <c r="B529" s="148" t="s">
        <v>362</v>
      </c>
      <c r="C529" s="143" t="s">
        <v>2504</v>
      </c>
      <c r="D529" s="143" t="s">
        <v>2504</v>
      </c>
      <c r="E529" s="143" t="s">
        <v>362</v>
      </c>
      <c r="F529" s="143" t="s">
        <v>2504</v>
      </c>
      <c r="G529" s="143" t="s">
        <v>2504</v>
      </c>
      <c r="H529" s="143" t="s">
        <v>2504</v>
      </c>
      <c r="I529" s="143" t="s">
        <v>2504</v>
      </c>
      <c r="J529" s="143" t="s">
        <v>2504</v>
      </c>
      <c r="K529" s="143" t="s">
        <v>2504</v>
      </c>
      <c r="L529" s="143" t="s">
        <v>2504</v>
      </c>
      <c r="M529" s="143" t="s">
        <v>2504</v>
      </c>
      <c r="N529" s="143" t="s">
        <v>2504</v>
      </c>
      <c r="O529" s="143" t="s">
        <v>2504</v>
      </c>
      <c r="P529" s="143" t="s">
        <v>2504</v>
      </c>
      <c r="Q529" s="148" t="s">
        <v>968</v>
      </c>
      <c r="R529" s="148" t="s">
        <v>606</v>
      </c>
      <c r="S529" s="148" t="s">
        <v>661</v>
      </c>
      <c r="T529" s="149">
        <v>200</v>
      </c>
      <c r="U529" s="241" t="s">
        <v>591</v>
      </c>
      <c r="V529" s="150">
        <v>20920.689999999999</v>
      </c>
      <c r="W529" s="151">
        <v>21359.08</v>
      </c>
    </row>
    <row r="530" spans="1:23" ht="15" customHeight="1" x14ac:dyDescent="0.25">
      <c r="A530" s="148">
        <v>823</v>
      </c>
      <c r="B530" s="148" t="s">
        <v>361</v>
      </c>
      <c r="C530" s="143" t="s">
        <v>2504</v>
      </c>
      <c r="D530" s="143" t="s">
        <v>2504</v>
      </c>
      <c r="E530" s="143" t="s">
        <v>361</v>
      </c>
      <c r="F530" s="143" t="s">
        <v>2504</v>
      </c>
      <c r="G530" s="143" t="s">
        <v>2504</v>
      </c>
      <c r="H530" s="143" t="s">
        <v>2504</v>
      </c>
      <c r="I530" s="143" t="s">
        <v>2504</v>
      </c>
      <c r="J530" s="143" t="s">
        <v>2504</v>
      </c>
      <c r="K530" s="143" t="s">
        <v>2504</v>
      </c>
      <c r="L530" s="143" t="s">
        <v>2504</v>
      </c>
      <c r="M530" s="143" t="s">
        <v>2504</v>
      </c>
      <c r="N530" s="143" t="s">
        <v>2504</v>
      </c>
      <c r="O530" s="143" t="s">
        <v>2504</v>
      </c>
      <c r="P530" s="143" t="s">
        <v>2504</v>
      </c>
      <c r="Q530" s="148" t="s">
        <v>987</v>
      </c>
      <c r="R530" s="148" t="s">
        <v>606</v>
      </c>
      <c r="S530" s="148" t="s">
        <v>661</v>
      </c>
      <c r="T530" s="149">
        <v>19</v>
      </c>
      <c r="U530" s="241" t="s">
        <v>591</v>
      </c>
      <c r="V530" s="150">
        <v>1977.63</v>
      </c>
      <c r="W530" s="151">
        <v>21513.06</v>
      </c>
    </row>
    <row r="531" spans="1:23" ht="15" customHeight="1" x14ac:dyDescent="0.25">
      <c r="A531" s="148">
        <v>486</v>
      </c>
      <c r="B531" s="148" t="s">
        <v>369</v>
      </c>
      <c r="C531" s="143" t="s">
        <v>2504</v>
      </c>
      <c r="D531" s="143" t="s">
        <v>2504</v>
      </c>
      <c r="E531" s="143" t="s">
        <v>369</v>
      </c>
      <c r="F531" s="143" t="s">
        <v>2504</v>
      </c>
      <c r="G531" s="143" t="s">
        <v>2504</v>
      </c>
      <c r="H531" s="143" t="s">
        <v>2504</v>
      </c>
      <c r="I531" s="143" t="s">
        <v>2504</v>
      </c>
      <c r="J531" s="143" t="s">
        <v>2504</v>
      </c>
      <c r="K531" s="143" t="s">
        <v>2504</v>
      </c>
      <c r="L531" s="143" t="s">
        <v>2504</v>
      </c>
      <c r="M531" s="143" t="s">
        <v>2504</v>
      </c>
      <c r="N531" s="143" t="s">
        <v>2504</v>
      </c>
      <c r="O531" s="143" t="s">
        <v>2504</v>
      </c>
      <c r="P531" s="143" t="s">
        <v>2504</v>
      </c>
      <c r="Q531" s="148" t="s">
        <v>847</v>
      </c>
      <c r="R531" s="148" t="s">
        <v>606</v>
      </c>
      <c r="S531" s="148" t="s">
        <v>848</v>
      </c>
      <c r="T531" s="149">
        <v>5</v>
      </c>
      <c r="U531" s="241" t="s">
        <v>591</v>
      </c>
      <c r="V531" s="150">
        <v>472.44</v>
      </c>
      <c r="W531" s="151">
        <v>21687.59</v>
      </c>
    </row>
    <row r="532" spans="1:23" ht="15" customHeight="1" x14ac:dyDescent="0.25">
      <c r="A532" s="148">
        <v>491</v>
      </c>
      <c r="B532" s="148" t="s">
        <v>365</v>
      </c>
      <c r="C532" s="143" t="s">
        <v>2504</v>
      </c>
      <c r="D532" s="143" t="s">
        <v>2504</v>
      </c>
      <c r="E532" s="143" t="s">
        <v>365</v>
      </c>
      <c r="F532" s="143" t="s">
        <v>2504</v>
      </c>
      <c r="G532" s="143" t="s">
        <v>2504</v>
      </c>
      <c r="H532" s="143" t="s">
        <v>2504</v>
      </c>
      <c r="I532" s="143" t="s">
        <v>2504</v>
      </c>
      <c r="J532" s="143" t="s">
        <v>2504</v>
      </c>
      <c r="K532" s="143" t="s">
        <v>2504</v>
      </c>
      <c r="L532" s="143" t="s">
        <v>2504</v>
      </c>
      <c r="M532" s="143" t="s">
        <v>2504</v>
      </c>
      <c r="N532" s="143" t="s">
        <v>2504</v>
      </c>
      <c r="O532" s="143" t="s">
        <v>2504</v>
      </c>
      <c r="P532" s="143" t="s">
        <v>2504</v>
      </c>
      <c r="Q532" s="148" t="s">
        <v>853</v>
      </c>
      <c r="R532" s="148" t="s">
        <v>606</v>
      </c>
      <c r="S532" s="148" t="s">
        <v>848</v>
      </c>
      <c r="T532" s="149">
        <v>0.95</v>
      </c>
      <c r="U532" s="241" t="s">
        <v>591</v>
      </c>
      <c r="V532" s="150">
        <v>91.74</v>
      </c>
      <c r="W532" s="151">
        <v>21669.05</v>
      </c>
    </row>
    <row r="533" spans="1:23" ht="15" customHeight="1" x14ac:dyDescent="0.25">
      <c r="A533" s="148">
        <v>492</v>
      </c>
      <c r="B533" s="148" t="s">
        <v>366</v>
      </c>
      <c r="C533" s="143" t="s">
        <v>2504</v>
      </c>
      <c r="D533" s="143" t="s">
        <v>2504</v>
      </c>
      <c r="E533" s="143" t="s">
        <v>366</v>
      </c>
      <c r="F533" s="143" t="s">
        <v>2504</v>
      </c>
      <c r="G533" s="143" t="s">
        <v>2504</v>
      </c>
      <c r="H533" s="143" t="s">
        <v>2504</v>
      </c>
      <c r="I533" s="143" t="s">
        <v>2504</v>
      </c>
      <c r="J533" s="143" t="s">
        <v>2504</v>
      </c>
      <c r="K533" s="143" t="s">
        <v>2504</v>
      </c>
      <c r="L533" s="143" t="s">
        <v>2504</v>
      </c>
      <c r="M533" s="143" t="s">
        <v>2504</v>
      </c>
      <c r="N533" s="143" t="s">
        <v>2504</v>
      </c>
      <c r="O533" s="143" t="s">
        <v>2504</v>
      </c>
      <c r="P533" s="143" t="s">
        <v>2504</v>
      </c>
      <c r="Q533" s="148" t="s">
        <v>854</v>
      </c>
      <c r="R533" s="148" t="s">
        <v>606</v>
      </c>
      <c r="S533" s="148" t="s">
        <v>848</v>
      </c>
      <c r="T533" s="149">
        <v>19</v>
      </c>
      <c r="U533" s="241" t="s">
        <v>591</v>
      </c>
      <c r="V533" s="150">
        <v>1722.58</v>
      </c>
      <c r="W533" s="151">
        <v>21716.82</v>
      </c>
    </row>
    <row r="534" spans="1:23" ht="15" customHeight="1" x14ac:dyDescent="0.25">
      <c r="A534" s="148">
        <v>493</v>
      </c>
      <c r="B534" s="148" t="s">
        <v>367</v>
      </c>
      <c r="C534" s="143" t="s">
        <v>2504</v>
      </c>
      <c r="D534" s="143" t="s">
        <v>2504</v>
      </c>
      <c r="E534" s="143" t="s">
        <v>367</v>
      </c>
      <c r="F534" s="143" t="s">
        <v>2504</v>
      </c>
      <c r="G534" s="143" t="s">
        <v>2504</v>
      </c>
      <c r="H534" s="143" t="s">
        <v>2504</v>
      </c>
      <c r="I534" s="143" t="s">
        <v>2504</v>
      </c>
      <c r="J534" s="143" t="s">
        <v>2504</v>
      </c>
      <c r="K534" s="143" t="s">
        <v>2504</v>
      </c>
      <c r="L534" s="143" t="s">
        <v>2504</v>
      </c>
      <c r="M534" s="143" t="s">
        <v>2504</v>
      </c>
      <c r="N534" s="143" t="s">
        <v>2504</v>
      </c>
      <c r="O534" s="143" t="s">
        <v>2504</v>
      </c>
      <c r="P534" s="143" t="s">
        <v>2504</v>
      </c>
      <c r="Q534" s="148" t="s">
        <v>855</v>
      </c>
      <c r="R534" s="148" t="s">
        <v>606</v>
      </c>
      <c r="S534" s="148" t="s">
        <v>848</v>
      </c>
      <c r="T534" s="149">
        <v>200</v>
      </c>
      <c r="U534" s="241" t="s">
        <v>591</v>
      </c>
      <c r="V534" s="150">
        <v>18236.47</v>
      </c>
      <c r="W534" s="151">
        <v>22141.119999999999</v>
      </c>
    </row>
    <row r="535" spans="1:23" ht="15" customHeight="1" x14ac:dyDescent="0.25">
      <c r="A535" s="148">
        <v>515</v>
      </c>
      <c r="B535" s="148" t="s">
        <v>368</v>
      </c>
      <c r="C535" s="143" t="s">
        <v>2504</v>
      </c>
      <c r="D535" s="143" t="s">
        <v>2504</v>
      </c>
      <c r="E535" s="143" t="s">
        <v>368</v>
      </c>
      <c r="F535" s="143" t="s">
        <v>2504</v>
      </c>
      <c r="G535" s="143" t="s">
        <v>2504</v>
      </c>
      <c r="H535" s="143" t="s">
        <v>2504</v>
      </c>
      <c r="I535" s="143" t="s">
        <v>2504</v>
      </c>
      <c r="J535" s="143" t="s">
        <v>2504</v>
      </c>
      <c r="K535" s="143" t="s">
        <v>2504</v>
      </c>
      <c r="L535" s="143" t="s">
        <v>2504</v>
      </c>
      <c r="M535" s="143" t="s">
        <v>2504</v>
      </c>
      <c r="N535" s="143" t="s">
        <v>2504</v>
      </c>
      <c r="O535" s="143" t="s">
        <v>2504</v>
      </c>
      <c r="P535" s="143" t="s">
        <v>2504</v>
      </c>
      <c r="Q535" s="148" t="s">
        <v>863</v>
      </c>
      <c r="R535" s="148" t="s">
        <v>606</v>
      </c>
      <c r="S535" s="148" t="s">
        <v>848</v>
      </c>
      <c r="T535" s="149">
        <v>0.95</v>
      </c>
      <c r="U535" s="241" t="s">
        <v>591</v>
      </c>
      <c r="V535" s="150">
        <v>85.72</v>
      </c>
      <c r="W535" s="151">
        <v>22119.17</v>
      </c>
    </row>
    <row r="536" spans="1:23" ht="15" customHeight="1" x14ac:dyDescent="0.25">
      <c r="A536" s="148">
        <v>688</v>
      </c>
      <c r="B536" s="148" t="s">
        <v>375</v>
      </c>
      <c r="C536" s="143" t="s">
        <v>2504</v>
      </c>
      <c r="D536" s="143" t="s">
        <v>2504</v>
      </c>
      <c r="E536" s="143" t="s">
        <v>2504</v>
      </c>
      <c r="F536" s="143" t="s">
        <v>375</v>
      </c>
      <c r="G536" s="143" t="s">
        <v>2504</v>
      </c>
      <c r="H536" s="143" t="s">
        <v>2504</v>
      </c>
      <c r="I536" s="143" t="s">
        <v>2504</v>
      </c>
      <c r="J536" s="143" t="s">
        <v>2504</v>
      </c>
      <c r="K536" s="143" t="s">
        <v>2504</v>
      </c>
      <c r="L536" s="143" t="s">
        <v>2504</v>
      </c>
      <c r="M536" s="143" t="s">
        <v>2504</v>
      </c>
      <c r="N536" s="143" t="s">
        <v>2504</v>
      </c>
      <c r="O536" s="143" t="s">
        <v>2504</v>
      </c>
      <c r="P536" s="143" t="s">
        <v>2504</v>
      </c>
      <c r="Q536" s="148" t="s">
        <v>942</v>
      </c>
      <c r="R536" s="148" t="s">
        <v>694</v>
      </c>
      <c r="S536" s="148" t="s">
        <v>941</v>
      </c>
      <c r="T536" s="149">
        <v>200</v>
      </c>
      <c r="U536" s="241" t="s">
        <v>591</v>
      </c>
      <c r="V536" s="150">
        <v>14584.94</v>
      </c>
      <c r="W536" s="151">
        <v>20213.09</v>
      </c>
    </row>
    <row r="537" spans="1:23" ht="15" customHeight="1" x14ac:dyDescent="0.25">
      <c r="A537" s="148">
        <v>689</v>
      </c>
      <c r="B537" s="148" t="s">
        <v>374</v>
      </c>
      <c r="C537" s="143" t="s">
        <v>2504</v>
      </c>
      <c r="D537" s="143" t="s">
        <v>2504</v>
      </c>
      <c r="E537" s="143" t="s">
        <v>2504</v>
      </c>
      <c r="F537" s="143" t="s">
        <v>374</v>
      </c>
      <c r="G537" s="143" t="s">
        <v>2504</v>
      </c>
      <c r="H537" s="143" t="s">
        <v>2504</v>
      </c>
      <c r="I537" s="143" t="s">
        <v>2504</v>
      </c>
      <c r="J537" s="143" t="s">
        <v>2504</v>
      </c>
      <c r="K537" s="143" t="s">
        <v>2504</v>
      </c>
      <c r="L537" s="143" t="s">
        <v>2504</v>
      </c>
      <c r="M537" s="143" t="s">
        <v>2504</v>
      </c>
      <c r="N537" s="143" t="s">
        <v>2504</v>
      </c>
      <c r="O537" s="143" t="s">
        <v>2504</v>
      </c>
      <c r="P537" s="143" t="s">
        <v>2504</v>
      </c>
      <c r="Q537" s="148" t="s">
        <v>943</v>
      </c>
      <c r="R537" s="148" t="s">
        <v>694</v>
      </c>
      <c r="S537" s="148" t="s">
        <v>941</v>
      </c>
      <c r="T537" s="149">
        <v>19</v>
      </c>
      <c r="U537" s="241" t="s">
        <v>591</v>
      </c>
      <c r="V537" s="150">
        <v>1377.57</v>
      </c>
      <c r="W537" s="151">
        <v>21142.85</v>
      </c>
    </row>
    <row r="538" spans="1:23" ht="15" customHeight="1" x14ac:dyDescent="0.25">
      <c r="A538" s="148">
        <v>653</v>
      </c>
      <c r="B538" s="148" t="s">
        <v>376</v>
      </c>
      <c r="C538" s="143" t="s">
        <v>2504</v>
      </c>
      <c r="D538" s="143" t="s">
        <v>2504</v>
      </c>
      <c r="E538" s="143" t="s">
        <v>2504</v>
      </c>
      <c r="F538" s="143" t="s">
        <v>376</v>
      </c>
      <c r="G538" s="143" t="s">
        <v>2504</v>
      </c>
      <c r="H538" s="143" t="s">
        <v>2504</v>
      </c>
      <c r="I538" s="143" t="s">
        <v>2504</v>
      </c>
      <c r="J538" s="143" t="s">
        <v>2504</v>
      </c>
      <c r="K538" s="143" t="s">
        <v>2504</v>
      </c>
      <c r="L538" s="143" t="s">
        <v>2504</v>
      </c>
      <c r="M538" s="143" t="s">
        <v>2504</v>
      </c>
      <c r="N538" s="143" t="s">
        <v>2504</v>
      </c>
      <c r="O538" s="143" t="s">
        <v>2504</v>
      </c>
      <c r="P538" s="143" t="s">
        <v>2504</v>
      </c>
      <c r="Q538" s="148" t="s">
        <v>926</v>
      </c>
      <c r="R538" s="148" t="s">
        <v>694</v>
      </c>
      <c r="S538" s="148" t="s">
        <v>927</v>
      </c>
      <c r="T538" s="149">
        <v>0.95</v>
      </c>
      <c r="U538" s="241" t="s">
        <v>591</v>
      </c>
      <c r="V538" s="150">
        <v>92.44</v>
      </c>
      <c r="W538" s="151">
        <v>21244.93</v>
      </c>
    </row>
    <row r="539" spans="1:23" ht="15" customHeight="1" x14ac:dyDescent="0.25">
      <c r="A539" s="148">
        <v>655</v>
      </c>
      <c r="B539" s="148" t="s">
        <v>377</v>
      </c>
      <c r="C539" s="143" t="s">
        <v>2504</v>
      </c>
      <c r="D539" s="143" t="s">
        <v>2504</v>
      </c>
      <c r="E539" s="143" t="s">
        <v>2504</v>
      </c>
      <c r="F539" s="143" t="s">
        <v>377</v>
      </c>
      <c r="G539" s="143" t="s">
        <v>2504</v>
      </c>
      <c r="H539" s="143" t="s">
        <v>2504</v>
      </c>
      <c r="I539" s="143" t="s">
        <v>2504</v>
      </c>
      <c r="J539" s="143" t="s">
        <v>2504</v>
      </c>
      <c r="K539" s="143" t="s">
        <v>2504</v>
      </c>
      <c r="L539" s="143" t="s">
        <v>2504</v>
      </c>
      <c r="M539" s="143" t="s">
        <v>2504</v>
      </c>
      <c r="N539" s="143" t="s">
        <v>2504</v>
      </c>
      <c r="O539" s="143" t="s">
        <v>2504</v>
      </c>
      <c r="P539" s="143" t="s">
        <v>2504</v>
      </c>
      <c r="Q539" s="148" t="s">
        <v>930</v>
      </c>
      <c r="R539" s="148" t="s">
        <v>694</v>
      </c>
      <c r="S539" s="148" t="s">
        <v>927</v>
      </c>
      <c r="T539" s="149">
        <v>5</v>
      </c>
      <c r="U539" s="241" t="s">
        <v>591</v>
      </c>
      <c r="V539" s="150">
        <v>473.6</v>
      </c>
      <c r="W539" s="151">
        <v>21224.7</v>
      </c>
    </row>
    <row r="540" spans="1:23" ht="15" customHeight="1" x14ac:dyDescent="0.25">
      <c r="A540" s="148">
        <v>960</v>
      </c>
      <c r="B540" s="148" t="s">
        <v>378</v>
      </c>
      <c r="C540" s="143" t="s">
        <v>2504</v>
      </c>
      <c r="D540" s="143" t="s">
        <v>2504</v>
      </c>
      <c r="E540" s="143" t="s">
        <v>2504</v>
      </c>
      <c r="F540" s="143" t="s">
        <v>378</v>
      </c>
      <c r="G540" s="143" t="s">
        <v>2504</v>
      </c>
      <c r="H540" s="143" t="s">
        <v>2504</v>
      </c>
      <c r="I540" s="143" t="s">
        <v>2504</v>
      </c>
      <c r="J540" s="143" t="s">
        <v>2504</v>
      </c>
      <c r="K540" s="143" t="s">
        <v>2504</v>
      </c>
      <c r="L540" s="143" t="s">
        <v>2504</v>
      </c>
      <c r="M540" s="143" t="s">
        <v>2504</v>
      </c>
      <c r="N540" s="143" t="s">
        <v>2504</v>
      </c>
      <c r="O540" s="143" t="s">
        <v>2504</v>
      </c>
      <c r="P540" s="143" t="s">
        <v>2504</v>
      </c>
      <c r="Q540" s="148" t="s">
        <v>1021</v>
      </c>
      <c r="R540" s="148" t="s">
        <v>694</v>
      </c>
      <c r="S540" s="148" t="s">
        <v>927</v>
      </c>
      <c r="T540" s="149">
        <v>19</v>
      </c>
      <c r="U540" s="241" t="s">
        <v>591</v>
      </c>
      <c r="V540" s="150">
        <v>1734.71</v>
      </c>
      <c r="W540" s="151">
        <v>21257.279999999999</v>
      </c>
    </row>
    <row r="541" spans="1:23" ht="15" customHeight="1" x14ac:dyDescent="0.25">
      <c r="A541" s="148">
        <v>961</v>
      </c>
      <c r="B541" s="148" t="s">
        <v>379</v>
      </c>
      <c r="C541" s="143" t="s">
        <v>2504</v>
      </c>
      <c r="D541" s="143" t="s">
        <v>2504</v>
      </c>
      <c r="E541" s="143" t="s">
        <v>2504</v>
      </c>
      <c r="F541" s="143" t="s">
        <v>379</v>
      </c>
      <c r="G541" s="143" t="s">
        <v>2504</v>
      </c>
      <c r="H541" s="143" t="s">
        <v>2504</v>
      </c>
      <c r="I541" s="143" t="s">
        <v>2504</v>
      </c>
      <c r="J541" s="143" t="s">
        <v>2504</v>
      </c>
      <c r="K541" s="143" t="s">
        <v>2504</v>
      </c>
      <c r="L541" s="143" t="s">
        <v>2504</v>
      </c>
      <c r="M541" s="143" t="s">
        <v>2504</v>
      </c>
      <c r="N541" s="143" t="s">
        <v>2504</v>
      </c>
      <c r="O541" s="143" t="s">
        <v>2504</v>
      </c>
      <c r="P541" s="143" t="s">
        <v>2504</v>
      </c>
      <c r="Q541" s="148" t="s">
        <v>1022</v>
      </c>
      <c r="R541" s="148" t="s">
        <v>694</v>
      </c>
      <c r="S541" s="148" t="s">
        <v>927</v>
      </c>
      <c r="T541" s="149">
        <v>200</v>
      </c>
      <c r="U541" s="241" t="s">
        <v>591</v>
      </c>
      <c r="V541" s="150">
        <v>18166.23</v>
      </c>
      <c r="W541" s="151">
        <v>21388.2</v>
      </c>
    </row>
    <row r="542" spans="1:23" ht="15" customHeight="1" x14ac:dyDescent="0.25">
      <c r="A542" s="148">
        <v>177</v>
      </c>
      <c r="B542" s="148" t="s">
        <v>382</v>
      </c>
      <c r="C542" s="143" t="s">
        <v>2504</v>
      </c>
      <c r="D542" s="143" t="s">
        <v>2504</v>
      </c>
      <c r="E542" s="143" t="s">
        <v>2504</v>
      </c>
      <c r="F542" s="143" t="s">
        <v>382</v>
      </c>
      <c r="G542" s="143" t="s">
        <v>2504</v>
      </c>
      <c r="H542" s="143" t="s">
        <v>2504</v>
      </c>
      <c r="I542" s="143" t="s">
        <v>2504</v>
      </c>
      <c r="J542" s="143" t="s">
        <v>2504</v>
      </c>
      <c r="K542" s="143" t="s">
        <v>2504</v>
      </c>
      <c r="L542" s="143" t="s">
        <v>2504</v>
      </c>
      <c r="M542" s="143" t="s">
        <v>2504</v>
      </c>
      <c r="N542" s="143" t="s">
        <v>2504</v>
      </c>
      <c r="O542" s="143" t="s">
        <v>2504</v>
      </c>
      <c r="P542" s="143" t="s">
        <v>2504</v>
      </c>
      <c r="Q542" s="148" t="s">
        <v>693</v>
      </c>
      <c r="R542" s="148" t="s">
        <v>694</v>
      </c>
      <c r="S542" s="148" t="s">
        <v>695</v>
      </c>
      <c r="T542" s="149">
        <v>19</v>
      </c>
      <c r="U542" s="241" t="s">
        <v>591</v>
      </c>
      <c r="V542" s="150">
        <v>2555.48</v>
      </c>
      <c r="W542" s="151">
        <v>21306.81</v>
      </c>
    </row>
    <row r="543" spans="1:23" ht="15" customHeight="1" x14ac:dyDescent="0.25">
      <c r="A543" s="148">
        <v>179</v>
      </c>
      <c r="B543" s="148" t="s">
        <v>383</v>
      </c>
      <c r="C543" s="143" t="s">
        <v>2504</v>
      </c>
      <c r="D543" s="143" t="s">
        <v>2504</v>
      </c>
      <c r="E543" s="143" t="s">
        <v>2504</v>
      </c>
      <c r="F543" s="143" t="s">
        <v>383</v>
      </c>
      <c r="G543" s="143" t="s">
        <v>2504</v>
      </c>
      <c r="H543" s="143" t="s">
        <v>2504</v>
      </c>
      <c r="I543" s="143" t="s">
        <v>2504</v>
      </c>
      <c r="J543" s="143" t="s">
        <v>2504</v>
      </c>
      <c r="K543" s="143" t="s">
        <v>2504</v>
      </c>
      <c r="L543" s="143" t="s">
        <v>2504</v>
      </c>
      <c r="M543" s="143" t="s">
        <v>2504</v>
      </c>
      <c r="N543" s="143" t="s">
        <v>2504</v>
      </c>
      <c r="O543" s="143" t="s">
        <v>2504</v>
      </c>
      <c r="P543" s="143" t="s">
        <v>2504</v>
      </c>
      <c r="Q543" s="148" t="s">
        <v>699</v>
      </c>
      <c r="R543" s="148" t="s">
        <v>694</v>
      </c>
      <c r="S543" s="148" t="s">
        <v>695</v>
      </c>
      <c r="T543" s="149">
        <v>200</v>
      </c>
      <c r="U543" s="241" t="s">
        <v>591</v>
      </c>
      <c r="V543" s="150">
        <v>27038.639999999999</v>
      </c>
      <c r="W543" s="151">
        <v>21705.08</v>
      </c>
    </row>
    <row r="544" spans="1:23" ht="15" customHeight="1" x14ac:dyDescent="0.25">
      <c r="A544" s="148">
        <v>902</v>
      </c>
      <c r="B544" s="148" t="s">
        <v>380</v>
      </c>
      <c r="C544" s="143" t="s">
        <v>2504</v>
      </c>
      <c r="D544" s="143" t="s">
        <v>2504</v>
      </c>
      <c r="E544" s="143" t="s">
        <v>2504</v>
      </c>
      <c r="F544" s="143" t="s">
        <v>380</v>
      </c>
      <c r="G544" s="143" t="s">
        <v>2504</v>
      </c>
      <c r="H544" s="143" t="s">
        <v>2504</v>
      </c>
      <c r="I544" s="143" t="s">
        <v>2504</v>
      </c>
      <c r="J544" s="143" t="s">
        <v>2504</v>
      </c>
      <c r="K544" s="143" t="s">
        <v>2504</v>
      </c>
      <c r="L544" s="143" t="s">
        <v>2504</v>
      </c>
      <c r="M544" s="143" t="s">
        <v>2504</v>
      </c>
      <c r="N544" s="143" t="s">
        <v>2504</v>
      </c>
      <c r="O544" s="143" t="s">
        <v>2504</v>
      </c>
      <c r="P544" s="143" t="s">
        <v>2504</v>
      </c>
      <c r="Q544" s="148" t="s">
        <v>1017</v>
      </c>
      <c r="R544" s="148" t="s">
        <v>694</v>
      </c>
      <c r="S544" s="148" t="s">
        <v>695</v>
      </c>
      <c r="T544" s="149">
        <v>19</v>
      </c>
      <c r="U544" s="241" t="s">
        <v>591</v>
      </c>
      <c r="V544" s="150">
        <v>2261.34</v>
      </c>
      <c r="W544" s="151">
        <v>21725.21</v>
      </c>
    </row>
    <row r="545" spans="1:23" ht="15" customHeight="1" x14ac:dyDescent="0.25">
      <c r="A545" s="148">
        <v>903</v>
      </c>
      <c r="B545" s="148" t="s">
        <v>381</v>
      </c>
      <c r="C545" s="143" t="s">
        <v>2504</v>
      </c>
      <c r="D545" s="143" t="s">
        <v>2504</v>
      </c>
      <c r="E545" s="143" t="s">
        <v>2504</v>
      </c>
      <c r="F545" s="143" t="s">
        <v>381</v>
      </c>
      <c r="G545" s="143" t="s">
        <v>2504</v>
      </c>
      <c r="H545" s="143" t="s">
        <v>2504</v>
      </c>
      <c r="I545" s="143" t="s">
        <v>2504</v>
      </c>
      <c r="J545" s="143" t="s">
        <v>2504</v>
      </c>
      <c r="K545" s="143" t="s">
        <v>2504</v>
      </c>
      <c r="L545" s="143" t="s">
        <v>2504</v>
      </c>
      <c r="M545" s="143" t="s">
        <v>2504</v>
      </c>
      <c r="N545" s="143" t="s">
        <v>2504</v>
      </c>
      <c r="O545" s="143" t="s">
        <v>2504</v>
      </c>
      <c r="P545" s="143" t="s">
        <v>2504</v>
      </c>
      <c r="Q545" s="148" t="s">
        <v>1018</v>
      </c>
      <c r="R545" s="148" t="s">
        <v>694</v>
      </c>
      <c r="S545" s="148" t="s">
        <v>695</v>
      </c>
      <c r="T545" s="149">
        <v>200</v>
      </c>
      <c r="U545" s="241" t="s">
        <v>591</v>
      </c>
      <c r="V545" s="150">
        <v>23683.84</v>
      </c>
      <c r="W545" s="151">
        <v>18995.830000000002</v>
      </c>
    </row>
    <row r="546" spans="1:23" ht="15" customHeight="1" x14ac:dyDescent="0.25">
      <c r="A546" s="148">
        <v>16614</v>
      </c>
      <c r="B546" s="148" t="s">
        <v>372</v>
      </c>
      <c r="C546" s="143" t="s">
        <v>2504</v>
      </c>
      <c r="D546" s="143" t="s">
        <v>2504</v>
      </c>
      <c r="E546" s="143" t="s">
        <v>2504</v>
      </c>
      <c r="F546" s="143" t="s">
        <v>372</v>
      </c>
      <c r="G546" s="143" t="s">
        <v>2504</v>
      </c>
      <c r="H546" s="143" t="s">
        <v>2504</v>
      </c>
      <c r="I546" s="143" t="s">
        <v>2504</v>
      </c>
      <c r="J546" s="143" t="s">
        <v>2504</v>
      </c>
      <c r="K546" s="143" t="s">
        <v>2504</v>
      </c>
      <c r="L546" s="143" t="s">
        <v>2504</v>
      </c>
      <c r="M546" s="143" t="s">
        <v>2504</v>
      </c>
      <c r="N546" s="143" t="s">
        <v>2504</v>
      </c>
      <c r="O546" s="143" t="s">
        <v>2504</v>
      </c>
      <c r="P546" s="143" t="s">
        <v>2504</v>
      </c>
      <c r="Q546" s="148" t="s">
        <v>2293</v>
      </c>
      <c r="R546" s="148" t="s">
        <v>606</v>
      </c>
      <c r="S546" s="148" t="s">
        <v>2294</v>
      </c>
      <c r="T546" s="149">
        <v>19</v>
      </c>
      <c r="U546" s="241" t="s">
        <v>591</v>
      </c>
      <c r="V546" s="150">
        <v>3453.54</v>
      </c>
      <c r="W546" s="151">
        <v>18639.5</v>
      </c>
    </row>
    <row r="547" spans="1:23" ht="15" customHeight="1" x14ac:dyDescent="0.25">
      <c r="A547" s="148">
        <v>16715</v>
      </c>
      <c r="B547" s="148" t="s">
        <v>524</v>
      </c>
      <c r="C547" s="143" t="s">
        <v>2504</v>
      </c>
      <c r="D547" s="143" t="s">
        <v>2504</v>
      </c>
      <c r="E547" s="143" t="s">
        <v>2504</v>
      </c>
      <c r="F547" s="143" t="s">
        <v>524</v>
      </c>
      <c r="G547" s="143" t="s">
        <v>2504</v>
      </c>
      <c r="H547" s="143" t="s">
        <v>2504</v>
      </c>
      <c r="I547" s="143" t="s">
        <v>2504</v>
      </c>
      <c r="J547" s="143" t="s">
        <v>2504</v>
      </c>
      <c r="K547" s="143" t="s">
        <v>2504</v>
      </c>
      <c r="L547" s="143" t="s">
        <v>2504</v>
      </c>
      <c r="M547" s="143" t="s">
        <v>2504</v>
      </c>
      <c r="N547" s="143" t="s">
        <v>2504</v>
      </c>
      <c r="O547" s="143" t="s">
        <v>2504</v>
      </c>
      <c r="P547" s="143" t="s">
        <v>2504</v>
      </c>
      <c r="Q547" s="148" t="s">
        <v>2311</v>
      </c>
      <c r="R547" s="148" t="s">
        <v>606</v>
      </c>
      <c r="S547" s="148" t="s">
        <v>2294</v>
      </c>
      <c r="T547" s="149">
        <v>200</v>
      </c>
      <c r="U547" s="241" t="s">
        <v>591</v>
      </c>
      <c r="V547" s="150">
        <v>36178.43</v>
      </c>
      <c r="W547" s="151">
        <v>18895.45</v>
      </c>
    </row>
    <row r="548" spans="1:23" ht="15" customHeight="1" x14ac:dyDescent="0.25">
      <c r="A548" s="148">
        <v>16922</v>
      </c>
      <c r="B548" s="148" t="s">
        <v>373</v>
      </c>
      <c r="C548" s="143" t="s">
        <v>2504</v>
      </c>
      <c r="D548" s="143" t="s">
        <v>2504</v>
      </c>
      <c r="E548" s="143" t="s">
        <v>2504</v>
      </c>
      <c r="F548" s="143" t="s">
        <v>373</v>
      </c>
      <c r="G548" s="143" t="s">
        <v>2504</v>
      </c>
      <c r="H548" s="143" t="s">
        <v>2504</v>
      </c>
      <c r="I548" s="143" t="s">
        <v>2504</v>
      </c>
      <c r="J548" s="143" t="s">
        <v>2504</v>
      </c>
      <c r="K548" s="143" t="s">
        <v>2504</v>
      </c>
      <c r="L548" s="143" t="s">
        <v>2504</v>
      </c>
      <c r="M548" s="143" t="s">
        <v>2504</v>
      </c>
      <c r="N548" s="143" t="s">
        <v>2504</v>
      </c>
      <c r="O548" s="143" t="s">
        <v>2504</v>
      </c>
      <c r="P548" s="143" t="s">
        <v>2504</v>
      </c>
      <c r="Q548" s="148" t="s">
        <v>2409</v>
      </c>
      <c r="R548" s="148" t="s">
        <v>606</v>
      </c>
      <c r="S548" s="148" t="s">
        <v>2294</v>
      </c>
      <c r="T548" s="149">
        <v>0.95</v>
      </c>
      <c r="U548" s="241" t="s">
        <v>591</v>
      </c>
      <c r="V548" s="150">
        <v>178.24</v>
      </c>
      <c r="W548" s="151">
        <v>19518.96</v>
      </c>
    </row>
    <row r="549" spans="1:23" ht="15" customHeight="1" x14ac:dyDescent="0.25">
      <c r="A549" s="148">
        <v>299</v>
      </c>
      <c r="B549" s="148" t="s">
        <v>411</v>
      </c>
      <c r="C549" s="143" t="s">
        <v>2504</v>
      </c>
      <c r="D549" s="143" t="s">
        <v>2504</v>
      </c>
      <c r="E549" s="143" t="s">
        <v>2504</v>
      </c>
      <c r="F549" s="143" t="s">
        <v>411</v>
      </c>
      <c r="G549" s="143" t="s">
        <v>2504</v>
      </c>
      <c r="H549" s="143" t="s">
        <v>2504</v>
      </c>
      <c r="I549" s="143" t="s">
        <v>2504</v>
      </c>
      <c r="J549" s="143" t="s">
        <v>2504</v>
      </c>
      <c r="K549" s="143" t="s">
        <v>2504</v>
      </c>
      <c r="L549" s="143" t="s">
        <v>2504</v>
      </c>
      <c r="M549" s="143" t="s">
        <v>2504</v>
      </c>
      <c r="N549" s="143" t="s">
        <v>2504</v>
      </c>
      <c r="O549" s="143" t="s">
        <v>2504</v>
      </c>
      <c r="P549" s="143" t="s">
        <v>2504</v>
      </c>
      <c r="Q549" s="148" t="s">
        <v>738</v>
      </c>
      <c r="R549" s="148" t="s">
        <v>705</v>
      </c>
      <c r="S549" s="148" t="s">
        <v>739</v>
      </c>
      <c r="T549" s="149">
        <v>16</v>
      </c>
      <c r="U549" s="241" t="s">
        <v>591</v>
      </c>
      <c r="V549" s="150">
        <v>2461.81</v>
      </c>
      <c r="W549" s="151">
        <v>20538.099999999999</v>
      </c>
    </row>
    <row r="550" spans="1:23" ht="15" customHeight="1" x14ac:dyDescent="0.25">
      <c r="A550" s="148">
        <v>300</v>
      </c>
      <c r="B550" s="148" t="s">
        <v>530</v>
      </c>
      <c r="C550" s="143" t="s">
        <v>2504</v>
      </c>
      <c r="D550" s="143" t="s">
        <v>2504</v>
      </c>
      <c r="E550" s="143" t="s">
        <v>2504</v>
      </c>
      <c r="F550" s="143" t="s">
        <v>530</v>
      </c>
      <c r="G550" s="143" t="s">
        <v>2504</v>
      </c>
      <c r="H550" s="143" t="s">
        <v>2504</v>
      </c>
      <c r="I550" s="143" t="s">
        <v>2504</v>
      </c>
      <c r="J550" s="143" t="s">
        <v>2504</v>
      </c>
      <c r="K550" s="143" t="s">
        <v>2504</v>
      </c>
      <c r="L550" s="143" t="s">
        <v>2504</v>
      </c>
      <c r="M550" s="143" t="s">
        <v>2504</v>
      </c>
      <c r="N550" s="143" t="s">
        <v>2504</v>
      </c>
      <c r="O550" s="143" t="s">
        <v>2504</v>
      </c>
      <c r="P550" s="143" t="s">
        <v>2504</v>
      </c>
      <c r="Q550" s="148" t="s">
        <v>740</v>
      </c>
      <c r="R550" s="148" t="s">
        <v>705</v>
      </c>
      <c r="S550" s="148" t="s">
        <v>739</v>
      </c>
      <c r="T550" s="149">
        <v>170</v>
      </c>
      <c r="U550" s="241" t="s">
        <v>591</v>
      </c>
      <c r="V550" s="150">
        <v>26427.73</v>
      </c>
      <c r="W550" s="151">
        <v>20550.84</v>
      </c>
    </row>
    <row r="551" spans="1:23" ht="15" customHeight="1" x14ac:dyDescent="0.25">
      <c r="A551" s="148">
        <v>1224</v>
      </c>
      <c r="B551" s="148" t="s">
        <v>410</v>
      </c>
      <c r="C551" s="143" t="s">
        <v>2504</v>
      </c>
      <c r="D551" s="143" t="s">
        <v>2504</v>
      </c>
      <c r="E551" s="143" t="s">
        <v>2504</v>
      </c>
      <c r="F551" s="143" t="s">
        <v>410</v>
      </c>
      <c r="G551" s="143" t="s">
        <v>2504</v>
      </c>
      <c r="H551" s="143" t="s">
        <v>2504</v>
      </c>
      <c r="I551" s="143" t="s">
        <v>2504</v>
      </c>
      <c r="J551" s="143" t="s">
        <v>2504</v>
      </c>
      <c r="K551" s="143" t="s">
        <v>2504</v>
      </c>
      <c r="L551" s="143" t="s">
        <v>2504</v>
      </c>
      <c r="M551" s="143" t="s">
        <v>2504</v>
      </c>
      <c r="N551" s="143" t="s">
        <v>2504</v>
      </c>
      <c r="O551" s="143" t="s">
        <v>2504</v>
      </c>
      <c r="P551" s="143" t="s">
        <v>2504</v>
      </c>
      <c r="Q551" s="148" t="s">
        <v>1062</v>
      </c>
      <c r="R551" s="148" t="s">
        <v>705</v>
      </c>
      <c r="S551" s="148" t="s">
        <v>739</v>
      </c>
      <c r="T551" s="149">
        <v>0.4</v>
      </c>
      <c r="U551" s="241" t="s">
        <v>591</v>
      </c>
      <c r="V551" s="150">
        <v>69.42</v>
      </c>
      <c r="W551" s="151">
        <v>20694.59</v>
      </c>
    </row>
    <row r="552" spans="1:23" ht="15" customHeight="1" x14ac:dyDescent="0.25">
      <c r="A552" s="148">
        <v>284</v>
      </c>
      <c r="B552" s="148" t="s">
        <v>409</v>
      </c>
      <c r="C552" s="143" t="s">
        <v>2504</v>
      </c>
      <c r="D552" s="143" t="s">
        <v>2504</v>
      </c>
      <c r="E552" s="143" t="s">
        <v>2504</v>
      </c>
      <c r="F552" s="143" t="s">
        <v>409</v>
      </c>
      <c r="G552" s="143" t="s">
        <v>2504</v>
      </c>
      <c r="H552" s="143" t="s">
        <v>2504</v>
      </c>
      <c r="I552" s="143" t="s">
        <v>2504</v>
      </c>
      <c r="J552" s="143" t="s">
        <v>2504</v>
      </c>
      <c r="K552" s="143" t="s">
        <v>2504</v>
      </c>
      <c r="L552" s="143" t="s">
        <v>2504</v>
      </c>
      <c r="M552" s="143" t="s">
        <v>2504</v>
      </c>
      <c r="N552" s="143" t="s">
        <v>2504</v>
      </c>
      <c r="O552" s="143" t="s">
        <v>2504</v>
      </c>
      <c r="P552" s="143" t="s">
        <v>2504</v>
      </c>
      <c r="Q552" s="148" t="s">
        <v>726</v>
      </c>
      <c r="R552" s="148" t="s">
        <v>705</v>
      </c>
      <c r="S552" s="148" t="s">
        <v>727</v>
      </c>
      <c r="T552" s="149">
        <v>16</v>
      </c>
      <c r="U552" s="241" t="s">
        <v>591</v>
      </c>
      <c r="V552" s="150">
        <v>2050.04</v>
      </c>
      <c r="W552" s="151">
        <v>20703.240000000002</v>
      </c>
    </row>
    <row r="553" spans="1:23" ht="15" customHeight="1" x14ac:dyDescent="0.25">
      <c r="A553" s="148">
        <v>286</v>
      </c>
      <c r="B553" s="148" t="s">
        <v>528</v>
      </c>
      <c r="C553" s="143" t="s">
        <v>2504</v>
      </c>
      <c r="D553" s="143" t="s">
        <v>2504</v>
      </c>
      <c r="E553" s="143" t="s">
        <v>2504</v>
      </c>
      <c r="F553" s="143" t="s">
        <v>528</v>
      </c>
      <c r="G553" s="143" t="s">
        <v>2504</v>
      </c>
      <c r="H553" s="143" t="s">
        <v>2504</v>
      </c>
      <c r="I553" s="143" t="s">
        <v>2504</v>
      </c>
      <c r="J553" s="143" t="s">
        <v>2504</v>
      </c>
      <c r="K553" s="143" t="s">
        <v>2504</v>
      </c>
      <c r="L553" s="143" t="s">
        <v>2504</v>
      </c>
      <c r="M553" s="143" t="s">
        <v>2504</v>
      </c>
      <c r="N553" s="143" t="s">
        <v>2504</v>
      </c>
      <c r="O553" s="143" t="s">
        <v>2504</v>
      </c>
      <c r="P553" s="143" t="s">
        <v>2504</v>
      </c>
      <c r="Q553" s="148" t="s">
        <v>728</v>
      </c>
      <c r="R553" s="148" t="s">
        <v>705</v>
      </c>
      <c r="S553" s="148" t="s">
        <v>727</v>
      </c>
      <c r="T553" s="149">
        <v>170</v>
      </c>
      <c r="U553" s="241" t="s">
        <v>591</v>
      </c>
      <c r="V553" s="150">
        <v>22052.73</v>
      </c>
      <c r="W553" s="151">
        <v>17139.39</v>
      </c>
    </row>
    <row r="554" spans="1:23" ht="15" customHeight="1" x14ac:dyDescent="0.25">
      <c r="A554" s="148">
        <v>729</v>
      </c>
      <c r="B554" s="148" t="s">
        <v>529</v>
      </c>
      <c r="C554" s="143" t="s">
        <v>2504</v>
      </c>
      <c r="D554" s="143" t="s">
        <v>2504</v>
      </c>
      <c r="E554" s="143" t="s">
        <v>2504</v>
      </c>
      <c r="F554" s="143" t="s">
        <v>529</v>
      </c>
      <c r="G554" s="143" t="s">
        <v>2504</v>
      </c>
      <c r="H554" s="143" t="s">
        <v>2504</v>
      </c>
      <c r="I554" s="143" t="s">
        <v>2504</v>
      </c>
      <c r="J554" s="143" t="s">
        <v>2504</v>
      </c>
      <c r="K554" s="143" t="s">
        <v>2504</v>
      </c>
      <c r="L554" s="143" t="s">
        <v>2504</v>
      </c>
      <c r="M554" s="143" t="s">
        <v>2504</v>
      </c>
      <c r="N554" s="143" t="s">
        <v>2504</v>
      </c>
      <c r="O554" s="143" t="s">
        <v>2504</v>
      </c>
      <c r="P554" s="143" t="s">
        <v>2504</v>
      </c>
      <c r="Q554" s="148" t="s">
        <v>950</v>
      </c>
      <c r="R554" s="148" t="s">
        <v>705</v>
      </c>
      <c r="S554" s="148" t="s">
        <v>727</v>
      </c>
      <c r="T554" s="149">
        <v>3.5</v>
      </c>
      <c r="U554" s="241" t="s">
        <v>591</v>
      </c>
      <c r="V554" s="150">
        <v>468</v>
      </c>
      <c r="W554" s="151">
        <v>21839.75</v>
      </c>
    </row>
    <row r="555" spans="1:23" ht="15" customHeight="1" x14ac:dyDescent="0.25">
      <c r="A555" s="148">
        <v>272</v>
      </c>
      <c r="B555" s="148" t="s">
        <v>400</v>
      </c>
      <c r="C555" s="143" t="s">
        <v>2504</v>
      </c>
      <c r="D555" s="143" t="s">
        <v>2504</v>
      </c>
      <c r="E555" s="143" t="s">
        <v>2504</v>
      </c>
      <c r="F555" s="143" t="s">
        <v>400</v>
      </c>
      <c r="G555" s="143" t="s">
        <v>2504</v>
      </c>
      <c r="H555" s="143" t="s">
        <v>2504</v>
      </c>
      <c r="I555" s="143" t="s">
        <v>2504</v>
      </c>
      <c r="J555" s="143" t="s">
        <v>2504</v>
      </c>
      <c r="K555" s="143" t="s">
        <v>2504</v>
      </c>
      <c r="L555" s="143" t="s">
        <v>2504</v>
      </c>
      <c r="M555" s="143" t="s">
        <v>2504</v>
      </c>
      <c r="N555" s="143" t="s">
        <v>2504</v>
      </c>
      <c r="O555" s="143" t="s">
        <v>2504</v>
      </c>
      <c r="P555" s="143" t="s">
        <v>2504</v>
      </c>
      <c r="Q555" s="148" t="s">
        <v>720</v>
      </c>
      <c r="R555" s="148" t="s">
        <v>705</v>
      </c>
      <c r="S555" s="148" t="s">
        <v>721</v>
      </c>
      <c r="T555" s="149">
        <v>0.25</v>
      </c>
      <c r="U555" s="241" t="s">
        <v>591</v>
      </c>
      <c r="V555" s="150">
        <v>42.3</v>
      </c>
      <c r="W555" s="151">
        <v>21412.400000000001</v>
      </c>
    </row>
    <row r="556" spans="1:23" ht="15" customHeight="1" x14ac:dyDescent="0.25">
      <c r="A556" s="148">
        <v>273</v>
      </c>
      <c r="B556" s="148" t="s">
        <v>401</v>
      </c>
      <c r="C556" s="143" t="s">
        <v>2504</v>
      </c>
      <c r="D556" s="143" t="s">
        <v>2504</v>
      </c>
      <c r="E556" s="143" t="s">
        <v>2504</v>
      </c>
      <c r="F556" s="143" t="s">
        <v>401</v>
      </c>
      <c r="G556" s="143" t="s">
        <v>2504</v>
      </c>
      <c r="H556" s="143" t="s">
        <v>2504</v>
      </c>
      <c r="I556" s="143" t="s">
        <v>2504</v>
      </c>
      <c r="J556" s="143" t="s">
        <v>2504</v>
      </c>
      <c r="K556" s="143" t="s">
        <v>2504</v>
      </c>
      <c r="L556" s="143" t="s">
        <v>2504</v>
      </c>
      <c r="M556" s="143" t="s">
        <v>2504</v>
      </c>
      <c r="N556" s="143" t="s">
        <v>2504</v>
      </c>
      <c r="O556" s="143" t="s">
        <v>2504</v>
      </c>
      <c r="P556" s="143" t="s">
        <v>2504</v>
      </c>
      <c r="Q556" s="148" t="s">
        <v>722</v>
      </c>
      <c r="R556" s="148" t="s">
        <v>705</v>
      </c>
      <c r="S556" s="148" t="s">
        <v>721</v>
      </c>
      <c r="T556" s="149">
        <v>0.42500000000000004</v>
      </c>
      <c r="U556" s="241" t="s">
        <v>591</v>
      </c>
      <c r="V556" s="150">
        <v>70.44</v>
      </c>
      <c r="W556" s="151">
        <v>19899.52</v>
      </c>
    </row>
    <row r="557" spans="1:23" ht="15" customHeight="1" x14ac:dyDescent="0.25">
      <c r="A557" s="148">
        <v>274</v>
      </c>
      <c r="B557" s="148" t="s">
        <v>402</v>
      </c>
      <c r="C557" s="143" t="s">
        <v>2504</v>
      </c>
      <c r="D557" s="143" t="s">
        <v>2504</v>
      </c>
      <c r="E557" s="143" t="s">
        <v>2504</v>
      </c>
      <c r="F557" s="143" t="s">
        <v>402</v>
      </c>
      <c r="G557" s="143" t="s">
        <v>2504</v>
      </c>
      <c r="H557" s="143" t="s">
        <v>2504</v>
      </c>
      <c r="I557" s="143" t="s">
        <v>2504</v>
      </c>
      <c r="J557" s="143" t="s">
        <v>2504</v>
      </c>
      <c r="K557" s="143" t="s">
        <v>2504</v>
      </c>
      <c r="L557" s="143" t="s">
        <v>2504</v>
      </c>
      <c r="M557" s="143" t="s">
        <v>2504</v>
      </c>
      <c r="N557" s="143" t="s">
        <v>2504</v>
      </c>
      <c r="O557" s="143" t="s">
        <v>2504</v>
      </c>
      <c r="P557" s="143" t="s">
        <v>2504</v>
      </c>
      <c r="Q557" s="148" t="s">
        <v>723</v>
      </c>
      <c r="R557" s="148" t="s">
        <v>705</v>
      </c>
      <c r="S557" s="148" t="s">
        <v>721</v>
      </c>
      <c r="T557" s="149">
        <v>0.85</v>
      </c>
      <c r="U557" s="241" t="s">
        <v>591</v>
      </c>
      <c r="V557" s="150">
        <v>131.12</v>
      </c>
      <c r="W557" s="151">
        <v>20604.580000000002</v>
      </c>
    </row>
    <row r="558" spans="1:23" ht="15" customHeight="1" x14ac:dyDescent="0.25">
      <c r="A558" s="148">
        <v>277</v>
      </c>
      <c r="B558" s="148" t="s">
        <v>404</v>
      </c>
      <c r="C558" s="143" t="s">
        <v>2504</v>
      </c>
      <c r="D558" s="143" t="s">
        <v>2504</v>
      </c>
      <c r="E558" s="143" t="s">
        <v>2504</v>
      </c>
      <c r="F558" s="143" t="s">
        <v>404</v>
      </c>
      <c r="G558" s="143" t="s">
        <v>2504</v>
      </c>
      <c r="H558" s="143" t="s">
        <v>2504</v>
      </c>
      <c r="I558" s="143" t="s">
        <v>2504</v>
      </c>
      <c r="J558" s="143" t="s">
        <v>2504</v>
      </c>
      <c r="K558" s="143" t="s">
        <v>2504</v>
      </c>
      <c r="L558" s="143" t="s">
        <v>2504</v>
      </c>
      <c r="M558" s="143" t="s">
        <v>2504</v>
      </c>
      <c r="N558" s="143" t="s">
        <v>2504</v>
      </c>
      <c r="O558" s="143" t="s">
        <v>2504</v>
      </c>
      <c r="P558" s="143" t="s">
        <v>2504</v>
      </c>
      <c r="Q558" s="148" t="s">
        <v>724</v>
      </c>
      <c r="R558" s="148" t="s">
        <v>705</v>
      </c>
      <c r="S558" s="148" t="s">
        <v>721</v>
      </c>
      <c r="T558" s="149">
        <v>16</v>
      </c>
      <c r="U558" s="241" t="s">
        <v>591</v>
      </c>
      <c r="V558" s="150">
        <v>2262.4699999999998</v>
      </c>
      <c r="W558" s="151">
        <v>20972.17</v>
      </c>
    </row>
    <row r="559" spans="1:23" ht="15" customHeight="1" x14ac:dyDescent="0.25">
      <c r="A559" s="148">
        <v>279</v>
      </c>
      <c r="B559" s="148" t="s">
        <v>405</v>
      </c>
      <c r="C559" s="143" t="s">
        <v>2504</v>
      </c>
      <c r="D559" s="143" t="s">
        <v>2504</v>
      </c>
      <c r="E559" s="143" t="s">
        <v>2504</v>
      </c>
      <c r="F559" s="143" t="s">
        <v>405</v>
      </c>
      <c r="G559" s="143" t="s">
        <v>2504</v>
      </c>
      <c r="H559" s="143" t="s">
        <v>2504</v>
      </c>
      <c r="I559" s="143" t="s">
        <v>2504</v>
      </c>
      <c r="J559" s="143" t="s">
        <v>2504</v>
      </c>
      <c r="K559" s="143" t="s">
        <v>2504</v>
      </c>
      <c r="L559" s="143" t="s">
        <v>2504</v>
      </c>
      <c r="M559" s="143" t="s">
        <v>2504</v>
      </c>
      <c r="N559" s="143" t="s">
        <v>2504</v>
      </c>
      <c r="O559" s="143" t="s">
        <v>2504</v>
      </c>
      <c r="P559" s="143" t="s">
        <v>2504</v>
      </c>
      <c r="Q559" s="148" t="s">
        <v>725</v>
      </c>
      <c r="R559" s="148" t="s">
        <v>705</v>
      </c>
      <c r="S559" s="148" t="s">
        <v>721</v>
      </c>
      <c r="T559" s="149">
        <v>170</v>
      </c>
      <c r="U559" s="241" t="s">
        <v>591</v>
      </c>
      <c r="V559" s="150">
        <v>24304.97</v>
      </c>
      <c r="W559" s="151">
        <v>21107.74</v>
      </c>
    </row>
    <row r="560" spans="1:23" ht="15" customHeight="1" x14ac:dyDescent="0.25">
      <c r="A560" s="148">
        <v>588</v>
      </c>
      <c r="B560" s="148" t="s">
        <v>403</v>
      </c>
      <c r="C560" s="143" t="s">
        <v>2504</v>
      </c>
      <c r="D560" s="143" t="s">
        <v>2504</v>
      </c>
      <c r="E560" s="143" t="s">
        <v>2504</v>
      </c>
      <c r="F560" s="143" t="s">
        <v>403</v>
      </c>
      <c r="G560" s="143" t="s">
        <v>2504</v>
      </c>
      <c r="H560" s="143" t="s">
        <v>2504</v>
      </c>
      <c r="I560" s="143" t="s">
        <v>2504</v>
      </c>
      <c r="J560" s="143" t="s">
        <v>2504</v>
      </c>
      <c r="K560" s="143" t="s">
        <v>2504</v>
      </c>
      <c r="L560" s="143" t="s">
        <v>2504</v>
      </c>
      <c r="M560" s="143" t="s">
        <v>2504</v>
      </c>
      <c r="N560" s="143" t="s">
        <v>2504</v>
      </c>
      <c r="O560" s="143" t="s">
        <v>2504</v>
      </c>
      <c r="P560" s="143" t="s">
        <v>2504</v>
      </c>
      <c r="Q560" s="148" t="s">
        <v>891</v>
      </c>
      <c r="R560" s="148" t="s">
        <v>705</v>
      </c>
      <c r="S560" s="148" t="s">
        <v>721</v>
      </c>
      <c r="T560" s="149">
        <v>3.5</v>
      </c>
      <c r="U560" s="241" t="s">
        <v>591</v>
      </c>
      <c r="V560" s="150">
        <v>514.36</v>
      </c>
      <c r="W560" s="151">
        <v>21050.3</v>
      </c>
    </row>
    <row r="561" spans="1:23" ht="15" customHeight="1" x14ac:dyDescent="0.25">
      <c r="A561" s="148">
        <v>257</v>
      </c>
      <c r="B561" s="148" t="s">
        <v>385</v>
      </c>
      <c r="C561" s="143" t="s">
        <v>2504</v>
      </c>
      <c r="D561" s="143" t="s">
        <v>2504</v>
      </c>
      <c r="E561" s="143" t="s">
        <v>2504</v>
      </c>
      <c r="F561" s="143" t="s">
        <v>385</v>
      </c>
      <c r="G561" s="143" t="s">
        <v>2504</v>
      </c>
      <c r="H561" s="143" t="s">
        <v>2504</v>
      </c>
      <c r="I561" s="143" t="s">
        <v>2504</v>
      </c>
      <c r="J561" s="143" t="s">
        <v>2504</v>
      </c>
      <c r="K561" s="143" t="s">
        <v>2504</v>
      </c>
      <c r="L561" s="143" t="s">
        <v>2504</v>
      </c>
      <c r="M561" s="143" t="s">
        <v>2504</v>
      </c>
      <c r="N561" s="143" t="s">
        <v>2504</v>
      </c>
      <c r="O561" s="143" t="s">
        <v>2504</v>
      </c>
      <c r="P561" s="143" t="s">
        <v>2504</v>
      </c>
      <c r="Q561" s="148" t="s">
        <v>714</v>
      </c>
      <c r="R561" s="148" t="s">
        <v>705</v>
      </c>
      <c r="S561" s="148" t="s">
        <v>713</v>
      </c>
      <c r="T561" s="149">
        <v>16</v>
      </c>
      <c r="U561" s="241" t="s">
        <v>591</v>
      </c>
      <c r="V561" s="150">
        <v>1735.21</v>
      </c>
      <c r="W561" s="151">
        <v>21238.34</v>
      </c>
    </row>
    <row r="562" spans="1:23" ht="15" customHeight="1" x14ac:dyDescent="0.25">
      <c r="A562" s="148">
        <v>258</v>
      </c>
      <c r="B562" s="148" t="s">
        <v>526</v>
      </c>
      <c r="C562" s="143" t="s">
        <v>2504</v>
      </c>
      <c r="D562" s="143" t="s">
        <v>2504</v>
      </c>
      <c r="E562" s="143" t="s">
        <v>2504</v>
      </c>
      <c r="F562" s="143" t="s">
        <v>526</v>
      </c>
      <c r="G562" s="143" t="s">
        <v>2504</v>
      </c>
      <c r="H562" s="143" t="s">
        <v>2504</v>
      </c>
      <c r="I562" s="143" t="s">
        <v>2504</v>
      </c>
      <c r="J562" s="143" t="s">
        <v>2504</v>
      </c>
      <c r="K562" s="143" t="s">
        <v>2504</v>
      </c>
      <c r="L562" s="143" t="s">
        <v>2504</v>
      </c>
      <c r="M562" s="143" t="s">
        <v>2504</v>
      </c>
      <c r="N562" s="143" t="s">
        <v>2504</v>
      </c>
      <c r="O562" s="143" t="s">
        <v>2504</v>
      </c>
      <c r="P562" s="143" t="s">
        <v>2504</v>
      </c>
      <c r="Q562" s="148" t="s">
        <v>715</v>
      </c>
      <c r="R562" s="148" t="s">
        <v>705</v>
      </c>
      <c r="S562" s="148" t="s">
        <v>713</v>
      </c>
      <c r="T562" s="149">
        <v>16</v>
      </c>
      <c r="U562" s="241" t="s">
        <v>591</v>
      </c>
      <c r="V562" s="150">
        <v>1738.73</v>
      </c>
      <c r="W562" s="151">
        <v>21116.17</v>
      </c>
    </row>
    <row r="563" spans="1:23" ht="15" customHeight="1" x14ac:dyDescent="0.25">
      <c r="A563" s="148">
        <v>263</v>
      </c>
      <c r="B563" s="148" t="s">
        <v>386</v>
      </c>
      <c r="C563" s="143" t="s">
        <v>2504</v>
      </c>
      <c r="D563" s="143" t="s">
        <v>2504</v>
      </c>
      <c r="E563" s="143" t="s">
        <v>2504</v>
      </c>
      <c r="F563" s="143" t="s">
        <v>386</v>
      </c>
      <c r="G563" s="143" t="s">
        <v>2504</v>
      </c>
      <c r="H563" s="143" t="s">
        <v>2504</v>
      </c>
      <c r="I563" s="143" t="s">
        <v>2504</v>
      </c>
      <c r="J563" s="143" t="s">
        <v>2504</v>
      </c>
      <c r="K563" s="143" t="s">
        <v>2504</v>
      </c>
      <c r="L563" s="143" t="s">
        <v>2504</v>
      </c>
      <c r="M563" s="143" t="s">
        <v>2504</v>
      </c>
      <c r="N563" s="143" t="s">
        <v>2504</v>
      </c>
      <c r="O563" s="143" t="s">
        <v>2504</v>
      </c>
      <c r="P563" s="143" t="s">
        <v>2504</v>
      </c>
      <c r="Q563" s="148" t="s">
        <v>718</v>
      </c>
      <c r="R563" s="148" t="s">
        <v>705</v>
      </c>
      <c r="S563" s="148" t="s">
        <v>713</v>
      </c>
      <c r="T563" s="149">
        <v>170</v>
      </c>
      <c r="U563" s="241" t="s">
        <v>591</v>
      </c>
      <c r="V563" s="150">
        <v>18702.88</v>
      </c>
      <c r="W563" s="151">
        <v>20888.259999999998</v>
      </c>
    </row>
    <row r="564" spans="1:23" ht="15" customHeight="1" x14ac:dyDescent="0.25">
      <c r="A564" s="148">
        <v>264</v>
      </c>
      <c r="B564" s="148" t="s">
        <v>387</v>
      </c>
      <c r="C564" s="143" t="s">
        <v>2504</v>
      </c>
      <c r="D564" s="143" t="s">
        <v>2504</v>
      </c>
      <c r="E564" s="143" t="s">
        <v>2504</v>
      </c>
      <c r="F564" s="143" t="s">
        <v>387</v>
      </c>
      <c r="G564" s="143" t="s">
        <v>2504</v>
      </c>
      <c r="H564" s="143" t="s">
        <v>2504</v>
      </c>
      <c r="I564" s="143" t="s">
        <v>2504</v>
      </c>
      <c r="J564" s="143" t="s">
        <v>2504</v>
      </c>
      <c r="K564" s="143" t="s">
        <v>2504</v>
      </c>
      <c r="L564" s="143" t="s">
        <v>2504</v>
      </c>
      <c r="M564" s="143" t="s">
        <v>2504</v>
      </c>
      <c r="N564" s="143" t="s">
        <v>2504</v>
      </c>
      <c r="O564" s="143" t="s">
        <v>2504</v>
      </c>
      <c r="P564" s="143" t="s">
        <v>2504</v>
      </c>
      <c r="Q564" s="148" t="s">
        <v>719</v>
      </c>
      <c r="R564" s="148" t="s">
        <v>705</v>
      </c>
      <c r="S564" s="148" t="s">
        <v>713</v>
      </c>
      <c r="T564" s="149">
        <v>170</v>
      </c>
      <c r="U564" s="241" t="s">
        <v>591</v>
      </c>
      <c r="V564" s="150">
        <v>18740.310000000001</v>
      </c>
      <c r="W564" s="151">
        <v>21784.97</v>
      </c>
    </row>
    <row r="565" spans="1:23" ht="15" customHeight="1" x14ac:dyDescent="0.25">
      <c r="A565" s="148">
        <v>587</v>
      </c>
      <c r="B565" s="148" t="s">
        <v>384</v>
      </c>
      <c r="C565" s="143" t="s">
        <v>2504</v>
      </c>
      <c r="D565" s="143" t="s">
        <v>2504</v>
      </c>
      <c r="E565" s="143" t="s">
        <v>2504</v>
      </c>
      <c r="F565" s="143" t="s">
        <v>384</v>
      </c>
      <c r="G565" s="143" t="s">
        <v>2504</v>
      </c>
      <c r="H565" s="143" t="s">
        <v>2504</v>
      </c>
      <c r="I565" s="143" t="s">
        <v>2504</v>
      </c>
      <c r="J565" s="143" t="s">
        <v>2504</v>
      </c>
      <c r="K565" s="143" t="s">
        <v>2504</v>
      </c>
      <c r="L565" s="143" t="s">
        <v>2504</v>
      </c>
      <c r="M565" s="143" t="s">
        <v>2504</v>
      </c>
      <c r="N565" s="143" t="s">
        <v>2504</v>
      </c>
      <c r="O565" s="143" t="s">
        <v>2504</v>
      </c>
      <c r="P565" s="143" t="s">
        <v>2504</v>
      </c>
      <c r="Q565" s="148" t="s">
        <v>890</v>
      </c>
      <c r="R565" s="148" t="s">
        <v>705</v>
      </c>
      <c r="S565" s="148" t="s">
        <v>713</v>
      </c>
      <c r="T565" s="149">
        <v>3.5</v>
      </c>
      <c r="U565" s="241" t="s">
        <v>591</v>
      </c>
      <c r="V565" s="150">
        <v>399.03</v>
      </c>
      <c r="W565" s="151">
        <v>23306.79</v>
      </c>
    </row>
    <row r="566" spans="1:23" ht="15" customHeight="1" x14ac:dyDescent="0.25">
      <c r="A566" s="148">
        <v>590</v>
      </c>
      <c r="B566" s="148" t="s">
        <v>525</v>
      </c>
      <c r="C566" s="143" t="s">
        <v>2504</v>
      </c>
      <c r="D566" s="143" t="s">
        <v>2504</v>
      </c>
      <c r="E566" s="143" t="s">
        <v>2504</v>
      </c>
      <c r="F566" s="143" t="s">
        <v>525</v>
      </c>
      <c r="G566" s="143" t="s">
        <v>2504</v>
      </c>
      <c r="H566" s="143" t="s">
        <v>2504</v>
      </c>
      <c r="I566" s="143" t="s">
        <v>2504</v>
      </c>
      <c r="J566" s="143" t="s">
        <v>2504</v>
      </c>
      <c r="K566" s="143" t="s">
        <v>2504</v>
      </c>
      <c r="L566" s="143" t="s">
        <v>2504</v>
      </c>
      <c r="M566" s="143" t="s">
        <v>2504</v>
      </c>
      <c r="N566" s="143" t="s">
        <v>2504</v>
      </c>
      <c r="O566" s="143" t="s">
        <v>2504</v>
      </c>
      <c r="P566" s="143" t="s">
        <v>2504</v>
      </c>
      <c r="Q566" s="148" t="s">
        <v>892</v>
      </c>
      <c r="R566" s="148" t="s">
        <v>705</v>
      </c>
      <c r="S566" s="148" t="s">
        <v>713</v>
      </c>
      <c r="T566" s="149">
        <v>3.5</v>
      </c>
      <c r="U566" s="241" t="s">
        <v>591</v>
      </c>
      <c r="V566" s="150">
        <v>399.81</v>
      </c>
      <c r="W566" s="151">
        <v>20617.39</v>
      </c>
    </row>
    <row r="567" spans="1:23" ht="15" customHeight="1" x14ac:dyDescent="0.25">
      <c r="A567" s="148">
        <v>1287</v>
      </c>
      <c r="B567" s="148" t="s">
        <v>391</v>
      </c>
      <c r="C567" s="143" t="s">
        <v>2504</v>
      </c>
      <c r="D567" s="143" t="s">
        <v>2504</v>
      </c>
      <c r="E567" s="143" t="s">
        <v>2504</v>
      </c>
      <c r="F567" s="143" t="s">
        <v>391</v>
      </c>
      <c r="G567" s="143" t="s">
        <v>2504</v>
      </c>
      <c r="H567" s="143" t="s">
        <v>2504</v>
      </c>
      <c r="I567" s="143" t="s">
        <v>2504</v>
      </c>
      <c r="J567" s="143" t="s">
        <v>2504</v>
      </c>
      <c r="K567" s="143" t="s">
        <v>2504</v>
      </c>
      <c r="L567" s="143" t="s">
        <v>2504</v>
      </c>
      <c r="M567" s="143" t="s">
        <v>2504</v>
      </c>
      <c r="N567" s="143" t="s">
        <v>2504</v>
      </c>
      <c r="O567" s="143" t="s">
        <v>2504</v>
      </c>
      <c r="P567" s="143" t="s">
        <v>2504</v>
      </c>
      <c r="Q567" s="148" t="s">
        <v>1080</v>
      </c>
      <c r="R567" s="148" t="s">
        <v>705</v>
      </c>
      <c r="S567" s="148" t="s">
        <v>1081</v>
      </c>
      <c r="T567" s="149">
        <v>3.5</v>
      </c>
      <c r="U567" s="241" t="s">
        <v>591</v>
      </c>
      <c r="V567" s="150">
        <v>414.69</v>
      </c>
      <c r="W567" s="151">
        <v>21409.22</v>
      </c>
    </row>
    <row r="568" spans="1:23" ht="15" customHeight="1" x14ac:dyDescent="0.25">
      <c r="A568" s="148">
        <v>1288</v>
      </c>
      <c r="B568" s="148" t="s">
        <v>392</v>
      </c>
      <c r="C568" s="143" t="s">
        <v>2504</v>
      </c>
      <c r="D568" s="143" t="s">
        <v>2504</v>
      </c>
      <c r="E568" s="143" t="s">
        <v>2504</v>
      </c>
      <c r="F568" s="143" t="s">
        <v>392</v>
      </c>
      <c r="G568" s="143" t="s">
        <v>2504</v>
      </c>
      <c r="H568" s="143" t="s">
        <v>2504</v>
      </c>
      <c r="I568" s="143" t="s">
        <v>2504</v>
      </c>
      <c r="J568" s="143" t="s">
        <v>2504</v>
      </c>
      <c r="K568" s="143" t="s">
        <v>2504</v>
      </c>
      <c r="L568" s="143" t="s">
        <v>2504</v>
      </c>
      <c r="M568" s="143" t="s">
        <v>2504</v>
      </c>
      <c r="N568" s="143" t="s">
        <v>2504</v>
      </c>
      <c r="O568" s="143" t="s">
        <v>2504</v>
      </c>
      <c r="P568" s="143" t="s">
        <v>2504</v>
      </c>
      <c r="Q568" s="148" t="s">
        <v>1082</v>
      </c>
      <c r="R568" s="148" t="s">
        <v>705</v>
      </c>
      <c r="S568" s="148" t="s">
        <v>1081</v>
      </c>
      <c r="T568" s="149">
        <v>16</v>
      </c>
      <c r="U568" s="241" t="s">
        <v>591</v>
      </c>
      <c r="V568" s="150">
        <v>1806.8</v>
      </c>
      <c r="W568" s="151">
        <v>22936.62</v>
      </c>
    </row>
    <row r="569" spans="1:23" ht="15" customHeight="1" x14ac:dyDescent="0.25">
      <c r="A569" s="148">
        <v>1289</v>
      </c>
      <c r="B569" s="148" t="s">
        <v>393</v>
      </c>
      <c r="C569" s="143" t="s">
        <v>2504</v>
      </c>
      <c r="D569" s="143" t="s">
        <v>2504</v>
      </c>
      <c r="E569" s="143" t="s">
        <v>2504</v>
      </c>
      <c r="F569" s="143" t="s">
        <v>393</v>
      </c>
      <c r="G569" s="143" t="s">
        <v>2504</v>
      </c>
      <c r="H569" s="143" t="s">
        <v>2504</v>
      </c>
      <c r="I569" s="143" t="s">
        <v>2504</v>
      </c>
      <c r="J569" s="143" t="s">
        <v>2504</v>
      </c>
      <c r="K569" s="143" t="s">
        <v>2504</v>
      </c>
      <c r="L569" s="143" t="s">
        <v>2504</v>
      </c>
      <c r="M569" s="143" t="s">
        <v>2504</v>
      </c>
      <c r="N569" s="143" t="s">
        <v>2504</v>
      </c>
      <c r="O569" s="143" t="s">
        <v>2504</v>
      </c>
      <c r="P569" s="143" t="s">
        <v>2504</v>
      </c>
      <c r="Q569" s="148" t="s">
        <v>1083</v>
      </c>
      <c r="R569" s="148" t="s">
        <v>705</v>
      </c>
      <c r="S569" s="148" t="s">
        <v>1081</v>
      </c>
      <c r="T569" s="149">
        <v>170</v>
      </c>
      <c r="U569" s="241" t="s">
        <v>591</v>
      </c>
      <c r="V569" s="150">
        <v>19463.45</v>
      </c>
      <c r="W569" s="151">
        <v>24243.77</v>
      </c>
    </row>
    <row r="570" spans="1:23" ht="15" customHeight="1" x14ac:dyDescent="0.25">
      <c r="A570" s="148">
        <v>1292</v>
      </c>
      <c r="B570" s="148" t="s">
        <v>390</v>
      </c>
      <c r="C570" s="143" t="s">
        <v>2504</v>
      </c>
      <c r="D570" s="143" t="s">
        <v>2504</v>
      </c>
      <c r="E570" s="143" t="s">
        <v>2504</v>
      </c>
      <c r="F570" s="143" t="s">
        <v>390</v>
      </c>
      <c r="G570" s="143" t="s">
        <v>2504</v>
      </c>
      <c r="H570" s="143" t="s">
        <v>2504</v>
      </c>
      <c r="I570" s="143" t="s">
        <v>2504</v>
      </c>
      <c r="J570" s="143" t="s">
        <v>2504</v>
      </c>
      <c r="K570" s="143" t="s">
        <v>2504</v>
      </c>
      <c r="L570" s="143" t="s">
        <v>2504</v>
      </c>
      <c r="M570" s="143" t="s">
        <v>2504</v>
      </c>
      <c r="N570" s="143" t="s">
        <v>2504</v>
      </c>
      <c r="O570" s="143" t="s">
        <v>2504</v>
      </c>
      <c r="P570" s="143" t="s">
        <v>2504</v>
      </c>
      <c r="Q570" s="148" t="s">
        <v>1084</v>
      </c>
      <c r="R570" s="148" t="s">
        <v>705</v>
      </c>
      <c r="S570" s="148" t="s">
        <v>1081</v>
      </c>
      <c r="T570" s="149">
        <v>0.85</v>
      </c>
      <c r="U570" s="241" t="s">
        <v>591</v>
      </c>
      <c r="V570" s="150">
        <v>106.91</v>
      </c>
      <c r="W570" s="151">
        <v>20791.07</v>
      </c>
    </row>
    <row r="571" spans="1:23" ht="15" customHeight="1" x14ac:dyDescent="0.25">
      <c r="A571" s="148">
        <v>1294</v>
      </c>
      <c r="B571" s="148" t="s">
        <v>389</v>
      </c>
      <c r="C571" s="143" t="s">
        <v>2504</v>
      </c>
      <c r="D571" s="143" t="s">
        <v>2504</v>
      </c>
      <c r="E571" s="143" t="s">
        <v>2504</v>
      </c>
      <c r="F571" s="143" t="s">
        <v>389</v>
      </c>
      <c r="G571" s="143" t="s">
        <v>2504</v>
      </c>
      <c r="H571" s="143" t="s">
        <v>2504</v>
      </c>
      <c r="I571" s="143" t="s">
        <v>2504</v>
      </c>
      <c r="J571" s="143" t="s">
        <v>2504</v>
      </c>
      <c r="K571" s="143" t="s">
        <v>2504</v>
      </c>
      <c r="L571" s="143" t="s">
        <v>2504</v>
      </c>
      <c r="M571" s="143" t="s">
        <v>2504</v>
      </c>
      <c r="N571" s="143" t="s">
        <v>2504</v>
      </c>
      <c r="O571" s="143" t="s">
        <v>2504</v>
      </c>
      <c r="P571" s="143" t="s">
        <v>2504</v>
      </c>
      <c r="Q571" s="148" t="s">
        <v>1087</v>
      </c>
      <c r="R571" s="148" t="s">
        <v>705</v>
      </c>
      <c r="S571" s="148" t="s">
        <v>1081</v>
      </c>
      <c r="T571" s="149">
        <v>0.42500000000000004</v>
      </c>
      <c r="U571" s="241" t="s">
        <v>591</v>
      </c>
      <c r="V571" s="150">
        <v>60.32</v>
      </c>
      <c r="W571" s="151">
        <v>21683.83</v>
      </c>
    </row>
    <row r="572" spans="1:23" ht="15" customHeight="1" x14ac:dyDescent="0.25">
      <c r="A572" s="148">
        <v>1295</v>
      </c>
      <c r="B572" s="148" t="s">
        <v>388</v>
      </c>
      <c r="C572" s="143" t="s">
        <v>2504</v>
      </c>
      <c r="D572" s="143" t="s">
        <v>2504</v>
      </c>
      <c r="E572" s="143" t="s">
        <v>2504</v>
      </c>
      <c r="F572" s="143" t="s">
        <v>388</v>
      </c>
      <c r="G572" s="143" t="s">
        <v>2504</v>
      </c>
      <c r="H572" s="143" t="s">
        <v>2504</v>
      </c>
      <c r="I572" s="143" t="s">
        <v>2504</v>
      </c>
      <c r="J572" s="143" t="s">
        <v>2504</v>
      </c>
      <c r="K572" s="143" t="s">
        <v>2504</v>
      </c>
      <c r="L572" s="143" t="s">
        <v>2504</v>
      </c>
      <c r="M572" s="143" t="s">
        <v>2504</v>
      </c>
      <c r="N572" s="143" t="s">
        <v>2504</v>
      </c>
      <c r="O572" s="143" t="s">
        <v>2504</v>
      </c>
      <c r="P572" s="143" t="s">
        <v>2504</v>
      </c>
      <c r="Q572" s="148" t="s">
        <v>1088</v>
      </c>
      <c r="R572" s="148" t="s">
        <v>705</v>
      </c>
      <c r="S572" s="148" t="s">
        <v>1081</v>
      </c>
      <c r="T572" s="149">
        <v>0.25</v>
      </c>
      <c r="U572" s="241" t="s">
        <v>591</v>
      </c>
      <c r="V572" s="150">
        <v>35.19</v>
      </c>
      <c r="W572" s="151">
        <v>23115.71</v>
      </c>
    </row>
    <row r="573" spans="1:23" ht="15" customHeight="1" x14ac:dyDescent="0.25">
      <c r="A573" s="148">
        <v>235</v>
      </c>
      <c r="B573" s="148" t="s">
        <v>394</v>
      </c>
      <c r="C573" s="143" t="s">
        <v>2504</v>
      </c>
      <c r="D573" s="143" t="s">
        <v>2504</v>
      </c>
      <c r="E573" s="143" t="s">
        <v>2504</v>
      </c>
      <c r="F573" s="143" t="s">
        <v>394</v>
      </c>
      <c r="G573" s="143" t="s">
        <v>2504</v>
      </c>
      <c r="H573" s="143" t="s">
        <v>2504</v>
      </c>
      <c r="I573" s="143" t="s">
        <v>2504</v>
      </c>
      <c r="J573" s="143" t="s">
        <v>2504</v>
      </c>
      <c r="K573" s="143" t="s">
        <v>2504</v>
      </c>
      <c r="L573" s="143" t="s">
        <v>2504</v>
      </c>
      <c r="M573" s="143" t="s">
        <v>2504</v>
      </c>
      <c r="N573" s="143" t="s">
        <v>2504</v>
      </c>
      <c r="O573" s="143" t="s">
        <v>2504</v>
      </c>
      <c r="P573" s="143" t="s">
        <v>2504</v>
      </c>
      <c r="Q573" s="148" t="s">
        <v>704</v>
      </c>
      <c r="R573" s="148" t="s">
        <v>705</v>
      </c>
      <c r="S573" s="148" t="s">
        <v>706</v>
      </c>
      <c r="T573" s="149">
        <v>0.25</v>
      </c>
      <c r="U573" s="241" t="s">
        <v>591</v>
      </c>
      <c r="V573" s="150">
        <v>34.17</v>
      </c>
      <c r="W573" s="151">
        <v>21122.36</v>
      </c>
    </row>
    <row r="574" spans="1:23" ht="15" customHeight="1" x14ac:dyDescent="0.25">
      <c r="A574" s="148">
        <v>236</v>
      </c>
      <c r="B574" s="148" t="s">
        <v>395</v>
      </c>
      <c r="C574" s="143" t="s">
        <v>2504</v>
      </c>
      <c r="D574" s="143" t="s">
        <v>2504</v>
      </c>
      <c r="E574" s="143" t="s">
        <v>2504</v>
      </c>
      <c r="F574" s="143" t="s">
        <v>395</v>
      </c>
      <c r="G574" s="143" t="s">
        <v>2504</v>
      </c>
      <c r="H574" s="143" t="s">
        <v>2504</v>
      </c>
      <c r="I574" s="143" t="s">
        <v>2504</v>
      </c>
      <c r="J574" s="143" t="s">
        <v>2504</v>
      </c>
      <c r="K574" s="143" t="s">
        <v>2504</v>
      </c>
      <c r="L574" s="143" t="s">
        <v>2504</v>
      </c>
      <c r="M574" s="143" t="s">
        <v>2504</v>
      </c>
      <c r="N574" s="143" t="s">
        <v>2504</v>
      </c>
      <c r="O574" s="143" t="s">
        <v>2504</v>
      </c>
      <c r="P574" s="143" t="s">
        <v>2504</v>
      </c>
      <c r="Q574" s="148" t="s">
        <v>707</v>
      </c>
      <c r="R574" s="148" t="s">
        <v>705</v>
      </c>
      <c r="S574" s="148" t="s">
        <v>706</v>
      </c>
      <c r="T574" s="149">
        <v>0.42500000000000004</v>
      </c>
      <c r="U574" s="241" t="s">
        <v>591</v>
      </c>
      <c r="V574" s="150">
        <v>56.58</v>
      </c>
      <c r="W574" s="151">
        <v>21279.42</v>
      </c>
    </row>
    <row r="575" spans="1:23" ht="15" customHeight="1" x14ac:dyDescent="0.25">
      <c r="A575" s="148">
        <v>237</v>
      </c>
      <c r="B575" s="148" t="s">
        <v>396</v>
      </c>
      <c r="C575" s="143" t="s">
        <v>2504</v>
      </c>
      <c r="D575" s="143" t="s">
        <v>2504</v>
      </c>
      <c r="E575" s="143" t="s">
        <v>2504</v>
      </c>
      <c r="F575" s="143" t="s">
        <v>396</v>
      </c>
      <c r="G575" s="143" t="s">
        <v>2504</v>
      </c>
      <c r="H575" s="143" t="s">
        <v>2504</v>
      </c>
      <c r="I575" s="143" t="s">
        <v>2504</v>
      </c>
      <c r="J575" s="143" t="s">
        <v>2504</v>
      </c>
      <c r="K575" s="143" t="s">
        <v>2504</v>
      </c>
      <c r="L575" s="143" t="s">
        <v>2504</v>
      </c>
      <c r="M575" s="143" t="s">
        <v>2504</v>
      </c>
      <c r="N575" s="143" t="s">
        <v>2504</v>
      </c>
      <c r="O575" s="143" t="s">
        <v>2504</v>
      </c>
      <c r="P575" s="143" t="s">
        <v>2504</v>
      </c>
      <c r="Q575" s="148" t="s">
        <v>708</v>
      </c>
      <c r="R575" s="148" t="s">
        <v>705</v>
      </c>
      <c r="S575" s="148" t="s">
        <v>706</v>
      </c>
      <c r="T575" s="149">
        <v>0.85</v>
      </c>
      <c r="U575" s="241" t="s">
        <v>591</v>
      </c>
      <c r="V575" s="150">
        <v>103.42</v>
      </c>
      <c r="W575" s="151">
        <v>21333.9</v>
      </c>
    </row>
    <row r="576" spans="1:23" ht="15" customHeight="1" x14ac:dyDescent="0.25">
      <c r="A576" s="148">
        <v>240</v>
      </c>
      <c r="B576" s="148" t="s">
        <v>397</v>
      </c>
      <c r="C576" s="143" t="s">
        <v>2504</v>
      </c>
      <c r="D576" s="143" t="s">
        <v>2504</v>
      </c>
      <c r="E576" s="143" t="s">
        <v>2504</v>
      </c>
      <c r="F576" s="143" t="s">
        <v>397</v>
      </c>
      <c r="G576" s="143" t="s">
        <v>2504</v>
      </c>
      <c r="H576" s="143" t="s">
        <v>2504</v>
      </c>
      <c r="I576" s="143" t="s">
        <v>2504</v>
      </c>
      <c r="J576" s="143" t="s">
        <v>2504</v>
      </c>
      <c r="K576" s="143" t="s">
        <v>2504</v>
      </c>
      <c r="L576" s="143" t="s">
        <v>2504</v>
      </c>
      <c r="M576" s="143" t="s">
        <v>2504</v>
      </c>
      <c r="N576" s="143" t="s">
        <v>2504</v>
      </c>
      <c r="O576" s="143" t="s">
        <v>2504</v>
      </c>
      <c r="P576" s="143" t="s">
        <v>2504</v>
      </c>
      <c r="Q576" s="148" t="s">
        <v>709</v>
      </c>
      <c r="R576" s="148" t="s">
        <v>705</v>
      </c>
      <c r="S576" s="148" t="s">
        <v>706</v>
      </c>
      <c r="T576" s="149">
        <v>16</v>
      </c>
      <c r="U576" s="241" t="s">
        <v>591</v>
      </c>
      <c r="V576" s="150">
        <v>1740.67</v>
      </c>
      <c r="W576" s="151">
        <v>21346.6</v>
      </c>
    </row>
    <row r="577" spans="1:23" ht="15" customHeight="1" x14ac:dyDescent="0.25">
      <c r="A577" s="148">
        <v>242</v>
      </c>
      <c r="B577" s="148" t="s">
        <v>398</v>
      </c>
      <c r="C577" s="143" t="s">
        <v>2504</v>
      </c>
      <c r="D577" s="143" t="s">
        <v>2504</v>
      </c>
      <c r="E577" s="143" t="s">
        <v>2504</v>
      </c>
      <c r="F577" s="143" t="s">
        <v>398</v>
      </c>
      <c r="G577" s="143" t="s">
        <v>2504</v>
      </c>
      <c r="H577" s="143" t="s">
        <v>2504</v>
      </c>
      <c r="I577" s="143" t="s">
        <v>2504</v>
      </c>
      <c r="J577" s="143" t="s">
        <v>2504</v>
      </c>
      <c r="K577" s="143" t="s">
        <v>2504</v>
      </c>
      <c r="L577" s="143" t="s">
        <v>2504</v>
      </c>
      <c r="M577" s="143" t="s">
        <v>2504</v>
      </c>
      <c r="N577" s="143" t="s">
        <v>2504</v>
      </c>
      <c r="O577" s="143" t="s">
        <v>2504</v>
      </c>
      <c r="P577" s="143" t="s">
        <v>2504</v>
      </c>
      <c r="Q577" s="148" t="s">
        <v>710</v>
      </c>
      <c r="R577" s="148" t="s">
        <v>705</v>
      </c>
      <c r="S577" s="148" t="s">
        <v>706</v>
      </c>
      <c r="T577" s="149">
        <v>170</v>
      </c>
      <c r="U577" s="241" t="s">
        <v>591</v>
      </c>
      <c r="V577" s="150">
        <v>18765.650000000001</v>
      </c>
      <c r="W577" s="151">
        <v>21400.98</v>
      </c>
    </row>
    <row r="578" spans="1:23" ht="15" customHeight="1" x14ac:dyDescent="0.25">
      <c r="A578" s="148">
        <v>585</v>
      </c>
      <c r="B578" s="148" t="s">
        <v>399</v>
      </c>
      <c r="C578" s="143" t="s">
        <v>2504</v>
      </c>
      <c r="D578" s="143" t="s">
        <v>2504</v>
      </c>
      <c r="E578" s="143" t="s">
        <v>2504</v>
      </c>
      <c r="F578" s="143" t="s">
        <v>399</v>
      </c>
      <c r="G578" s="143" t="s">
        <v>2504</v>
      </c>
      <c r="H578" s="143" t="s">
        <v>2504</v>
      </c>
      <c r="I578" s="143" t="s">
        <v>2504</v>
      </c>
      <c r="J578" s="143" t="s">
        <v>2504</v>
      </c>
      <c r="K578" s="143" t="s">
        <v>2504</v>
      </c>
      <c r="L578" s="143" t="s">
        <v>2504</v>
      </c>
      <c r="M578" s="143" t="s">
        <v>2504</v>
      </c>
      <c r="N578" s="143" t="s">
        <v>2504</v>
      </c>
      <c r="O578" s="143" t="s">
        <v>2504</v>
      </c>
      <c r="P578" s="143" t="s">
        <v>2504</v>
      </c>
      <c r="Q578" s="148" t="s">
        <v>887</v>
      </c>
      <c r="R578" s="148" t="s">
        <v>705</v>
      </c>
      <c r="S578" s="148" t="s">
        <v>706</v>
      </c>
      <c r="T578" s="149">
        <v>3.5</v>
      </c>
      <c r="U578" s="241" t="s">
        <v>591</v>
      </c>
      <c r="V578" s="150">
        <v>400.32</v>
      </c>
      <c r="W578" s="151">
        <v>21345.79</v>
      </c>
    </row>
    <row r="579" spans="1:23" ht="15" customHeight="1" x14ac:dyDescent="0.25">
      <c r="A579" s="148">
        <v>593</v>
      </c>
      <c r="B579" s="148" t="s">
        <v>406</v>
      </c>
      <c r="C579" s="143" t="s">
        <v>2504</v>
      </c>
      <c r="D579" s="143" t="s">
        <v>2504</v>
      </c>
      <c r="E579" s="143" t="s">
        <v>2504</v>
      </c>
      <c r="F579" s="143" t="s">
        <v>406</v>
      </c>
      <c r="G579" s="143" t="s">
        <v>2504</v>
      </c>
      <c r="H579" s="143" t="s">
        <v>2504</v>
      </c>
      <c r="I579" s="143" t="s">
        <v>2504</v>
      </c>
      <c r="J579" s="143" t="s">
        <v>2504</v>
      </c>
      <c r="K579" s="143" t="s">
        <v>2504</v>
      </c>
      <c r="L579" s="143" t="s">
        <v>2504</v>
      </c>
      <c r="M579" s="143" t="s">
        <v>2504</v>
      </c>
      <c r="N579" s="143" t="s">
        <v>2504</v>
      </c>
      <c r="O579" s="143" t="s">
        <v>2504</v>
      </c>
      <c r="P579" s="143" t="s">
        <v>2504</v>
      </c>
      <c r="Q579" s="148" t="s">
        <v>893</v>
      </c>
      <c r="R579" s="148" t="s">
        <v>705</v>
      </c>
      <c r="S579" s="148" t="s">
        <v>894</v>
      </c>
      <c r="T579" s="149">
        <v>0.25</v>
      </c>
      <c r="U579" s="241" t="s">
        <v>591</v>
      </c>
      <c r="V579" s="150">
        <v>41.57</v>
      </c>
      <c r="W579" s="151">
        <v>21648.5</v>
      </c>
    </row>
    <row r="580" spans="1:23" ht="15" customHeight="1" x14ac:dyDescent="0.25">
      <c r="A580" s="148">
        <v>656</v>
      </c>
      <c r="B580" s="148" t="s">
        <v>408</v>
      </c>
      <c r="C580" s="143" t="s">
        <v>2504</v>
      </c>
      <c r="D580" s="143" t="s">
        <v>2504</v>
      </c>
      <c r="E580" s="143" t="s">
        <v>2504</v>
      </c>
      <c r="F580" s="143" t="s">
        <v>408</v>
      </c>
      <c r="G580" s="143" t="s">
        <v>2504</v>
      </c>
      <c r="H580" s="143" t="s">
        <v>2504</v>
      </c>
      <c r="I580" s="143" t="s">
        <v>2504</v>
      </c>
      <c r="J580" s="143" t="s">
        <v>2504</v>
      </c>
      <c r="K580" s="143" t="s">
        <v>2504</v>
      </c>
      <c r="L580" s="143" t="s">
        <v>2504</v>
      </c>
      <c r="M580" s="143" t="s">
        <v>2504</v>
      </c>
      <c r="N580" s="143" t="s">
        <v>2504</v>
      </c>
      <c r="O580" s="143" t="s">
        <v>2504</v>
      </c>
      <c r="P580" s="143" t="s">
        <v>2504</v>
      </c>
      <c r="Q580" s="148" t="s">
        <v>931</v>
      </c>
      <c r="R580" s="148" t="s">
        <v>705</v>
      </c>
      <c r="S580" s="148" t="s">
        <v>894</v>
      </c>
      <c r="T580" s="149">
        <v>16</v>
      </c>
      <c r="U580" s="241" t="s">
        <v>591</v>
      </c>
      <c r="V580" s="150">
        <v>2214.59</v>
      </c>
      <c r="W580" s="151">
        <v>21725.279999999999</v>
      </c>
    </row>
    <row r="581" spans="1:23" ht="15" customHeight="1" x14ac:dyDescent="0.25">
      <c r="A581" s="148">
        <v>738</v>
      </c>
      <c r="B581" s="148" t="s">
        <v>407</v>
      </c>
      <c r="C581" s="143" t="s">
        <v>2504</v>
      </c>
      <c r="D581" s="143" t="s">
        <v>2504</v>
      </c>
      <c r="E581" s="143" t="s">
        <v>2504</v>
      </c>
      <c r="F581" s="143" t="s">
        <v>407</v>
      </c>
      <c r="G581" s="143" t="s">
        <v>2504</v>
      </c>
      <c r="H581" s="143" t="s">
        <v>2504</v>
      </c>
      <c r="I581" s="143" t="s">
        <v>2504</v>
      </c>
      <c r="J581" s="143" t="s">
        <v>2504</v>
      </c>
      <c r="K581" s="143" t="s">
        <v>2504</v>
      </c>
      <c r="L581" s="143" t="s">
        <v>2504</v>
      </c>
      <c r="M581" s="143" t="s">
        <v>2504</v>
      </c>
      <c r="N581" s="143" t="s">
        <v>2504</v>
      </c>
      <c r="O581" s="143" t="s">
        <v>2504</v>
      </c>
      <c r="P581" s="143" t="s">
        <v>2504</v>
      </c>
      <c r="Q581" s="148" t="s">
        <v>952</v>
      </c>
      <c r="R581" s="148" t="s">
        <v>705</v>
      </c>
      <c r="S581" s="148" t="s">
        <v>894</v>
      </c>
      <c r="T581" s="149">
        <v>0.42500000000000004</v>
      </c>
      <c r="U581" s="241" t="s">
        <v>591</v>
      </c>
      <c r="V581" s="150">
        <v>69.17</v>
      </c>
      <c r="W581" s="151">
        <v>76561.19</v>
      </c>
    </row>
    <row r="582" spans="1:23" ht="15" customHeight="1" x14ac:dyDescent="0.25">
      <c r="A582" s="148">
        <v>781</v>
      </c>
      <c r="B582" s="148" t="s">
        <v>527</v>
      </c>
      <c r="C582" s="143" t="s">
        <v>2504</v>
      </c>
      <c r="D582" s="143" t="s">
        <v>2504</v>
      </c>
      <c r="E582" s="143" t="s">
        <v>2504</v>
      </c>
      <c r="F582" s="143" t="s">
        <v>527</v>
      </c>
      <c r="G582" s="143" t="s">
        <v>2504</v>
      </c>
      <c r="H582" s="143" t="s">
        <v>2504</v>
      </c>
      <c r="I582" s="143" t="s">
        <v>2504</v>
      </c>
      <c r="J582" s="143" t="s">
        <v>2504</v>
      </c>
      <c r="K582" s="143" t="s">
        <v>2504</v>
      </c>
      <c r="L582" s="143" t="s">
        <v>2504</v>
      </c>
      <c r="M582" s="143" t="s">
        <v>2504</v>
      </c>
      <c r="N582" s="143" t="s">
        <v>2504</v>
      </c>
      <c r="O582" s="143" t="s">
        <v>2504</v>
      </c>
      <c r="P582" s="143" t="s">
        <v>2504</v>
      </c>
      <c r="Q582" s="148" t="s">
        <v>969</v>
      </c>
      <c r="R582" s="148" t="s">
        <v>705</v>
      </c>
      <c r="S582" s="148" t="s">
        <v>894</v>
      </c>
      <c r="T582" s="149">
        <v>170</v>
      </c>
      <c r="U582" s="241" t="s">
        <v>591</v>
      </c>
      <c r="V582" s="150">
        <v>23800.959999999999</v>
      </c>
      <c r="W582" s="151">
        <v>94230.06</v>
      </c>
    </row>
    <row r="583" spans="1:23" ht="15" customHeight="1" x14ac:dyDescent="0.25">
      <c r="A583" s="148">
        <v>8</v>
      </c>
      <c r="B583" s="148" t="s">
        <v>420</v>
      </c>
      <c r="C583" s="143" t="s">
        <v>2504</v>
      </c>
      <c r="D583" s="143" t="s">
        <v>2504</v>
      </c>
      <c r="E583" s="143" t="s">
        <v>2504</v>
      </c>
      <c r="F583" s="143" t="s">
        <v>2504</v>
      </c>
      <c r="G583" s="143" t="s">
        <v>420</v>
      </c>
      <c r="H583" s="143" t="s">
        <v>2504</v>
      </c>
      <c r="I583" s="143" t="s">
        <v>2504</v>
      </c>
      <c r="J583" s="143" t="s">
        <v>2504</v>
      </c>
      <c r="K583" s="143" t="s">
        <v>2504</v>
      </c>
      <c r="L583" s="143" t="s">
        <v>2504</v>
      </c>
      <c r="M583" s="143" t="s">
        <v>2504</v>
      </c>
      <c r="N583" s="143" t="s">
        <v>2504</v>
      </c>
      <c r="O583" s="143" t="s">
        <v>2504</v>
      </c>
      <c r="P583" s="143" t="s">
        <v>2504</v>
      </c>
      <c r="Q583" s="148" t="s">
        <v>588</v>
      </c>
      <c r="R583" s="148" t="s">
        <v>589</v>
      </c>
      <c r="S583" s="148" t="s">
        <v>590</v>
      </c>
      <c r="T583" s="149">
        <v>0.95</v>
      </c>
      <c r="U583" s="241" t="s">
        <v>591</v>
      </c>
      <c r="V583" s="150">
        <v>44.44</v>
      </c>
      <c r="W583" s="151">
        <v>72949.210000000006</v>
      </c>
    </row>
    <row r="584" spans="1:23" ht="15" customHeight="1" x14ac:dyDescent="0.25">
      <c r="A584" s="148">
        <v>674</v>
      </c>
      <c r="B584" s="148" t="s">
        <v>421</v>
      </c>
      <c r="C584" s="143" t="s">
        <v>2504</v>
      </c>
      <c r="D584" s="143" t="s">
        <v>2504</v>
      </c>
      <c r="E584" s="143" t="s">
        <v>2504</v>
      </c>
      <c r="F584" s="143" t="s">
        <v>2504</v>
      </c>
      <c r="G584" s="143" t="s">
        <v>421</v>
      </c>
      <c r="H584" s="143" t="s">
        <v>2504</v>
      </c>
      <c r="I584" s="143" t="s">
        <v>2504</v>
      </c>
      <c r="J584" s="143" t="s">
        <v>2504</v>
      </c>
      <c r="K584" s="143" t="s">
        <v>2504</v>
      </c>
      <c r="L584" s="143" t="s">
        <v>2504</v>
      </c>
      <c r="M584" s="143" t="s">
        <v>2504</v>
      </c>
      <c r="N584" s="143" t="s">
        <v>2504</v>
      </c>
      <c r="O584" s="143" t="s">
        <v>2504</v>
      </c>
      <c r="P584" s="143" t="s">
        <v>2504</v>
      </c>
      <c r="Q584" s="148" t="s">
        <v>938</v>
      </c>
      <c r="R584" s="148" t="s">
        <v>589</v>
      </c>
      <c r="S584" s="148" t="s">
        <v>590</v>
      </c>
      <c r="T584" s="149">
        <v>19</v>
      </c>
      <c r="U584" s="241" t="s">
        <v>591</v>
      </c>
      <c r="V584" s="150">
        <v>912.64</v>
      </c>
      <c r="W584" s="151">
        <v>78311.63</v>
      </c>
    </row>
    <row r="585" spans="1:23" ht="15" customHeight="1" x14ac:dyDescent="0.25">
      <c r="A585" s="148">
        <v>1098</v>
      </c>
      <c r="B585" s="148" t="s">
        <v>422</v>
      </c>
      <c r="C585" s="143" t="s">
        <v>2504</v>
      </c>
      <c r="D585" s="143" t="s">
        <v>2504</v>
      </c>
      <c r="E585" s="143" t="s">
        <v>2504</v>
      </c>
      <c r="F585" s="143" t="s">
        <v>2504</v>
      </c>
      <c r="G585" s="143" t="s">
        <v>422</v>
      </c>
      <c r="H585" s="143" t="s">
        <v>2504</v>
      </c>
      <c r="I585" s="143" t="s">
        <v>2504</v>
      </c>
      <c r="J585" s="143" t="s">
        <v>2504</v>
      </c>
      <c r="K585" s="143" t="s">
        <v>2504</v>
      </c>
      <c r="L585" s="143" t="s">
        <v>2504</v>
      </c>
      <c r="M585" s="143" t="s">
        <v>2504</v>
      </c>
      <c r="N585" s="143" t="s">
        <v>2504</v>
      </c>
      <c r="O585" s="143" t="s">
        <v>2504</v>
      </c>
      <c r="P585" s="143" t="s">
        <v>2504</v>
      </c>
      <c r="Q585" s="148" t="s">
        <v>1031</v>
      </c>
      <c r="R585" s="148" t="s">
        <v>589</v>
      </c>
      <c r="S585" s="148" t="s">
        <v>590</v>
      </c>
      <c r="T585" s="149">
        <v>200</v>
      </c>
      <c r="U585" s="241" t="s">
        <v>591</v>
      </c>
      <c r="V585" s="150">
        <v>9109.77</v>
      </c>
      <c r="W585" s="151">
        <v>83238.759999999995</v>
      </c>
    </row>
    <row r="586" spans="1:23" ht="15" customHeight="1" x14ac:dyDescent="0.25">
      <c r="A586" s="148">
        <v>16083</v>
      </c>
      <c r="B586" s="148" t="s">
        <v>419</v>
      </c>
      <c r="C586" s="143" t="s">
        <v>2504</v>
      </c>
      <c r="D586" s="143" t="s">
        <v>2504</v>
      </c>
      <c r="E586" s="143" t="s">
        <v>2504</v>
      </c>
      <c r="F586" s="143" t="s">
        <v>2504</v>
      </c>
      <c r="G586" s="143" t="s">
        <v>419</v>
      </c>
      <c r="H586" s="143" t="s">
        <v>2504</v>
      </c>
      <c r="I586" s="143" t="s">
        <v>2504</v>
      </c>
      <c r="J586" s="143" t="s">
        <v>2504</v>
      </c>
      <c r="K586" s="143" t="s">
        <v>2504</v>
      </c>
      <c r="L586" s="143" t="s">
        <v>2504</v>
      </c>
      <c r="M586" s="143" t="s">
        <v>2504</v>
      </c>
      <c r="N586" s="143" t="s">
        <v>2504</v>
      </c>
      <c r="O586" s="143" t="s">
        <v>2504</v>
      </c>
      <c r="P586" s="143" t="s">
        <v>2504</v>
      </c>
      <c r="Q586" s="148" t="s">
        <v>2141</v>
      </c>
      <c r="R586" s="148" t="s">
        <v>589</v>
      </c>
      <c r="S586" s="148" t="s">
        <v>590</v>
      </c>
      <c r="T586" s="149">
        <v>3.7850000000000001</v>
      </c>
      <c r="U586" s="241" t="s">
        <v>591</v>
      </c>
      <c r="V586" s="150">
        <v>174.2</v>
      </c>
      <c r="W586" s="151">
        <v>21469.64</v>
      </c>
    </row>
    <row r="587" spans="1:23" ht="15" customHeight="1" x14ac:dyDescent="0.25">
      <c r="A587" s="148">
        <v>16031</v>
      </c>
      <c r="B587" s="148" t="s">
        <v>425</v>
      </c>
      <c r="C587" s="143" t="s">
        <v>2504</v>
      </c>
      <c r="D587" s="143" t="s">
        <v>2504</v>
      </c>
      <c r="E587" s="143" t="s">
        <v>2504</v>
      </c>
      <c r="F587" s="143" t="s">
        <v>2504</v>
      </c>
      <c r="G587" s="143" t="s">
        <v>425</v>
      </c>
      <c r="H587" s="143" t="s">
        <v>2504</v>
      </c>
      <c r="I587" s="143" t="s">
        <v>2504</v>
      </c>
      <c r="J587" s="143" t="s">
        <v>2504</v>
      </c>
      <c r="K587" s="143" t="s">
        <v>2504</v>
      </c>
      <c r="L587" s="143" t="s">
        <v>2504</v>
      </c>
      <c r="M587" s="143" t="s">
        <v>2504</v>
      </c>
      <c r="N587" s="143" t="s">
        <v>2504</v>
      </c>
      <c r="O587" s="143" t="s">
        <v>2504</v>
      </c>
      <c r="P587" s="143" t="s">
        <v>2504</v>
      </c>
      <c r="Q587" s="148" t="s">
        <v>2077</v>
      </c>
      <c r="R587" s="148" t="s">
        <v>589</v>
      </c>
      <c r="S587" s="148" t="s">
        <v>627</v>
      </c>
      <c r="T587" s="149">
        <v>0.95</v>
      </c>
      <c r="U587" s="241" t="s">
        <v>591</v>
      </c>
      <c r="V587" s="150">
        <v>66.459999999999994</v>
      </c>
      <c r="W587" s="151">
        <v>22931.34</v>
      </c>
    </row>
    <row r="588" spans="1:23" ht="15" customHeight="1" x14ac:dyDescent="0.25">
      <c r="A588" s="148">
        <v>16033</v>
      </c>
      <c r="B588" s="148" t="s">
        <v>423</v>
      </c>
      <c r="C588" s="143" t="s">
        <v>2504</v>
      </c>
      <c r="D588" s="143" t="s">
        <v>2504</v>
      </c>
      <c r="E588" s="143" t="s">
        <v>2504</v>
      </c>
      <c r="F588" s="143" t="s">
        <v>2504</v>
      </c>
      <c r="G588" s="143" t="s">
        <v>423</v>
      </c>
      <c r="H588" s="143" t="s">
        <v>2504</v>
      </c>
      <c r="I588" s="143" t="s">
        <v>2504</v>
      </c>
      <c r="J588" s="143" t="s">
        <v>2504</v>
      </c>
      <c r="K588" s="143" t="s">
        <v>2504</v>
      </c>
      <c r="L588" s="143" t="s">
        <v>2504</v>
      </c>
      <c r="M588" s="143" t="s">
        <v>2504</v>
      </c>
      <c r="N588" s="143" t="s">
        <v>2504</v>
      </c>
      <c r="O588" s="143" t="s">
        <v>2504</v>
      </c>
      <c r="P588" s="143" t="s">
        <v>2504</v>
      </c>
      <c r="Q588" s="148" t="s">
        <v>2080</v>
      </c>
      <c r="R588" s="148" t="s">
        <v>589</v>
      </c>
      <c r="S588" s="148" t="s">
        <v>627</v>
      </c>
      <c r="T588" s="149">
        <v>19</v>
      </c>
      <c r="U588" s="241" t="s">
        <v>591</v>
      </c>
      <c r="V588" s="150">
        <v>1361.22</v>
      </c>
      <c r="W588" s="151">
        <v>24211.37</v>
      </c>
    </row>
    <row r="589" spans="1:23" ht="15" customHeight="1" x14ac:dyDescent="0.25">
      <c r="A589" s="148">
        <v>16034</v>
      </c>
      <c r="B589" s="148" t="s">
        <v>424</v>
      </c>
      <c r="C589" s="143" t="s">
        <v>2504</v>
      </c>
      <c r="D589" s="143" t="s">
        <v>2504</v>
      </c>
      <c r="E589" s="143" t="s">
        <v>2504</v>
      </c>
      <c r="F589" s="143" t="s">
        <v>2504</v>
      </c>
      <c r="G589" s="143" t="s">
        <v>424</v>
      </c>
      <c r="H589" s="143" t="s">
        <v>2504</v>
      </c>
      <c r="I589" s="143" t="s">
        <v>2504</v>
      </c>
      <c r="J589" s="143" t="s">
        <v>2504</v>
      </c>
      <c r="K589" s="143" t="s">
        <v>2504</v>
      </c>
      <c r="L589" s="143" t="s">
        <v>2504</v>
      </c>
      <c r="M589" s="143" t="s">
        <v>2504</v>
      </c>
      <c r="N589" s="143" t="s">
        <v>2504</v>
      </c>
      <c r="O589" s="143" t="s">
        <v>2504</v>
      </c>
      <c r="P589" s="143" t="s">
        <v>2504</v>
      </c>
      <c r="Q589" s="148" t="s">
        <v>2081</v>
      </c>
      <c r="R589" s="148" t="s">
        <v>589</v>
      </c>
      <c r="S589" s="148" t="s">
        <v>627</v>
      </c>
      <c r="T589" s="149">
        <v>200</v>
      </c>
      <c r="U589" s="241" t="s">
        <v>591</v>
      </c>
      <c r="V589" s="150">
        <v>13801.68</v>
      </c>
      <c r="W589" s="151">
        <v>23954.39</v>
      </c>
    </row>
    <row r="590" spans="1:23" ht="15" customHeight="1" x14ac:dyDescent="0.25">
      <c r="A590" s="148">
        <v>16081</v>
      </c>
      <c r="B590" s="148" t="s">
        <v>426</v>
      </c>
      <c r="C590" s="143" t="s">
        <v>2504</v>
      </c>
      <c r="D590" s="143" t="s">
        <v>2504</v>
      </c>
      <c r="E590" s="143" t="s">
        <v>2504</v>
      </c>
      <c r="F590" s="143" t="s">
        <v>2504</v>
      </c>
      <c r="G590" s="143" t="s">
        <v>426</v>
      </c>
      <c r="H590" s="143" t="s">
        <v>2504</v>
      </c>
      <c r="I590" s="143" t="s">
        <v>2504</v>
      </c>
      <c r="J590" s="143" t="s">
        <v>2504</v>
      </c>
      <c r="K590" s="143" t="s">
        <v>2504</v>
      </c>
      <c r="L590" s="143" t="s">
        <v>2504</v>
      </c>
      <c r="M590" s="143" t="s">
        <v>2504</v>
      </c>
      <c r="N590" s="143" t="s">
        <v>2504</v>
      </c>
      <c r="O590" s="143" t="s">
        <v>2504</v>
      </c>
      <c r="P590" s="143" t="s">
        <v>2504</v>
      </c>
      <c r="Q590" s="148" t="s">
        <v>2139</v>
      </c>
      <c r="R590" s="148" t="s">
        <v>589</v>
      </c>
      <c r="S590" s="148" t="s">
        <v>627</v>
      </c>
      <c r="T590" s="149">
        <v>3.7850000000000001</v>
      </c>
      <c r="U590" s="241" t="s">
        <v>591</v>
      </c>
      <c r="V590" s="150">
        <v>263.70999999999998</v>
      </c>
      <c r="W590" s="151">
        <v>84647.33</v>
      </c>
    </row>
    <row r="591" spans="1:23" ht="15" customHeight="1" x14ac:dyDescent="0.25">
      <c r="A591" s="148">
        <v>640</v>
      </c>
      <c r="B591" s="148" t="s">
        <v>538</v>
      </c>
      <c r="C591" s="143" t="s">
        <v>2504</v>
      </c>
      <c r="D591" s="143" t="s">
        <v>2504</v>
      </c>
      <c r="E591" s="143" t="s">
        <v>2504</v>
      </c>
      <c r="F591" s="143" t="s">
        <v>2504</v>
      </c>
      <c r="G591" s="143" t="s">
        <v>538</v>
      </c>
      <c r="H591" s="143" t="s">
        <v>2504</v>
      </c>
      <c r="I591" s="143" t="s">
        <v>2504</v>
      </c>
      <c r="J591" s="143" t="s">
        <v>2504</v>
      </c>
      <c r="K591" s="143" t="s">
        <v>2504</v>
      </c>
      <c r="L591" s="143" t="s">
        <v>2504</v>
      </c>
      <c r="M591" s="143" t="s">
        <v>2504</v>
      </c>
      <c r="N591" s="143" t="s">
        <v>2504</v>
      </c>
      <c r="O591" s="143" t="s">
        <v>2504</v>
      </c>
      <c r="P591" s="143" t="s">
        <v>2504</v>
      </c>
      <c r="Q591" s="148" t="s">
        <v>921</v>
      </c>
      <c r="R591" s="148" t="s">
        <v>589</v>
      </c>
      <c r="S591" s="148" t="s">
        <v>922</v>
      </c>
      <c r="T591" s="149">
        <v>200</v>
      </c>
      <c r="U591" s="241" t="s">
        <v>591</v>
      </c>
      <c r="V591" s="150">
        <v>10551.6</v>
      </c>
      <c r="W591" s="151">
        <v>92924.12</v>
      </c>
    </row>
    <row r="592" spans="1:23" ht="15" customHeight="1" x14ac:dyDescent="0.25">
      <c r="A592" s="148">
        <v>641</v>
      </c>
      <c r="B592" s="148" t="s">
        <v>569</v>
      </c>
      <c r="C592" s="143" t="s">
        <v>2504</v>
      </c>
      <c r="D592" s="143" t="s">
        <v>2504</v>
      </c>
      <c r="E592" s="143" t="s">
        <v>2504</v>
      </c>
      <c r="F592" s="143" t="s">
        <v>2504</v>
      </c>
      <c r="G592" s="143" t="s">
        <v>569</v>
      </c>
      <c r="H592" s="143" t="s">
        <v>2504</v>
      </c>
      <c r="I592" s="143" t="s">
        <v>2504</v>
      </c>
      <c r="J592" s="143" t="s">
        <v>2504</v>
      </c>
      <c r="K592" s="143" t="s">
        <v>2504</v>
      </c>
      <c r="L592" s="143" t="s">
        <v>2504</v>
      </c>
      <c r="M592" s="143" t="s">
        <v>2504</v>
      </c>
      <c r="N592" s="143" t="s">
        <v>2504</v>
      </c>
      <c r="O592" s="143" t="s">
        <v>2504</v>
      </c>
      <c r="P592" s="143" t="s">
        <v>2504</v>
      </c>
      <c r="Q592" s="148" t="s">
        <v>923</v>
      </c>
      <c r="R592" s="148" t="s">
        <v>589</v>
      </c>
      <c r="S592" s="148" t="s">
        <v>922</v>
      </c>
      <c r="T592" s="149">
        <v>1</v>
      </c>
      <c r="U592" s="241" t="s">
        <v>591</v>
      </c>
      <c r="V592" s="150">
        <v>47.41</v>
      </c>
      <c r="W592" s="151">
        <v>109617.16</v>
      </c>
    </row>
    <row r="593" spans="1:23" ht="15" customHeight="1" x14ac:dyDescent="0.25">
      <c r="A593" s="148">
        <v>16</v>
      </c>
      <c r="B593" s="148" t="s">
        <v>428</v>
      </c>
      <c r="C593" s="143" t="s">
        <v>2504</v>
      </c>
      <c r="D593" s="143" t="s">
        <v>2504</v>
      </c>
      <c r="E593" s="143" t="s">
        <v>2504</v>
      </c>
      <c r="F593" s="143" t="s">
        <v>2504</v>
      </c>
      <c r="G593" s="143" t="s">
        <v>428</v>
      </c>
      <c r="H593" s="143" t="s">
        <v>2504</v>
      </c>
      <c r="I593" s="143" t="s">
        <v>2504</v>
      </c>
      <c r="J593" s="143" t="s">
        <v>2504</v>
      </c>
      <c r="K593" s="143" t="s">
        <v>2504</v>
      </c>
      <c r="L593" s="143" t="s">
        <v>2504</v>
      </c>
      <c r="M593" s="143" t="s">
        <v>2504</v>
      </c>
      <c r="N593" s="143" t="s">
        <v>2504</v>
      </c>
      <c r="O593" s="143" t="s">
        <v>2504</v>
      </c>
      <c r="P593" s="143" t="s">
        <v>2504</v>
      </c>
      <c r="Q593" s="148" t="s">
        <v>597</v>
      </c>
      <c r="R593" s="148" t="s">
        <v>589</v>
      </c>
      <c r="S593" s="148" t="s">
        <v>598</v>
      </c>
      <c r="T593" s="149">
        <v>0.95</v>
      </c>
      <c r="U593" s="241" t="s">
        <v>591</v>
      </c>
      <c r="V593" s="150">
        <v>54.36</v>
      </c>
      <c r="W593" s="151">
        <v>99315.9</v>
      </c>
    </row>
    <row r="594" spans="1:23" ht="15" customHeight="1" x14ac:dyDescent="0.25">
      <c r="A594" s="148">
        <v>632</v>
      </c>
      <c r="B594" s="148" t="s">
        <v>429</v>
      </c>
      <c r="C594" s="143" t="s">
        <v>2504</v>
      </c>
      <c r="D594" s="143" t="s">
        <v>2504</v>
      </c>
      <c r="E594" s="143" t="s">
        <v>2504</v>
      </c>
      <c r="F594" s="143" t="s">
        <v>2504</v>
      </c>
      <c r="G594" s="143" t="s">
        <v>429</v>
      </c>
      <c r="H594" s="143" t="s">
        <v>2504</v>
      </c>
      <c r="I594" s="143" t="s">
        <v>2504</v>
      </c>
      <c r="J594" s="143" t="s">
        <v>2504</v>
      </c>
      <c r="K594" s="143" t="s">
        <v>2504</v>
      </c>
      <c r="L594" s="143" t="s">
        <v>2504</v>
      </c>
      <c r="M594" s="143" t="s">
        <v>2504</v>
      </c>
      <c r="N594" s="143" t="s">
        <v>2504</v>
      </c>
      <c r="O594" s="143" t="s">
        <v>2504</v>
      </c>
      <c r="P594" s="143" t="s">
        <v>2504</v>
      </c>
      <c r="Q594" s="148" t="s">
        <v>907</v>
      </c>
      <c r="R594" s="148" t="s">
        <v>589</v>
      </c>
      <c r="S594" s="148" t="s">
        <v>598</v>
      </c>
      <c r="T594" s="149">
        <v>19</v>
      </c>
      <c r="U594" s="241" t="s">
        <v>591</v>
      </c>
      <c r="V594" s="150">
        <v>1116.44</v>
      </c>
      <c r="W594" s="151">
        <v>67543.56</v>
      </c>
    </row>
    <row r="595" spans="1:23" ht="15" customHeight="1" x14ac:dyDescent="0.25">
      <c r="A595" s="148">
        <v>639</v>
      </c>
      <c r="B595" s="148" t="s">
        <v>430</v>
      </c>
      <c r="C595" s="143" t="s">
        <v>2504</v>
      </c>
      <c r="D595" s="143" t="s">
        <v>2504</v>
      </c>
      <c r="E595" s="143" t="s">
        <v>2504</v>
      </c>
      <c r="F595" s="143" t="s">
        <v>2504</v>
      </c>
      <c r="G595" s="143" t="s">
        <v>430</v>
      </c>
      <c r="H595" s="143" t="s">
        <v>2504</v>
      </c>
      <c r="I595" s="143" t="s">
        <v>2504</v>
      </c>
      <c r="J595" s="143" t="s">
        <v>2504</v>
      </c>
      <c r="K595" s="143" t="s">
        <v>2504</v>
      </c>
      <c r="L595" s="143" t="s">
        <v>2504</v>
      </c>
      <c r="M595" s="143" t="s">
        <v>2504</v>
      </c>
      <c r="N595" s="143" t="s">
        <v>2504</v>
      </c>
      <c r="O595" s="143" t="s">
        <v>2504</v>
      </c>
      <c r="P595" s="143" t="s">
        <v>2504</v>
      </c>
      <c r="Q595" s="148" t="s">
        <v>920</v>
      </c>
      <c r="R595" s="148" t="s">
        <v>589</v>
      </c>
      <c r="S595" s="148" t="s">
        <v>598</v>
      </c>
      <c r="T595" s="149">
        <v>200</v>
      </c>
      <c r="U595" s="241" t="s">
        <v>591</v>
      </c>
      <c r="V595" s="150">
        <v>11251.27</v>
      </c>
      <c r="W595" s="151">
        <v>68242.649999999994</v>
      </c>
    </row>
    <row r="596" spans="1:23" ht="15" customHeight="1" x14ac:dyDescent="0.25">
      <c r="A596" s="148">
        <v>16082</v>
      </c>
      <c r="B596" s="148" t="s">
        <v>427</v>
      </c>
      <c r="C596" s="143" t="s">
        <v>2504</v>
      </c>
      <c r="D596" s="143" t="s">
        <v>2504</v>
      </c>
      <c r="E596" s="143" t="s">
        <v>2504</v>
      </c>
      <c r="F596" s="143" t="s">
        <v>2504</v>
      </c>
      <c r="G596" s="143" t="s">
        <v>427</v>
      </c>
      <c r="H596" s="143" t="s">
        <v>2504</v>
      </c>
      <c r="I596" s="143" t="s">
        <v>2504</v>
      </c>
      <c r="J596" s="143" t="s">
        <v>2504</v>
      </c>
      <c r="K596" s="143" t="s">
        <v>2504</v>
      </c>
      <c r="L596" s="143" t="s">
        <v>2504</v>
      </c>
      <c r="M596" s="143" t="s">
        <v>2504</v>
      </c>
      <c r="N596" s="143" t="s">
        <v>2504</v>
      </c>
      <c r="O596" s="143" t="s">
        <v>2504</v>
      </c>
      <c r="P596" s="143" t="s">
        <v>2504</v>
      </c>
      <c r="Q596" s="148" t="s">
        <v>2140</v>
      </c>
      <c r="R596" s="148" t="s">
        <v>589</v>
      </c>
      <c r="S596" s="148" t="s">
        <v>598</v>
      </c>
      <c r="T596" s="149">
        <v>3.7850000000000001</v>
      </c>
      <c r="U596" s="241" t="s">
        <v>591</v>
      </c>
      <c r="V596" s="150">
        <v>215.22</v>
      </c>
      <c r="W596" s="151">
        <v>22447.47</v>
      </c>
    </row>
    <row r="597" spans="1:23" ht="15" customHeight="1" x14ac:dyDescent="0.25">
      <c r="A597" s="148">
        <v>417</v>
      </c>
      <c r="B597" s="148" t="s">
        <v>433</v>
      </c>
      <c r="C597" s="143" t="s">
        <v>2504</v>
      </c>
      <c r="D597" s="143" t="s">
        <v>2504</v>
      </c>
      <c r="E597" s="143" t="s">
        <v>2504</v>
      </c>
      <c r="F597" s="143" t="s">
        <v>2504</v>
      </c>
      <c r="G597" s="143" t="s">
        <v>433</v>
      </c>
      <c r="H597" s="143" t="s">
        <v>2504</v>
      </c>
      <c r="I597" s="143" t="s">
        <v>2504</v>
      </c>
      <c r="J597" s="143" t="s">
        <v>2504</v>
      </c>
      <c r="K597" s="143" t="s">
        <v>2504</v>
      </c>
      <c r="L597" s="143" t="s">
        <v>2504</v>
      </c>
      <c r="M597" s="143" t="s">
        <v>2504</v>
      </c>
      <c r="N597" s="143" t="s">
        <v>2504</v>
      </c>
      <c r="O597" s="143" t="s">
        <v>2504</v>
      </c>
      <c r="P597" s="143" t="s">
        <v>2504</v>
      </c>
      <c r="Q597" s="148" t="s">
        <v>798</v>
      </c>
      <c r="R597" s="148" t="s">
        <v>589</v>
      </c>
      <c r="S597" s="148" t="s">
        <v>797</v>
      </c>
      <c r="T597" s="149">
        <v>200</v>
      </c>
      <c r="U597" s="241" t="s">
        <v>591</v>
      </c>
      <c r="V597" s="150">
        <v>11259.49</v>
      </c>
      <c r="W597" s="151">
        <v>24442.66</v>
      </c>
    </row>
    <row r="598" spans="1:23" ht="15" customHeight="1" x14ac:dyDescent="0.25">
      <c r="A598" s="148">
        <v>419</v>
      </c>
      <c r="B598" s="148" t="s">
        <v>432</v>
      </c>
      <c r="C598" s="143" t="s">
        <v>2504</v>
      </c>
      <c r="D598" s="143" t="s">
        <v>2504</v>
      </c>
      <c r="E598" s="143" t="s">
        <v>2504</v>
      </c>
      <c r="F598" s="143" t="s">
        <v>2504</v>
      </c>
      <c r="G598" s="143" t="s">
        <v>432</v>
      </c>
      <c r="H598" s="143" t="s">
        <v>2504</v>
      </c>
      <c r="I598" s="143" t="s">
        <v>2504</v>
      </c>
      <c r="J598" s="143" t="s">
        <v>2504</v>
      </c>
      <c r="K598" s="143" t="s">
        <v>2504</v>
      </c>
      <c r="L598" s="143" t="s">
        <v>2504</v>
      </c>
      <c r="M598" s="143" t="s">
        <v>2504</v>
      </c>
      <c r="N598" s="143" t="s">
        <v>2504</v>
      </c>
      <c r="O598" s="143" t="s">
        <v>2504</v>
      </c>
      <c r="P598" s="143" t="s">
        <v>2504</v>
      </c>
      <c r="Q598" s="148" t="s">
        <v>799</v>
      </c>
      <c r="R598" s="148" t="s">
        <v>589</v>
      </c>
      <c r="S598" s="148" t="s">
        <v>797</v>
      </c>
      <c r="T598" s="149">
        <v>19</v>
      </c>
      <c r="U598" s="241" t="s">
        <v>591</v>
      </c>
      <c r="V598" s="150">
        <v>1123.6400000000001</v>
      </c>
      <c r="W598" s="151">
        <v>26404.06</v>
      </c>
    </row>
    <row r="599" spans="1:23" ht="15" customHeight="1" x14ac:dyDescent="0.25">
      <c r="A599" s="148">
        <v>421</v>
      </c>
      <c r="B599" s="148" t="s">
        <v>537</v>
      </c>
      <c r="C599" s="143" t="s">
        <v>2504</v>
      </c>
      <c r="D599" s="143" t="s">
        <v>2504</v>
      </c>
      <c r="E599" s="143" t="s">
        <v>2504</v>
      </c>
      <c r="F599" s="143" t="s">
        <v>2504</v>
      </c>
      <c r="G599" s="143" t="s">
        <v>537</v>
      </c>
      <c r="H599" s="143" t="s">
        <v>2504</v>
      </c>
      <c r="I599" s="143" t="s">
        <v>2504</v>
      </c>
      <c r="J599" s="143" t="s">
        <v>2504</v>
      </c>
      <c r="K599" s="143" t="s">
        <v>2504</v>
      </c>
      <c r="L599" s="143" t="s">
        <v>2504</v>
      </c>
      <c r="M599" s="143" t="s">
        <v>2504</v>
      </c>
      <c r="N599" s="143" t="s">
        <v>2504</v>
      </c>
      <c r="O599" s="143" t="s">
        <v>2504</v>
      </c>
      <c r="P599" s="143" t="s">
        <v>2504</v>
      </c>
      <c r="Q599" s="148" t="s">
        <v>800</v>
      </c>
      <c r="R599" s="148" t="s">
        <v>589</v>
      </c>
      <c r="S599" s="148" t="s">
        <v>797</v>
      </c>
      <c r="T599" s="149">
        <v>3.7850000000000001</v>
      </c>
      <c r="U599" s="241" t="s">
        <v>591</v>
      </c>
      <c r="V599" s="150">
        <v>241.4</v>
      </c>
      <c r="W599" s="151">
        <v>28613.8</v>
      </c>
    </row>
    <row r="600" spans="1:23" ht="15" customHeight="1" x14ac:dyDescent="0.25">
      <c r="A600" s="148">
        <v>16029</v>
      </c>
      <c r="B600" s="148" t="s">
        <v>431</v>
      </c>
      <c r="C600" s="143" t="s">
        <v>2504</v>
      </c>
      <c r="D600" s="143" t="s">
        <v>2504</v>
      </c>
      <c r="E600" s="143" t="s">
        <v>2504</v>
      </c>
      <c r="F600" s="143" t="s">
        <v>2504</v>
      </c>
      <c r="G600" s="143" t="s">
        <v>431</v>
      </c>
      <c r="H600" s="143" t="s">
        <v>2504</v>
      </c>
      <c r="I600" s="143" t="s">
        <v>2504</v>
      </c>
      <c r="J600" s="143" t="s">
        <v>2504</v>
      </c>
      <c r="K600" s="143" t="s">
        <v>2504</v>
      </c>
      <c r="L600" s="143" t="s">
        <v>2504</v>
      </c>
      <c r="M600" s="143" t="s">
        <v>2504</v>
      </c>
      <c r="N600" s="143" t="s">
        <v>2504</v>
      </c>
      <c r="O600" s="143" t="s">
        <v>2504</v>
      </c>
      <c r="P600" s="143" t="s">
        <v>2504</v>
      </c>
      <c r="Q600" s="148" t="s">
        <v>2074</v>
      </c>
      <c r="R600" s="148" t="s">
        <v>589</v>
      </c>
      <c r="S600" s="148" t="s">
        <v>2071</v>
      </c>
      <c r="T600" s="149">
        <v>200</v>
      </c>
      <c r="U600" s="241" t="s">
        <v>591</v>
      </c>
      <c r="V600" s="150">
        <v>17765.03</v>
      </c>
      <c r="W600" s="151">
        <v>36899.85</v>
      </c>
    </row>
    <row r="601" spans="1:23" ht="15" customHeight="1" x14ac:dyDescent="0.25">
      <c r="A601" s="148">
        <v>16303</v>
      </c>
      <c r="B601" s="148" t="s">
        <v>534</v>
      </c>
      <c r="C601" s="143" t="s">
        <v>2504</v>
      </c>
      <c r="D601" s="143" t="s">
        <v>2504</v>
      </c>
      <c r="E601" s="143" t="s">
        <v>2504</v>
      </c>
      <c r="F601" s="143" t="s">
        <v>2504</v>
      </c>
      <c r="G601" s="143" t="s">
        <v>534</v>
      </c>
      <c r="H601" s="143" t="s">
        <v>2504</v>
      </c>
      <c r="I601" s="143" t="s">
        <v>2504</v>
      </c>
      <c r="J601" s="143" t="s">
        <v>2504</v>
      </c>
      <c r="K601" s="143" t="s">
        <v>2504</v>
      </c>
      <c r="L601" s="143" t="s">
        <v>2504</v>
      </c>
      <c r="M601" s="143" t="s">
        <v>2504</v>
      </c>
      <c r="N601" s="143" t="s">
        <v>2504</v>
      </c>
      <c r="O601" s="143" t="s">
        <v>2504</v>
      </c>
      <c r="P601" s="143" t="s">
        <v>2504</v>
      </c>
      <c r="Q601" s="148" t="s">
        <v>2211</v>
      </c>
      <c r="R601" s="148" t="s">
        <v>589</v>
      </c>
      <c r="S601" s="148" t="s">
        <v>2071</v>
      </c>
      <c r="T601" s="149">
        <v>3.7850000000000001</v>
      </c>
      <c r="U601" s="241" t="s">
        <v>591</v>
      </c>
      <c r="V601" s="150">
        <v>353.79</v>
      </c>
      <c r="W601" s="151">
        <v>22596.959999999999</v>
      </c>
    </row>
    <row r="602" spans="1:23" ht="15" customHeight="1" x14ac:dyDescent="0.25">
      <c r="A602" s="148">
        <v>16604</v>
      </c>
      <c r="B602" s="148" t="s">
        <v>535</v>
      </c>
      <c r="C602" s="143" t="s">
        <v>2504</v>
      </c>
      <c r="D602" s="143" t="s">
        <v>2504</v>
      </c>
      <c r="E602" s="143" t="s">
        <v>2504</v>
      </c>
      <c r="F602" s="143" t="s">
        <v>2504</v>
      </c>
      <c r="G602" s="143" t="s">
        <v>535</v>
      </c>
      <c r="H602" s="143" t="s">
        <v>2504</v>
      </c>
      <c r="I602" s="143" t="s">
        <v>2504</v>
      </c>
      <c r="J602" s="143" t="s">
        <v>2504</v>
      </c>
      <c r="K602" s="143" t="s">
        <v>2504</v>
      </c>
      <c r="L602" s="143" t="s">
        <v>2504</v>
      </c>
      <c r="M602" s="143" t="s">
        <v>2504</v>
      </c>
      <c r="N602" s="143" t="s">
        <v>2504</v>
      </c>
      <c r="O602" s="143" t="s">
        <v>2504</v>
      </c>
      <c r="P602" s="143" t="s">
        <v>2504</v>
      </c>
      <c r="Q602" s="148" t="s">
        <v>2277</v>
      </c>
      <c r="R602" s="148" t="s">
        <v>589</v>
      </c>
      <c r="S602" s="148" t="s">
        <v>2071</v>
      </c>
      <c r="T602" s="149">
        <v>19</v>
      </c>
      <c r="U602" s="241" t="s">
        <v>591</v>
      </c>
      <c r="V602" s="150">
        <v>1732.13</v>
      </c>
      <c r="W602" s="151">
        <v>22871.3</v>
      </c>
    </row>
    <row r="603" spans="1:23" ht="15" customHeight="1" x14ac:dyDescent="0.25">
      <c r="A603" s="148">
        <v>16705</v>
      </c>
      <c r="B603" s="148" t="s">
        <v>536</v>
      </c>
      <c r="C603" s="143" t="s">
        <v>2504</v>
      </c>
      <c r="D603" s="143" t="s">
        <v>2504</v>
      </c>
      <c r="E603" s="143" t="s">
        <v>2504</v>
      </c>
      <c r="F603" s="143" t="s">
        <v>2504</v>
      </c>
      <c r="G603" s="143" t="s">
        <v>536</v>
      </c>
      <c r="H603" s="143" t="s">
        <v>2504</v>
      </c>
      <c r="I603" s="143" t="s">
        <v>2504</v>
      </c>
      <c r="J603" s="143" t="s">
        <v>2504</v>
      </c>
      <c r="K603" s="143" t="s">
        <v>2504</v>
      </c>
      <c r="L603" s="143" t="s">
        <v>2504</v>
      </c>
      <c r="M603" s="143" t="s">
        <v>2504</v>
      </c>
      <c r="N603" s="143" t="s">
        <v>2504</v>
      </c>
      <c r="O603" s="143" t="s">
        <v>2504</v>
      </c>
      <c r="P603" s="143" t="s">
        <v>2504</v>
      </c>
      <c r="Q603" s="148" t="s">
        <v>2302</v>
      </c>
      <c r="R603" s="148" t="s">
        <v>589</v>
      </c>
      <c r="S603" s="148" t="s">
        <v>2071</v>
      </c>
      <c r="T603" s="149">
        <v>200</v>
      </c>
      <c r="U603" s="241" t="s">
        <v>591</v>
      </c>
      <c r="V603" s="150">
        <v>18032.54</v>
      </c>
      <c r="W603" s="151">
        <v>24647.59</v>
      </c>
    </row>
    <row r="604" spans="1:23" ht="15" customHeight="1" x14ac:dyDescent="0.25">
      <c r="A604" s="148">
        <v>1815</v>
      </c>
      <c r="B604" s="148" t="s">
        <v>414</v>
      </c>
      <c r="C604" s="143" t="s">
        <v>2504</v>
      </c>
      <c r="D604" s="143" t="s">
        <v>2504</v>
      </c>
      <c r="E604" s="143" t="s">
        <v>2504</v>
      </c>
      <c r="F604" s="143" t="s">
        <v>2504</v>
      </c>
      <c r="G604" s="143" t="s">
        <v>414</v>
      </c>
      <c r="H604" s="143" t="s">
        <v>2504</v>
      </c>
      <c r="I604" s="143" t="s">
        <v>2504</v>
      </c>
      <c r="J604" s="143" t="s">
        <v>2504</v>
      </c>
      <c r="K604" s="143" t="s">
        <v>2504</v>
      </c>
      <c r="L604" s="143" t="s">
        <v>2504</v>
      </c>
      <c r="M604" s="143" t="s">
        <v>2504</v>
      </c>
      <c r="N604" s="143" t="s">
        <v>2504</v>
      </c>
      <c r="O604" s="143" t="s">
        <v>2504</v>
      </c>
      <c r="P604" s="143" t="s">
        <v>2504</v>
      </c>
      <c r="Q604" s="148" t="s">
        <v>1095</v>
      </c>
      <c r="R604" s="148" t="s">
        <v>600</v>
      </c>
      <c r="S604" s="148" t="s">
        <v>1096</v>
      </c>
      <c r="T604" s="149">
        <v>0.25</v>
      </c>
      <c r="U604" s="241" t="s">
        <v>591</v>
      </c>
      <c r="V604" s="150">
        <v>48.2</v>
      </c>
      <c r="W604" s="151">
        <v>20881.310000000001</v>
      </c>
    </row>
    <row r="605" spans="1:23" ht="15" customHeight="1" x14ac:dyDescent="0.25">
      <c r="A605" s="148">
        <v>17</v>
      </c>
      <c r="B605" s="148" t="s">
        <v>440</v>
      </c>
      <c r="C605" s="143" t="s">
        <v>2504</v>
      </c>
      <c r="D605" s="143" t="s">
        <v>2504</v>
      </c>
      <c r="E605" s="143" t="s">
        <v>2504</v>
      </c>
      <c r="F605" s="143" t="s">
        <v>2504</v>
      </c>
      <c r="G605" s="143" t="s">
        <v>440</v>
      </c>
      <c r="H605" s="143" t="s">
        <v>2504</v>
      </c>
      <c r="I605" s="143" t="s">
        <v>2504</v>
      </c>
      <c r="J605" s="143" t="s">
        <v>2504</v>
      </c>
      <c r="K605" s="143" t="s">
        <v>2504</v>
      </c>
      <c r="L605" s="143" t="s">
        <v>2504</v>
      </c>
      <c r="M605" s="143" t="s">
        <v>2504</v>
      </c>
      <c r="N605" s="143" t="s">
        <v>2504</v>
      </c>
      <c r="O605" s="143" t="s">
        <v>2504</v>
      </c>
      <c r="P605" s="143" t="s">
        <v>2504</v>
      </c>
      <c r="Q605" s="148" t="s">
        <v>599</v>
      </c>
      <c r="R605" s="148" t="s">
        <v>600</v>
      </c>
      <c r="S605" s="148" t="s">
        <v>601</v>
      </c>
      <c r="T605" s="149">
        <v>0.95</v>
      </c>
      <c r="U605" s="241" t="s">
        <v>591</v>
      </c>
      <c r="V605" s="150">
        <v>43.26</v>
      </c>
      <c r="W605" s="151">
        <v>21297.47</v>
      </c>
    </row>
    <row r="606" spans="1:23" ht="15" customHeight="1" x14ac:dyDescent="0.25">
      <c r="A606" s="148">
        <v>16404</v>
      </c>
      <c r="B606" s="148" t="s">
        <v>531</v>
      </c>
      <c r="C606" s="143" t="s">
        <v>2504</v>
      </c>
      <c r="D606" s="143" t="s">
        <v>2504</v>
      </c>
      <c r="E606" s="143" t="s">
        <v>2504</v>
      </c>
      <c r="F606" s="143" t="s">
        <v>2504</v>
      </c>
      <c r="G606" s="143" t="s">
        <v>531</v>
      </c>
      <c r="H606" s="143" t="s">
        <v>2504</v>
      </c>
      <c r="I606" s="143" t="s">
        <v>2504</v>
      </c>
      <c r="J606" s="143" t="s">
        <v>2504</v>
      </c>
      <c r="K606" s="143" t="s">
        <v>2504</v>
      </c>
      <c r="L606" s="143" t="s">
        <v>2504</v>
      </c>
      <c r="M606" s="143" t="s">
        <v>2504</v>
      </c>
      <c r="N606" s="143" t="s">
        <v>2504</v>
      </c>
      <c r="O606" s="143" t="s">
        <v>2504</v>
      </c>
      <c r="P606" s="143" t="s">
        <v>2504</v>
      </c>
      <c r="Q606" s="148" t="s">
        <v>2238</v>
      </c>
      <c r="R606" s="148" t="s">
        <v>600</v>
      </c>
      <c r="S606" s="148" t="s">
        <v>2239</v>
      </c>
      <c r="T606" s="149">
        <v>0.5</v>
      </c>
      <c r="U606" s="241" t="s">
        <v>591</v>
      </c>
      <c r="V606" s="150">
        <v>67.319999999999993</v>
      </c>
      <c r="W606" s="151">
        <v>21468.39</v>
      </c>
    </row>
    <row r="607" spans="1:23" ht="15" customHeight="1" x14ac:dyDescent="0.25">
      <c r="A607" s="148">
        <v>1814</v>
      </c>
      <c r="B607" s="148" t="s">
        <v>413</v>
      </c>
      <c r="C607" s="143" t="s">
        <v>2504</v>
      </c>
      <c r="D607" s="143" t="s">
        <v>2504</v>
      </c>
      <c r="E607" s="143" t="s">
        <v>2504</v>
      </c>
      <c r="F607" s="143" t="s">
        <v>2504</v>
      </c>
      <c r="G607" s="143" t="s">
        <v>413</v>
      </c>
      <c r="H607" s="143" t="s">
        <v>2504</v>
      </c>
      <c r="I607" s="143" t="s">
        <v>2504</v>
      </c>
      <c r="J607" s="143" t="s">
        <v>2504</v>
      </c>
      <c r="K607" s="143" t="s">
        <v>2504</v>
      </c>
      <c r="L607" s="143" t="s">
        <v>2504</v>
      </c>
      <c r="M607" s="143" t="s">
        <v>2504</v>
      </c>
      <c r="N607" s="143" t="s">
        <v>2504</v>
      </c>
      <c r="O607" s="143" t="s">
        <v>2504</v>
      </c>
      <c r="P607" s="143" t="s">
        <v>2504</v>
      </c>
      <c r="Q607" s="148" t="s">
        <v>1093</v>
      </c>
      <c r="R607" s="148" t="s">
        <v>600</v>
      </c>
      <c r="S607" s="148" t="s">
        <v>1094</v>
      </c>
      <c r="T607" s="149">
        <v>0.25</v>
      </c>
      <c r="U607" s="241" t="s">
        <v>591</v>
      </c>
      <c r="V607" s="150">
        <v>34.96</v>
      </c>
      <c r="W607" s="151">
        <v>21503.51</v>
      </c>
    </row>
    <row r="608" spans="1:23" ht="15" customHeight="1" x14ac:dyDescent="0.25">
      <c r="A608" s="148">
        <v>16401</v>
      </c>
      <c r="B608" s="148" t="s">
        <v>417</v>
      </c>
      <c r="C608" s="143" t="s">
        <v>2504</v>
      </c>
      <c r="D608" s="143" t="s">
        <v>2504</v>
      </c>
      <c r="E608" s="143" t="s">
        <v>2504</v>
      </c>
      <c r="F608" s="143" t="s">
        <v>2504</v>
      </c>
      <c r="G608" s="143" t="s">
        <v>417</v>
      </c>
      <c r="H608" s="143" t="s">
        <v>2504</v>
      </c>
      <c r="I608" s="143" t="s">
        <v>2504</v>
      </c>
      <c r="J608" s="143" t="s">
        <v>2504</v>
      </c>
      <c r="K608" s="143" t="s">
        <v>2504</v>
      </c>
      <c r="L608" s="143" t="s">
        <v>2504</v>
      </c>
      <c r="M608" s="143" t="s">
        <v>2504</v>
      </c>
      <c r="N608" s="143" t="s">
        <v>2504</v>
      </c>
      <c r="O608" s="143" t="s">
        <v>2504</v>
      </c>
      <c r="P608" s="143" t="s">
        <v>2504</v>
      </c>
      <c r="Q608" s="148" t="s">
        <v>2233</v>
      </c>
      <c r="R608" s="148" t="s">
        <v>600</v>
      </c>
      <c r="S608" s="148" t="s">
        <v>996</v>
      </c>
      <c r="T608" s="149">
        <v>0.5</v>
      </c>
      <c r="U608" s="241" t="s">
        <v>591</v>
      </c>
      <c r="V608" s="150">
        <v>77.88</v>
      </c>
      <c r="W608" s="151">
        <v>21566.51</v>
      </c>
    </row>
    <row r="609" spans="1:23" ht="15" customHeight="1" x14ac:dyDescent="0.25">
      <c r="A609" s="148">
        <v>673</v>
      </c>
      <c r="B609" s="148" t="s">
        <v>439</v>
      </c>
      <c r="C609" s="143" t="s">
        <v>2504</v>
      </c>
      <c r="D609" s="143" t="s">
        <v>2504</v>
      </c>
      <c r="E609" s="143" t="s">
        <v>2504</v>
      </c>
      <c r="F609" s="143" t="s">
        <v>2504</v>
      </c>
      <c r="G609" s="143" t="s">
        <v>439</v>
      </c>
      <c r="H609" s="143" t="s">
        <v>2504</v>
      </c>
      <c r="I609" s="143" t="s">
        <v>2504</v>
      </c>
      <c r="J609" s="143" t="s">
        <v>2504</v>
      </c>
      <c r="K609" s="143" t="s">
        <v>2504</v>
      </c>
      <c r="L609" s="143" t="s">
        <v>2504</v>
      </c>
      <c r="M609" s="143" t="s">
        <v>2504</v>
      </c>
      <c r="N609" s="143" t="s">
        <v>2504</v>
      </c>
      <c r="O609" s="143" t="s">
        <v>2504</v>
      </c>
      <c r="P609" s="143" t="s">
        <v>2504</v>
      </c>
      <c r="Q609" s="148" t="s">
        <v>936</v>
      </c>
      <c r="R609" s="148" t="s">
        <v>600</v>
      </c>
      <c r="S609" s="148" t="s">
        <v>937</v>
      </c>
      <c r="T609" s="149">
        <v>0.35</v>
      </c>
      <c r="U609" s="241" t="s">
        <v>591</v>
      </c>
      <c r="V609" s="150">
        <v>42.47</v>
      </c>
      <c r="W609" s="151">
        <v>74896.34</v>
      </c>
    </row>
    <row r="610" spans="1:23" ht="15" customHeight="1" x14ac:dyDescent="0.25">
      <c r="A610" s="148">
        <v>16402</v>
      </c>
      <c r="B610" s="148" t="s">
        <v>532</v>
      </c>
      <c r="C610" s="143" t="s">
        <v>2504</v>
      </c>
      <c r="D610" s="143" t="s">
        <v>2504</v>
      </c>
      <c r="E610" s="143" t="s">
        <v>2504</v>
      </c>
      <c r="F610" s="143" t="s">
        <v>2504</v>
      </c>
      <c r="G610" s="143" t="s">
        <v>532</v>
      </c>
      <c r="H610" s="143" t="s">
        <v>2504</v>
      </c>
      <c r="I610" s="143" t="s">
        <v>2504</v>
      </c>
      <c r="J610" s="143" t="s">
        <v>2504</v>
      </c>
      <c r="K610" s="143" t="s">
        <v>2504</v>
      </c>
      <c r="L610" s="143" t="s">
        <v>2504</v>
      </c>
      <c r="M610" s="143" t="s">
        <v>2504</v>
      </c>
      <c r="N610" s="143" t="s">
        <v>2504</v>
      </c>
      <c r="O610" s="143" t="s">
        <v>2504</v>
      </c>
      <c r="P610" s="143" t="s">
        <v>2504</v>
      </c>
      <c r="Q610" s="148" t="s">
        <v>2234</v>
      </c>
      <c r="R610" s="148" t="s">
        <v>600</v>
      </c>
      <c r="S610" s="148" t="s">
        <v>2235</v>
      </c>
      <c r="T610" s="149">
        <v>0.5</v>
      </c>
      <c r="U610" s="241" t="s">
        <v>591</v>
      </c>
      <c r="V610" s="150">
        <v>145.71</v>
      </c>
      <c r="W610" s="151">
        <v>58176.86</v>
      </c>
    </row>
    <row r="611" spans="1:23" ht="15" customHeight="1" x14ac:dyDescent="0.25">
      <c r="A611" s="148">
        <v>1816</v>
      </c>
      <c r="B611" s="148" t="s">
        <v>412</v>
      </c>
      <c r="C611" s="143" t="s">
        <v>2504</v>
      </c>
      <c r="D611" s="143" t="s">
        <v>2504</v>
      </c>
      <c r="E611" s="143" t="s">
        <v>2504</v>
      </c>
      <c r="F611" s="143" t="s">
        <v>2504</v>
      </c>
      <c r="G611" s="143" t="s">
        <v>412</v>
      </c>
      <c r="H611" s="143" t="s">
        <v>2504</v>
      </c>
      <c r="I611" s="143" t="s">
        <v>2504</v>
      </c>
      <c r="J611" s="143" t="s">
        <v>2504</v>
      </c>
      <c r="K611" s="143" t="s">
        <v>2504</v>
      </c>
      <c r="L611" s="143" t="s">
        <v>2504</v>
      </c>
      <c r="M611" s="143" t="s">
        <v>2504</v>
      </c>
      <c r="N611" s="143" t="s">
        <v>2504</v>
      </c>
      <c r="O611" s="143" t="s">
        <v>2504</v>
      </c>
      <c r="P611" s="143" t="s">
        <v>2504</v>
      </c>
      <c r="Q611" s="148" t="s">
        <v>1097</v>
      </c>
      <c r="R611" s="148" t="s">
        <v>600</v>
      </c>
      <c r="S611" s="148" t="s">
        <v>650</v>
      </c>
      <c r="T611" s="149">
        <v>0.25</v>
      </c>
      <c r="U611" s="241" t="s">
        <v>591</v>
      </c>
      <c r="V611" s="150">
        <v>34.1</v>
      </c>
      <c r="W611" s="151">
        <v>82481.8</v>
      </c>
    </row>
    <row r="612" spans="1:23" ht="15" customHeight="1" x14ac:dyDescent="0.25">
      <c r="A612" s="148">
        <v>16403</v>
      </c>
      <c r="B612" s="148" t="s">
        <v>533</v>
      </c>
      <c r="C612" s="143" t="s">
        <v>2504</v>
      </c>
      <c r="D612" s="143" t="s">
        <v>2504</v>
      </c>
      <c r="E612" s="143" t="s">
        <v>2504</v>
      </c>
      <c r="F612" s="143" t="s">
        <v>2504</v>
      </c>
      <c r="G612" s="143" t="s">
        <v>533</v>
      </c>
      <c r="H612" s="143" t="s">
        <v>2504</v>
      </c>
      <c r="I612" s="143" t="s">
        <v>2504</v>
      </c>
      <c r="J612" s="143" t="s">
        <v>2504</v>
      </c>
      <c r="K612" s="143" t="s">
        <v>2504</v>
      </c>
      <c r="L612" s="143" t="s">
        <v>2504</v>
      </c>
      <c r="M612" s="143" t="s">
        <v>2504</v>
      </c>
      <c r="N612" s="143" t="s">
        <v>2504</v>
      </c>
      <c r="O612" s="143" t="s">
        <v>2504</v>
      </c>
      <c r="P612" s="143" t="s">
        <v>2504</v>
      </c>
      <c r="Q612" s="148" t="s">
        <v>2236</v>
      </c>
      <c r="R612" s="148" t="s">
        <v>600</v>
      </c>
      <c r="S612" s="148" t="s">
        <v>2237</v>
      </c>
      <c r="T612" s="149">
        <v>0.5</v>
      </c>
      <c r="U612" s="241" t="s">
        <v>591</v>
      </c>
      <c r="V612" s="150">
        <v>82.37</v>
      </c>
      <c r="W612" s="151">
        <v>22727.19</v>
      </c>
    </row>
    <row r="613" spans="1:23" ht="15" customHeight="1" x14ac:dyDescent="0.25">
      <c r="A613" s="148">
        <v>410</v>
      </c>
      <c r="B613" s="148" t="s">
        <v>539</v>
      </c>
      <c r="C613" s="143" t="s">
        <v>2504</v>
      </c>
      <c r="D613" s="143" t="s">
        <v>2504</v>
      </c>
      <c r="E613" s="143" t="s">
        <v>2504</v>
      </c>
      <c r="F613" s="143" t="s">
        <v>2504</v>
      </c>
      <c r="G613" s="143" t="s">
        <v>539</v>
      </c>
      <c r="H613" s="143" t="s">
        <v>2504</v>
      </c>
      <c r="I613" s="143" t="s">
        <v>2504</v>
      </c>
      <c r="J613" s="143" t="s">
        <v>2504</v>
      </c>
      <c r="K613" s="143" t="s">
        <v>2504</v>
      </c>
      <c r="L613" s="143" t="s">
        <v>2504</v>
      </c>
      <c r="M613" s="143" t="s">
        <v>2504</v>
      </c>
      <c r="N613" s="143" t="s">
        <v>2504</v>
      </c>
      <c r="O613" s="143" t="s">
        <v>2504</v>
      </c>
      <c r="P613" s="143" t="s">
        <v>2504</v>
      </c>
      <c r="Q613" s="148" t="s">
        <v>788</v>
      </c>
      <c r="R613" s="148" t="s">
        <v>600</v>
      </c>
      <c r="S613" s="148" t="s">
        <v>789</v>
      </c>
      <c r="T613" s="149">
        <v>200</v>
      </c>
      <c r="U613" s="241" t="s">
        <v>591</v>
      </c>
      <c r="V613" s="150">
        <v>18951.82</v>
      </c>
      <c r="W613" s="151">
        <v>21047.97</v>
      </c>
    </row>
    <row r="614" spans="1:23" ht="15" customHeight="1" x14ac:dyDescent="0.25">
      <c r="A614" s="148">
        <v>1818</v>
      </c>
      <c r="B614" s="148" t="s">
        <v>434</v>
      </c>
      <c r="C614" s="143" t="s">
        <v>2504</v>
      </c>
      <c r="D614" s="143" t="s">
        <v>2504</v>
      </c>
      <c r="E614" s="143" t="s">
        <v>2504</v>
      </c>
      <c r="F614" s="143" t="s">
        <v>2504</v>
      </c>
      <c r="G614" s="143" t="s">
        <v>434</v>
      </c>
      <c r="H614" s="143" t="s">
        <v>2504</v>
      </c>
      <c r="I614" s="143" t="s">
        <v>2504</v>
      </c>
      <c r="J614" s="143" t="s">
        <v>2504</v>
      </c>
      <c r="K614" s="143" t="s">
        <v>2504</v>
      </c>
      <c r="L614" s="143" t="s">
        <v>2504</v>
      </c>
      <c r="M614" s="143" t="s">
        <v>2504</v>
      </c>
      <c r="N614" s="143" t="s">
        <v>2504</v>
      </c>
      <c r="O614" s="143" t="s">
        <v>2504</v>
      </c>
      <c r="P614" s="143" t="s">
        <v>2504</v>
      </c>
      <c r="Q614" s="148" t="s">
        <v>1100</v>
      </c>
      <c r="R614" s="148" t="s">
        <v>600</v>
      </c>
      <c r="S614" s="148" t="s">
        <v>789</v>
      </c>
      <c r="T614" s="149">
        <v>0.35</v>
      </c>
      <c r="U614" s="241" t="s">
        <v>591</v>
      </c>
      <c r="V614" s="150">
        <v>38.61</v>
      </c>
      <c r="W614" s="151">
        <v>20775.25</v>
      </c>
    </row>
    <row r="615" spans="1:23" ht="15" customHeight="1" x14ac:dyDescent="0.25">
      <c r="A615" s="148">
        <v>1819</v>
      </c>
      <c r="B615" s="148" t="s">
        <v>435</v>
      </c>
      <c r="C615" s="143" t="s">
        <v>2504</v>
      </c>
      <c r="D615" s="143" t="s">
        <v>2504</v>
      </c>
      <c r="E615" s="143" t="s">
        <v>2504</v>
      </c>
      <c r="F615" s="143" t="s">
        <v>2504</v>
      </c>
      <c r="G615" s="143" t="s">
        <v>435</v>
      </c>
      <c r="H615" s="143" t="s">
        <v>2504</v>
      </c>
      <c r="I615" s="143" t="s">
        <v>2504</v>
      </c>
      <c r="J615" s="143" t="s">
        <v>2504</v>
      </c>
      <c r="K615" s="143" t="s">
        <v>2504</v>
      </c>
      <c r="L615" s="143" t="s">
        <v>2504</v>
      </c>
      <c r="M615" s="143" t="s">
        <v>2504</v>
      </c>
      <c r="N615" s="143" t="s">
        <v>2504</v>
      </c>
      <c r="O615" s="143" t="s">
        <v>2504</v>
      </c>
      <c r="P615" s="143" t="s">
        <v>2504</v>
      </c>
      <c r="Q615" s="148" t="s">
        <v>1101</v>
      </c>
      <c r="R615" s="148" t="s">
        <v>600</v>
      </c>
      <c r="S615" s="148" t="s">
        <v>789</v>
      </c>
      <c r="T615" s="149">
        <v>0.95</v>
      </c>
      <c r="U615" s="241" t="s">
        <v>591</v>
      </c>
      <c r="V615" s="150">
        <v>98.06</v>
      </c>
      <c r="W615" s="151">
        <v>32866.65</v>
      </c>
    </row>
    <row r="616" spans="1:23" ht="15" customHeight="1" x14ac:dyDescent="0.25">
      <c r="A616" s="148">
        <v>1273</v>
      </c>
      <c r="B616" s="148" t="s">
        <v>436</v>
      </c>
      <c r="C616" s="143" t="s">
        <v>2504</v>
      </c>
      <c r="D616" s="143" t="s">
        <v>2504</v>
      </c>
      <c r="E616" s="143" t="s">
        <v>2504</v>
      </c>
      <c r="F616" s="143" t="s">
        <v>2504</v>
      </c>
      <c r="G616" s="143" t="s">
        <v>436</v>
      </c>
      <c r="H616" s="143" t="s">
        <v>2504</v>
      </c>
      <c r="I616" s="143" t="s">
        <v>2504</v>
      </c>
      <c r="J616" s="143" t="s">
        <v>2504</v>
      </c>
      <c r="K616" s="143" t="s">
        <v>2504</v>
      </c>
      <c r="L616" s="143" t="s">
        <v>2504</v>
      </c>
      <c r="M616" s="143" t="s">
        <v>2504</v>
      </c>
      <c r="N616" s="143" t="s">
        <v>2504</v>
      </c>
      <c r="O616" s="143" t="s">
        <v>2504</v>
      </c>
      <c r="P616" s="143" t="s">
        <v>2504</v>
      </c>
      <c r="Q616" s="148" t="s">
        <v>1077</v>
      </c>
      <c r="R616" s="148" t="s">
        <v>600</v>
      </c>
      <c r="S616" s="148" t="s">
        <v>1078</v>
      </c>
      <c r="T616" s="149">
        <v>0.35</v>
      </c>
      <c r="U616" s="241" t="s">
        <v>591</v>
      </c>
      <c r="V616" s="150">
        <v>47.21</v>
      </c>
      <c r="W616" s="151">
        <v>39735.97</v>
      </c>
    </row>
    <row r="617" spans="1:23" ht="15" customHeight="1" x14ac:dyDescent="0.25">
      <c r="A617" s="148">
        <v>1274</v>
      </c>
      <c r="B617" s="148" t="s">
        <v>437</v>
      </c>
      <c r="C617" s="143" t="s">
        <v>2504</v>
      </c>
      <c r="D617" s="143" t="s">
        <v>2504</v>
      </c>
      <c r="E617" s="143" t="s">
        <v>2504</v>
      </c>
      <c r="F617" s="143" t="s">
        <v>2504</v>
      </c>
      <c r="G617" s="143" t="s">
        <v>437</v>
      </c>
      <c r="H617" s="143" t="s">
        <v>2504</v>
      </c>
      <c r="I617" s="143" t="s">
        <v>2504</v>
      </c>
      <c r="J617" s="143" t="s">
        <v>2504</v>
      </c>
      <c r="K617" s="143" t="s">
        <v>2504</v>
      </c>
      <c r="L617" s="143" t="s">
        <v>2504</v>
      </c>
      <c r="M617" s="143" t="s">
        <v>2504</v>
      </c>
      <c r="N617" s="143" t="s">
        <v>2504</v>
      </c>
      <c r="O617" s="143" t="s">
        <v>2504</v>
      </c>
      <c r="P617" s="143" t="s">
        <v>2504</v>
      </c>
      <c r="Q617" s="148" t="s">
        <v>1079</v>
      </c>
      <c r="R617" s="148" t="s">
        <v>600</v>
      </c>
      <c r="S617" s="148" t="s">
        <v>1078</v>
      </c>
      <c r="T617" s="149">
        <v>0.95</v>
      </c>
      <c r="U617" s="241" t="s">
        <v>591</v>
      </c>
      <c r="V617" s="150">
        <v>120.2</v>
      </c>
      <c r="W617" s="151">
        <v>27683.38</v>
      </c>
    </row>
    <row r="618" spans="1:23" ht="15" customHeight="1" x14ac:dyDescent="0.25">
      <c r="A618" s="148">
        <v>392</v>
      </c>
      <c r="B618" s="148" t="s">
        <v>416</v>
      </c>
      <c r="C618" s="143" t="s">
        <v>2504</v>
      </c>
      <c r="D618" s="143" t="s">
        <v>2504</v>
      </c>
      <c r="E618" s="143" t="s">
        <v>2504</v>
      </c>
      <c r="F618" s="143" t="s">
        <v>2504</v>
      </c>
      <c r="G618" s="143" t="s">
        <v>416</v>
      </c>
      <c r="H618" s="143" t="s">
        <v>2504</v>
      </c>
      <c r="I618" s="143" t="s">
        <v>2504</v>
      </c>
      <c r="J618" s="143" t="s">
        <v>2504</v>
      </c>
      <c r="K618" s="143" t="s">
        <v>2504</v>
      </c>
      <c r="L618" s="143" t="s">
        <v>2504</v>
      </c>
      <c r="M618" s="143" t="s">
        <v>2504</v>
      </c>
      <c r="N618" s="143" t="s">
        <v>2504</v>
      </c>
      <c r="O618" s="143" t="s">
        <v>2504</v>
      </c>
      <c r="P618" s="143" t="s">
        <v>2504</v>
      </c>
      <c r="Q618" s="148" t="s">
        <v>782</v>
      </c>
      <c r="R618" s="148" t="s">
        <v>600</v>
      </c>
      <c r="S618" s="148" t="s">
        <v>783</v>
      </c>
      <c r="T618" s="149">
        <v>0.44</v>
      </c>
      <c r="U618" s="241" t="s">
        <v>591</v>
      </c>
      <c r="V618" s="150">
        <v>57.23</v>
      </c>
      <c r="W618" s="151">
        <v>21220.39</v>
      </c>
    </row>
    <row r="619" spans="1:23" ht="15" customHeight="1" x14ac:dyDescent="0.25">
      <c r="A619" s="148">
        <v>1260</v>
      </c>
      <c r="B619" s="148" t="s">
        <v>418</v>
      </c>
      <c r="C619" s="143" t="s">
        <v>2504</v>
      </c>
      <c r="D619" s="143" t="s">
        <v>2504</v>
      </c>
      <c r="E619" s="143" t="s">
        <v>2504</v>
      </c>
      <c r="F619" s="143" t="s">
        <v>2504</v>
      </c>
      <c r="G619" s="143" t="s">
        <v>418</v>
      </c>
      <c r="H619" s="143" t="s">
        <v>2504</v>
      </c>
      <c r="I619" s="143" t="s">
        <v>2504</v>
      </c>
      <c r="J619" s="143" t="s">
        <v>2504</v>
      </c>
      <c r="K619" s="143" t="s">
        <v>2504</v>
      </c>
      <c r="L619" s="143" t="s">
        <v>2504</v>
      </c>
      <c r="M619" s="143" t="s">
        <v>2504</v>
      </c>
      <c r="N619" s="143" t="s">
        <v>2504</v>
      </c>
      <c r="O619" s="143" t="s">
        <v>2504</v>
      </c>
      <c r="P619" s="143" t="s">
        <v>2504</v>
      </c>
      <c r="Q619" s="148" t="s">
        <v>1069</v>
      </c>
      <c r="R619" s="148" t="s">
        <v>600</v>
      </c>
      <c r="S619" s="148" t="s">
        <v>1070</v>
      </c>
      <c r="T619" s="149">
        <v>1</v>
      </c>
      <c r="U619" s="241" t="s">
        <v>591</v>
      </c>
      <c r="V619" s="150">
        <v>672.06</v>
      </c>
      <c r="W619" s="151">
        <v>43946.58</v>
      </c>
    </row>
    <row r="620" spans="1:23" ht="15" customHeight="1" x14ac:dyDescent="0.25">
      <c r="A620" s="148">
        <v>16160</v>
      </c>
      <c r="B620" s="148" t="s">
        <v>565</v>
      </c>
      <c r="C620" s="143" t="s">
        <v>2504</v>
      </c>
      <c r="D620" s="143" t="s">
        <v>2504</v>
      </c>
      <c r="E620" s="143" t="s">
        <v>2504</v>
      </c>
      <c r="F620" s="143" t="s">
        <v>2504</v>
      </c>
      <c r="G620" s="143" t="s">
        <v>565</v>
      </c>
      <c r="H620" s="143" t="s">
        <v>2504</v>
      </c>
      <c r="I620" s="143" t="s">
        <v>2504</v>
      </c>
      <c r="J620" s="143" t="s">
        <v>2504</v>
      </c>
      <c r="K620" s="143" t="s">
        <v>2504</v>
      </c>
      <c r="L620" s="143" t="s">
        <v>2504</v>
      </c>
      <c r="M620" s="143" t="s">
        <v>2504</v>
      </c>
      <c r="N620" s="143" t="s">
        <v>2504</v>
      </c>
      <c r="O620" s="143" t="s">
        <v>2504</v>
      </c>
      <c r="P620" s="143" t="s">
        <v>2504</v>
      </c>
      <c r="Q620" s="148" t="s">
        <v>2191</v>
      </c>
      <c r="R620" s="148" t="s">
        <v>600</v>
      </c>
      <c r="S620" s="148" t="s">
        <v>2029</v>
      </c>
      <c r="T620" s="149">
        <v>1</v>
      </c>
      <c r="U620" s="241" t="s">
        <v>591</v>
      </c>
      <c r="V620" s="150">
        <v>37.67</v>
      </c>
      <c r="W620" s="151">
        <v>44616.38</v>
      </c>
    </row>
    <row r="621" spans="1:23" ht="15" customHeight="1" x14ac:dyDescent="0.25">
      <c r="A621" s="148">
        <v>16161</v>
      </c>
      <c r="B621" s="148" t="s">
        <v>438</v>
      </c>
      <c r="C621" s="143" t="s">
        <v>2504</v>
      </c>
      <c r="D621" s="143" t="s">
        <v>2504</v>
      </c>
      <c r="E621" s="143" t="s">
        <v>2504</v>
      </c>
      <c r="F621" s="143" t="s">
        <v>2504</v>
      </c>
      <c r="G621" s="143" t="s">
        <v>438</v>
      </c>
      <c r="H621" s="143" t="s">
        <v>2504</v>
      </c>
      <c r="I621" s="143" t="s">
        <v>2504</v>
      </c>
      <c r="J621" s="143" t="s">
        <v>2504</v>
      </c>
      <c r="K621" s="143" t="s">
        <v>2504</v>
      </c>
      <c r="L621" s="143" t="s">
        <v>2504</v>
      </c>
      <c r="M621" s="143" t="s">
        <v>2504</v>
      </c>
      <c r="N621" s="143" t="s">
        <v>2504</v>
      </c>
      <c r="O621" s="143" t="s">
        <v>2504</v>
      </c>
      <c r="P621" s="143" t="s">
        <v>2504</v>
      </c>
      <c r="Q621" s="148" t="s">
        <v>2192</v>
      </c>
      <c r="R621" s="148" t="s">
        <v>600</v>
      </c>
      <c r="S621" s="148" t="s">
        <v>2029</v>
      </c>
      <c r="T621" s="149">
        <v>19</v>
      </c>
      <c r="U621" s="241" t="s">
        <v>591</v>
      </c>
      <c r="V621" s="150">
        <v>817.17</v>
      </c>
      <c r="W621" s="151">
        <v>29675.89</v>
      </c>
    </row>
    <row r="622" spans="1:23" ht="15" customHeight="1" x14ac:dyDescent="0.25">
      <c r="A622" s="148">
        <v>16162</v>
      </c>
      <c r="B622" s="148" t="s">
        <v>540</v>
      </c>
      <c r="C622" s="143" t="s">
        <v>2504</v>
      </c>
      <c r="D622" s="143" t="s">
        <v>2504</v>
      </c>
      <c r="E622" s="143" t="s">
        <v>2504</v>
      </c>
      <c r="F622" s="143" t="s">
        <v>2504</v>
      </c>
      <c r="G622" s="143" t="s">
        <v>540</v>
      </c>
      <c r="H622" s="143" t="s">
        <v>2504</v>
      </c>
      <c r="I622" s="143" t="s">
        <v>2504</v>
      </c>
      <c r="J622" s="143" t="s">
        <v>2504</v>
      </c>
      <c r="K622" s="143" t="s">
        <v>2504</v>
      </c>
      <c r="L622" s="143" t="s">
        <v>2504</v>
      </c>
      <c r="M622" s="143" t="s">
        <v>2504</v>
      </c>
      <c r="N622" s="143" t="s">
        <v>2504</v>
      </c>
      <c r="O622" s="143" t="s">
        <v>2504</v>
      </c>
      <c r="P622" s="143" t="s">
        <v>2504</v>
      </c>
      <c r="Q622" s="148" t="s">
        <v>2193</v>
      </c>
      <c r="R622" s="148" t="s">
        <v>600</v>
      </c>
      <c r="S622" s="148" t="s">
        <v>2029</v>
      </c>
      <c r="T622" s="149">
        <v>200</v>
      </c>
      <c r="U622" s="241" t="s">
        <v>591</v>
      </c>
      <c r="V622" s="150">
        <v>8707.76</v>
      </c>
      <c r="W622" s="151">
        <v>20094.66</v>
      </c>
    </row>
    <row r="623" spans="1:23" ht="15" customHeight="1" x14ac:dyDescent="0.25">
      <c r="A623" s="148">
        <v>361</v>
      </c>
      <c r="B623" s="148" t="s">
        <v>415</v>
      </c>
      <c r="C623" s="143" t="s">
        <v>2504</v>
      </c>
      <c r="D623" s="143" t="s">
        <v>2504</v>
      </c>
      <c r="E623" s="143" t="s">
        <v>2504</v>
      </c>
      <c r="F623" s="143" t="s">
        <v>2504</v>
      </c>
      <c r="G623" s="143" t="s">
        <v>415</v>
      </c>
      <c r="H623" s="143" t="s">
        <v>2504</v>
      </c>
      <c r="I623" s="143" t="s">
        <v>2504</v>
      </c>
      <c r="J623" s="143" t="s">
        <v>2504</v>
      </c>
      <c r="K623" s="143" t="s">
        <v>2504</v>
      </c>
      <c r="L623" s="143" t="s">
        <v>2504</v>
      </c>
      <c r="M623" s="143" t="s">
        <v>2504</v>
      </c>
      <c r="N623" s="143" t="s">
        <v>2504</v>
      </c>
      <c r="O623" s="143" t="s">
        <v>2504</v>
      </c>
      <c r="P623" s="143" t="s">
        <v>2504</v>
      </c>
      <c r="Q623" s="148" t="s">
        <v>769</v>
      </c>
      <c r="R623" s="148" t="s">
        <v>600</v>
      </c>
      <c r="S623" s="148" t="s">
        <v>770</v>
      </c>
      <c r="T623" s="149">
        <v>0.443</v>
      </c>
      <c r="U623" s="241" t="s">
        <v>591</v>
      </c>
      <c r="V623" s="150">
        <v>67.23</v>
      </c>
      <c r="W623" s="151">
        <v>21581.23</v>
      </c>
    </row>
    <row r="624" spans="1:23" ht="15" customHeight="1" x14ac:dyDescent="0.25">
      <c r="A624" s="148">
        <v>1202</v>
      </c>
      <c r="B624" s="148" t="s">
        <v>457</v>
      </c>
      <c r="C624" s="143" t="s">
        <v>2504</v>
      </c>
      <c r="D624" s="143" t="s">
        <v>2504</v>
      </c>
      <c r="E624" s="143" t="s">
        <v>2504</v>
      </c>
      <c r="F624" s="143" t="s">
        <v>2504</v>
      </c>
      <c r="G624" s="143" t="s">
        <v>2504</v>
      </c>
      <c r="H624" s="143" t="s">
        <v>457</v>
      </c>
      <c r="I624" s="143" t="s">
        <v>2504</v>
      </c>
      <c r="J624" s="143" t="s">
        <v>2504</v>
      </c>
      <c r="K624" s="143" t="s">
        <v>2504</v>
      </c>
      <c r="L624" s="143" t="s">
        <v>2504</v>
      </c>
      <c r="M624" s="143" t="s">
        <v>2504</v>
      </c>
      <c r="N624" s="143" t="s">
        <v>2504</v>
      </c>
      <c r="O624" s="143" t="s">
        <v>2504</v>
      </c>
      <c r="P624" s="143" t="s">
        <v>2504</v>
      </c>
      <c r="Q624" s="148" t="s">
        <v>1050</v>
      </c>
      <c r="R624" s="148" t="s">
        <v>694</v>
      </c>
      <c r="S624" s="148" t="s">
        <v>927</v>
      </c>
      <c r="T624" s="149">
        <v>1</v>
      </c>
      <c r="U624" s="241" t="s">
        <v>591</v>
      </c>
      <c r="V624" s="150">
        <v>84.59</v>
      </c>
      <c r="W624" s="151">
        <v>21955.67</v>
      </c>
    </row>
    <row r="625" spans="1:23" ht="15" customHeight="1" x14ac:dyDescent="0.25">
      <c r="A625" s="148">
        <v>10003</v>
      </c>
      <c r="B625" s="148" t="s">
        <v>460</v>
      </c>
      <c r="C625" s="143" t="s">
        <v>2504</v>
      </c>
      <c r="D625" s="143" t="s">
        <v>2504</v>
      </c>
      <c r="E625" s="143" t="s">
        <v>2504</v>
      </c>
      <c r="F625" s="143" t="s">
        <v>2504</v>
      </c>
      <c r="G625" s="143" t="s">
        <v>2504</v>
      </c>
      <c r="H625" s="143" t="s">
        <v>460</v>
      </c>
      <c r="I625" s="143" t="s">
        <v>2504</v>
      </c>
      <c r="J625" s="143" t="s">
        <v>2504</v>
      </c>
      <c r="K625" s="143" t="s">
        <v>2504</v>
      </c>
      <c r="L625" s="143" t="s">
        <v>2504</v>
      </c>
      <c r="M625" s="143" t="s">
        <v>2504</v>
      </c>
      <c r="N625" s="143" t="s">
        <v>2504</v>
      </c>
      <c r="O625" s="143" t="s">
        <v>2504</v>
      </c>
      <c r="P625" s="143" t="s">
        <v>2504</v>
      </c>
      <c r="Q625" s="148" t="s">
        <v>1120</v>
      </c>
      <c r="R625" s="148" t="s">
        <v>1025</v>
      </c>
      <c r="S625" s="148" t="s">
        <v>1121</v>
      </c>
      <c r="T625" s="149">
        <v>1</v>
      </c>
      <c r="U625" s="241" t="s">
        <v>591</v>
      </c>
      <c r="V625" s="150">
        <v>91.91</v>
      </c>
      <c r="W625" s="151">
        <v>26217.25</v>
      </c>
    </row>
    <row r="626" spans="1:23" ht="15" customHeight="1" x14ac:dyDescent="0.25">
      <c r="A626" s="148">
        <v>10111</v>
      </c>
      <c r="B626" s="148" t="s">
        <v>461</v>
      </c>
      <c r="C626" s="143" t="s">
        <v>2504</v>
      </c>
      <c r="D626" s="143" t="s">
        <v>2504</v>
      </c>
      <c r="E626" s="143" t="s">
        <v>2504</v>
      </c>
      <c r="F626" s="143" t="s">
        <v>2504</v>
      </c>
      <c r="G626" s="143" t="s">
        <v>2504</v>
      </c>
      <c r="H626" s="143" t="s">
        <v>461</v>
      </c>
      <c r="I626" s="143" t="s">
        <v>2504</v>
      </c>
      <c r="J626" s="143" t="s">
        <v>2504</v>
      </c>
      <c r="K626" s="143" t="s">
        <v>2504</v>
      </c>
      <c r="L626" s="143" t="s">
        <v>2504</v>
      </c>
      <c r="M626" s="143" t="s">
        <v>2504</v>
      </c>
      <c r="N626" s="143" t="s">
        <v>2504</v>
      </c>
      <c r="O626" s="143" t="s">
        <v>2504</v>
      </c>
      <c r="P626" s="143" t="s">
        <v>2504</v>
      </c>
      <c r="Q626" s="148" t="s">
        <v>1188</v>
      </c>
      <c r="R626" s="148" t="s">
        <v>1025</v>
      </c>
      <c r="S626" s="148" t="s">
        <v>1189</v>
      </c>
      <c r="T626" s="149">
        <v>1</v>
      </c>
      <c r="U626" s="241" t="s">
        <v>591</v>
      </c>
      <c r="V626" s="150">
        <v>177.65</v>
      </c>
      <c r="W626" s="151">
        <v>26295.46</v>
      </c>
    </row>
    <row r="627" spans="1:23" ht="15" customHeight="1" x14ac:dyDescent="0.25">
      <c r="A627" s="148">
        <v>10052</v>
      </c>
      <c r="B627" s="148" t="s">
        <v>462</v>
      </c>
      <c r="C627" s="143" t="s">
        <v>2504</v>
      </c>
      <c r="D627" s="143" t="s">
        <v>2504</v>
      </c>
      <c r="E627" s="143" t="s">
        <v>2504</v>
      </c>
      <c r="F627" s="143" t="s">
        <v>2504</v>
      </c>
      <c r="G627" s="143" t="s">
        <v>2504</v>
      </c>
      <c r="H627" s="143" t="s">
        <v>462</v>
      </c>
      <c r="I627" s="143" t="s">
        <v>2504</v>
      </c>
      <c r="J627" s="143" t="s">
        <v>2504</v>
      </c>
      <c r="K627" s="143" t="s">
        <v>2504</v>
      </c>
      <c r="L627" s="143" t="s">
        <v>2504</v>
      </c>
      <c r="M627" s="143" t="s">
        <v>2504</v>
      </c>
      <c r="N627" s="143" t="s">
        <v>2504</v>
      </c>
      <c r="O627" s="143" t="s">
        <v>2504</v>
      </c>
      <c r="P627" s="143" t="s">
        <v>2504</v>
      </c>
      <c r="Q627" s="148" t="s">
        <v>1160</v>
      </c>
      <c r="R627" s="148" t="s">
        <v>1025</v>
      </c>
      <c r="S627" s="148" t="s">
        <v>1155</v>
      </c>
      <c r="T627" s="149">
        <v>1</v>
      </c>
      <c r="U627" s="241" t="s">
        <v>591</v>
      </c>
      <c r="V627" s="150">
        <v>96.62</v>
      </c>
      <c r="W627" s="151">
        <v>19069.61</v>
      </c>
    </row>
    <row r="628" spans="1:23" ht="15" customHeight="1" x14ac:dyDescent="0.25">
      <c r="A628" s="148">
        <v>10053</v>
      </c>
      <c r="B628" s="148" t="s">
        <v>463</v>
      </c>
      <c r="C628" s="143" t="s">
        <v>2504</v>
      </c>
      <c r="D628" s="143" t="s">
        <v>2504</v>
      </c>
      <c r="E628" s="143" t="s">
        <v>2504</v>
      </c>
      <c r="F628" s="143" t="s">
        <v>2504</v>
      </c>
      <c r="G628" s="143" t="s">
        <v>2504</v>
      </c>
      <c r="H628" s="143" t="s">
        <v>463</v>
      </c>
      <c r="I628" s="143" t="s">
        <v>2504</v>
      </c>
      <c r="J628" s="143" t="s">
        <v>2504</v>
      </c>
      <c r="K628" s="143" t="s">
        <v>2504</v>
      </c>
      <c r="L628" s="143" t="s">
        <v>2504</v>
      </c>
      <c r="M628" s="143" t="s">
        <v>2504</v>
      </c>
      <c r="N628" s="143" t="s">
        <v>2504</v>
      </c>
      <c r="O628" s="143" t="s">
        <v>2504</v>
      </c>
      <c r="P628" s="143" t="s">
        <v>2504</v>
      </c>
      <c r="Q628" s="148" t="s">
        <v>1161</v>
      </c>
      <c r="R628" s="148" t="s">
        <v>1025</v>
      </c>
      <c r="S628" s="148" t="s">
        <v>1155</v>
      </c>
      <c r="T628" s="149">
        <v>1</v>
      </c>
      <c r="U628" s="241" t="s">
        <v>591</v>
      </c>
      <c r="V628" s="150">
        <v>96.67</v>
      </c>
      <c r="W628" s="151">
        <v>24523.11</v>
      </c>
    </row>
    <row r="629" spans="1:23" ht="15" customHeight="1" x14ac:dyDescent="0.25">
      <c r="A629" s="148">
        <v>369</v>
      </c>
      <c r="B629" s="148" t="s">
        <v>562</v>
      </c>
      <c r="C629" s="143" t="s">
        <v>2504</v>
      </c>
      <c r="D629" s="143" t="s">
        <v>2504</v>
      </c>
      <c r="E629" s="143" t="s">
        <v>2504</v>
      </c>
      <c r="F629" s="143" t="s">
        <v>2504</v>
      </c>
      <c r="G629" s="143" t="s">
        <v>2504</v>
      </c>
      <c r="H629" s="143" t="s">
        <v>562</v>
      </c>
      <c r="I629" s="143" t="s">
        <v>2504</v>
      </c>
      <c r="J629" s="143" t="s">
        <v>2504</v>
      </c>
      <c r="K629" s="143" t="s">
        <v>2504</v>
      </c>
      <c r="L629" s="143" t="s">
        <v>2504</v>
      </c>
      <c r="M629" s="143" t="s">
        <v>2504</v>
      </c>
      <c r="N629" s="143" t="s">
        <v>2504</v>
      </c>
      <c r="O629" s="143" t="s">
        <v>2504</v>
      </c>
      <c r="P629" s="143" t="s">
        <v>2504</v>
      </c>
      <c r="Q629" s="148" t="s">
        <v>775</v>
      </c>
      <c r="R629" s="148" t="s">
        <v>594</v>
      </c>
      <c r="S629" s="148" t="s">
        <v>776</v>
      </c>
      <c r="T629" s="149">
        <v>19</v>
      </c>
      <c r="U629" s="148" t="s">
        <v>596</v>
      </c>
      <c r="V629" s="150">
        <v>2069.69</v>
      </c>
      <c r="W629" s="151">
        <v>16894.82</v>
      </c>
    </row>
    <row r="630" spans="1:23" ht="15" customHeight="1" x14ac:dyDescent="0.25">
      <c r="A630" s="148">
        <v>371</v>
      </c>
      <c r="B630" s="148" t="s">
        <v>561</v>
      </c>
      <c r="C630" s="143" t="s">
        <v>2504</v>
      </c>
      <c r="D630" s="143" t="s">
        <v>2504</v>
      </c>
      <c r="E630" s="143" t="s">
        <v>2504</v>
      </c>
      <c r="F630" s="143" t="s">
        <v>2504</v>
      </c>
      <c r="G630" s="143" t="s">
        <v>2504</v>
      </c>
      <c r="H630" s="143" t="s">
        <v>561</v>
      </c>
      <c r="I630" s="143" t="s">
        <v>2504</v>
      </c>
      <c r="J630" s="143" t="s">
        <v>2504</v>
      </c>
      <c r="K630" s="143" t="s">
        <v>2504</v>
      </c>
      <c r="L630" s="143" t="s">
        <v>2504</v>
      </c>
      <c r="M630" s="143" t="s">
        <v>2504</v>
      </c>
      <c r="N630" s="143" t="s">
        <v>2504</v>
      </c>
      <c r="O630" s="143" t="s">
        <v>2504</v>
      </c>
      <c r="P630" s="143" t="s">
        <v>2504</v>
      </c>
      <c r="Q630" s="148" t="s">
        <v>779</v>
      </c>
      <c r="R630" s="148" t="s">
        <v>594</v>
      </c>
      <c r="S630" s="148" t="s">
        <v>776</v>
      </c>
      <c r="T630" s="149">
        <v>0.95</v>
      </c>
      <c r="U630" s="148" t="s">
        <v>596</v>
      </c>
      <c r="V630" s="150">
        <v>108.12</v>
      </c>
      <c r="W630" s="151">
        <v>18681.54</v>
      </c>
    </row>
    <row r="631" spans="1:23" ht="15" customHeight="1" x14ac:dyDescent="0.25">
      <c r="A631" s="148">
        <v>16611</v>
      </c>
      <c r="B631" s="148" t="s">
        <v>555</v>
      </c>
      <c r="C631" s="143" t="s">
        <v>2504</v>
      </c>
      <c r="D631" s="143" t="s">
        <v>2504</v>
      </c>
      <c r="E631" s="143" t="s">
        <v>2504</v>
      </c>
      <c r="F631" s="143" t="s">
        <v>2504</v>
      </c>
      <c r="G631" s="143" t="s">
        <v>2504</v>
      </c>
      <c r="H631" s="143" t="s">
        <v>555</v>
      </c>
      <c r="I631" s="143" t="s">
        <v>2504</v>
      </c>
      <c r="J631" s="143" t="s">
        <v>2504</v>
      </c>
      <c r="K631" s="143" t="s">
        <v>2504</v>
      </c>
      <c r="L631" s="143" t="s">
        <v>2504</v>
      </c>
      <c r="M631" s="143" t="s">
        <v>2504</v>
      </c>
      <c r="N631" s="143" t="s">
        <v>2504</v>
      </c>
      <c r="O631" s="143" t="s">
        <v>2504</v>
      </c>
      <c r="P631" s="143" t="s">
        <v>2504</v>
      </c>
      <c r="Q631" s="148" t="s">
        <v>2290</v>
      </c>
      <c r="R631" s="148" t="s">
        <v>594</v>
      </c>
      <c r="S631" s="148" t="s">
        <v>2214</v>
      </c>
      <c r="T631" s="149">
        <v>19</v>
      </c>
      <c r="U631" s="148" t="s">
        <v>596</v>
      </c>
      <c r="V631" s="150">
        <v>2386.35</v>
      </c>
      <c r="W631" s="151">
        <v>21387.17</v>
      </c>
    </row>
    <row r="632" spans="1:23" ht="15" customHeight="1" x14ac:dyDescent="0.25">
      <c r="A632" s="148">
        <v>16907</v>
      </c>
      <c r="B632" s="148" t="s">
        <v>559</v>
      </c>
      <c r="C632" s="143" t="s">
        <v>2504</v>
      </c>
      <c r="D632" s="143" t="s">
        <v>2504</v>
      </c>
      <c r="E632" s="143" t="s">
        <v>2504</v>
      </c>
      <c r="F632" s="143" t="s">
        <v>2504</v>
      </c>
      <c r="G632" s="143" t="s">
        <v>2504</v>
      </c>
      <c r="H632" s="143" t="s">
        <v>559</v>
      </c>
      <c r="I632" s="143" t="s">
        <v>2504</v>
      </c>
      <c r="J632" s="143" t="s">
        <v>2504</v>
      </c>
      <c r="K632" s="143" t="s">
        <v>2504</v>
      </c>
      <c r="L632" s="143" t="s">
        <v>2504</v>
      </c>
      <c r="M632" s="143" t="s">
        <v>2504</v>
      </c>
      <c r="N632" s="143" t="s">
        <v>2504</v>
      </c>
      <c r="O632" s="143" t="s">
        <v>2504</v>
      </c>
      <c r="P632" s="143" t="s">
        <v>2504</v>
      </c>
      <c r="Q632" s="148" t="s">
        <v>2400</v>
      </c>
      <c r="R632" s="148" t="s">
        <v>594</v>
      </c>
      <c r="S632" s="148" t="s">
        <v>2214</v>
      </c>
      <c r="T632" s="149">
        <v>0.95</v>
      </c>
      <c r="U632" s="241" t="s">
        <v>591</v>
      </c>
      <c r="V632" s="150">
        <v>121.09</v>
      </c>
      <c r="W632" s="151">
        <v>22751.54</v>
      </c>
    </row>
    <row r="633" spans="1:23" ht="15" customHeight="1" x14ac:dyDescent="0.25">
      <c r="A633" s="148">
        <v>16612</v>
      </c>
      <c r="B633" s="148" t="s">
        <v>554</v>
      </c>
      <c r="C633" s="143" t="s">
        <v>2504</v>
      </c>
      <c r="D633" s="143" t="s">
        <v>2504</v>
      </c>
      <c r="E633" s="143" t="s">
        <v>2504</v>
      </c>
      <c r="F633" s="143" t="s">
        <v>2504</v>
      </c>
      <c r="G633" s="143" t="s">
        <v>2504</v>
      </c>
      <c r="H633" s="143" t="s">
        <v>554</v>
      </c>
      <c r="I633" s="143" t="s">
        <v>2504</v>
      </c>
      <c r="J633" s="143" t="s">
        <v>2504</v>
      </c>
      <c r="K633" s="143" t="s">
        <v>2504</v>
      </c>
      <c r="L633" s="143" t="s">
        <v>2504</v>
      </c>
      <c r="M633" s="143" t="s">
        <v>2504</v>
      </c>
      <c r="N633" s="143" t="s">
        <v>2504</v>
      </c>
      <c r="O633" s="143" t="s">
        <v>2504</v>
      </c>
      <c r="P633" s="143" t="s">
        <v>2504</v>
      </c>
      <c r="Q633" s="148" t="s">
        <v>2291</v>
      </c>
      <c r="R633" s="148" t="s">
        <v>594</v>
      </c>
      <c r="S633" s="148" t="s">
        <v>2091</v>
      </c>
      <c r="T633" s="149">
        <v>19</v>
      </c>
      <c r="U633" s="148" t="s">
        <v>596</v>
      </c>
      <c r="V633" s="150">
        <v>3499.9</v>
      </c>
      <c r="W633" s="151">
        <v>23546.38</v>
      </c>
    </row>
    <row r="634" spans="1:23" ht="15" customHeight="1" x14ac:dyDescent="0.25">
      <c r="A634" s="148">
        <v>16613</v>
      </c>
      <c r="B634" s="148" t="s">
        <v>553</v>
      </c>
      <c r="C634" s="143" t="s">
        <v>2504</v>
      </c>
      <c r="D634" s="143" t="s">
        <v>2504</v>
      </c>
      <c r="E634" s="143" t="s">
        <v>2504</v>
      </c>
      <c r="F634" s="143" t="s">
        <v>2504</v>
      </c>
      <c r="G634" s="143" t="s">
        <v>2504</v>
      </c>
      <c r="H634" s="143" t="s">
        <v>553</v>
      </c>
      <c r="I634" s="143" t="s">
        <v>2504</v>
      </c>
      <c r="J634" s="143" t="s">
        <v>2504</v>
      </c>
      <c r="K634" s="143" t="s">
        <v>2504</v>
      </c>
      <c r="L634" s="143" t="s">
        <v>2504</v>
      </c>
      <c r="M634" s="143" t="s">
        <v>2504</v>
      </c>
      <c r="N634" s="143" t="s">
        <v>2504</v>
      </c>
      <c r="O634" s="143" t="s">
        <v>2504</v>
      </c>
      <c r="P634" s="143" t="s">
        <v>2504</v>
      </c>
      <c r="Q634" s="148" t="s">
        <v>2292</v>
      </c>
      <c r="R634" s="148" t="s">
        <v>594</v>
      </c>
      <c r="S634" s="148" t="s">
        <v>2091</v>
      </c>
      <c r="T634" s="149">
        <v>19</v>
      </c>
      <c r="U634" s="148" t="s">
        <v>596</v>
      </c>
      <c r="V634" s="150">
        <v>3317.86</v>
      </c>
      <c r="W634" s="151">
        <v>19367.46</v>
      </c>
    </row>
    <row r="635" spans="1:23" ht="15" customHeight="1" x14ac:dyDescent="0.25">
      <c r="A635" s="148">
        <v>16908</v>
      </c>
      <c r="B635" s="148" t="s">
        <v>557</v>
      </c>
      <c r="C635" s="143" t="s">
        <v>2504</v>
      </c>
      <c r="D635" s="143" t="s">
        <v>2504</v>
      </c>
      <c r="E635" s="143" t="s">
        <v>2504</v>
      </c>
      <c r="F635" s="143" t="s">
        <v>2504</v>
      </c>
      <c r="G635" s="143" t="s">
        <v>2504</v>
      </c>
      <c r="H635" s="143" t="s">
        <v>557</v>
      </c>
      <c r="I635" s="143" t="s">
        <v>2504</v>
      </c>
      <c r="J635" s="143" t="s">
        <v>2504</v>
      </c>
      <c r="K635" s="143" t="s">
        <v>2504</v>
      </c>
      <c r="L635" s="143" t="s">
        <v>2504</v>
      </c>
      <c r="M635" s="143" t="s">
        <v>2504</v>
      </c>
      <c r="N635" s="143" t="s">
        <v>2504</v>
      </c>
      <c r="O635" s="143" t="s">
        <v>2504</v>
      </c>
      <c r="P635" s="143" t="s">
        <v>2504</v>
      </c>
      <c r="Q635" s="148" t="s">
        <v>2401</v>
      </c>
      <c r="R635" s="148" t="s">
        <v>594</v>
      </c>
      <c r="S635" s="148" t="s">
        <v>2091</v>
      </c>
      <c r="T635" s="149">
        <v>0.95</v>
      </c>
      <c r="U635" s="241" t="s">
        <v>591</v>
      </c>
      <c r="V635" s="150">
        <v>181.37</v>
      </c>
      <c r="W635" s="151">
        <v>25071.37</v>
      </c>
    </row>
    <row r="636" spans="1:23" ht="15" customHeight="1" x14ac:dyDescent="0.25">
      <c r="A636" s="148">
        <v>16924</v>
      </c>
      <c r="B636" s="148" t="s">
        <v>560</v>
      </c>
      <c r="C636" s="143" t="s">
        <v>2504</v>
      </c>
      <c r="D636" s="143" t="s">
        <v>2504</v>
      </c>
      <c r="E636" s="143" t="s">
        <v>2504</v>
      </c>
      <c r="F636" s="143" t="s">
        <v>2504</v>
      </c>
      <c r="G636" s="143" t="s">
        <v>2504</v>
      </c>
      <c r="H636" s="143" t="s">
        <v>560</v>
      </c>
      <c r="I636" s="143" t="s">
        <v>2504</v>
      </c>
      <c r="J636" s="143" t="s">
        <v>2504</v>
      </c>
      <c r="K636" s="143" t="s">
        <v>2504</v>
      </c>
      <c r="L636" s="143" t="s">
        <v>2504</v>
      </c>
      <c r="M636" s="143" t="s">
        <v>2504</v>
      </c>
      <c r="N636" s="143" t="s">
        <v>2504</v>
      </c>
      <c r="O636" s="143" t="s">
        <v>2504</v>
      </c>
      <c r="P636" s="143" t="s">
        <v>2504</v>
      </c>
      <c r="Q636" s="148" t="s">
        <v>2412</v>
      </c>
      <c r="R636" s="148" t="s">
        <v>594</v>
      </c>
      <c r="S636" s="148" t="s">
        <v>2091</v>
      </c>
      <c r="T636" s="149">
        <v>0.95</v>
      </c>
      <c r="U636" s="148" t="s">
        <v>596</v>
      </c>
      <c r="V636" s="150">
        <v>171.31</v>
      </c>
      <c r="W636" s="151">
        <v>21696.82</v>
      </c>
    </row>
    <row r="637" spans="1:23" ht="15" customHeight="1" x14ac:dyDescent="0.25">
      <c r="A637" s="148">
        <v>16843</v>
      </c>
      <c r="B637" s="148" t="s">
        <v>512</v>
      </c>
      <c r="C637" s="143" t="s">
        <v>2504</v>
      </c>
      <c r="D637" s="143" t="s">
        <v>2504</v>
      </c>
      <c r="E637" s="143" t="s">
        <v>2504</v>
      </c>
      <c r="F637" s="143" t="s">
        <v>2504</v>
      </c>
      <c r="G637" s="143" t="s">
        <v>2504</v>
      </c>
      <c r="H637" s="143" t="s">
        <v>512</v>
      </c>
      <c r="I637" s="143" t="s">
        <v>2504</v>
      </c>
      <c r="J637" s="143" t="s">
        <v>2504</v>
      </c>
      <c r="K637" s="143" t="s">
        <v>2504</v>
      </c>
      <c r="L637" s="143" t="s">
        <v>2504</v>
      </c>
      <c r="M637" s="143" t="s">
        <v>2504</v>
      </c>
      <c r="N637" s="143" t="s">
        <v>2504</v>
      </c>
      <c r="O637" s="143" t="s">
        <v>2504</v>
      </c>
      <c r="P637" s="143" t="s">
        <v>2504</v>
      </c>
      <c r="Q637" s="148" t="s">
        <v>2378</v>
      </c>
      <c r="R637" s="148" t="s">
        <v>630</v>
      </c>
      <c r="S637" s="148" t="s">
        <v>830</v>
      </c>
      <c r="T637" s="149">
        <v>1</v>
      </c>
      <c r="U637" s="241" t="s">
        <v>591</v>
      </c>
      <c r="V637" s="150">
        <v>107.85</v>
      </c>
      <c r="W637" s="151">
        <v>22028.84</v>
      </c>
    </row>
    <row r="638" spans="1:23" ht="15" customHeight="1" x14ac:dyDescent="0.25">
      <c r="A638" s="148">
        <v>16800</v>
      </c>
      <c r="B638" s="148" t="s">
        <v>545</v>
      </c>
      <c r="C638" s="143" t="s">
        <v>2504</v>
      </c>
      <c r="D638" s="143" t="s">
        <v>2504</v>
      </c>
      <c r="E638" s="143" t="s">
        <v>2504</v>
      </c>
      <c r="F638" s="143" t="s">
        <v>2504</v>
      </c>
      <c r="G638" s="143" t="s">
        <v>2504</v>
      </c>
      <c r="H638" s="143" t="s">
        <v>545</v>
      </c>
      <c r="I638" s="143" t="s">
        <v>2504</v>
      </c>
      <c r="J638" s="143" t="s">
        <v>2504</v>
      </c>
      <c r="K638" s="143" t="s">
        <v>2504</v>
      </c>
      <c r="L638" s="143" t="s">
        <v>2504</v>
      </c>
      <c r="M638" s="143" t="s">
        <v>2504</v>
      </c>
      <c r="N638" s="143" t="s">
        <v>2504</v>
      </c>
      <c r="O638" s="143" t="s">
        <v>2504</v>
      </c>
      <c r="P638" s="143" t="s">
        <v>2504</v>
      </c>
      <c r="Q638" s="148" t="s">
        <v>2344</v>
      </c>
      <c r="R638" s="148" t="s">
        <v>630</v>
      </c>
      <c r="S638" s="148" t="s">
        <v>817</v>
      </c>
      <c r="T638" s="149">
        <v>1</v>
      </c>
      <c r="U638" s="241" t="s">
        <v>591</v>
      </c>
      <c r="V638" s="150">
        <v>185.57</v>
      </c>
      <c r="W638" s="151">
        <v>21873.54</v>
      </c>
    </row>
    <row r="639" spans="1:23" ht="15" customHeight="1" x14ac:dyDescent="0.25">
      <c r="A639" s="148">
        <v>432</v>
      </c>
      <c r="B639" s="148" t="s">
        <v>544</v>
      </c>
      <c r="C639" s="143" t="s">
        <v>2504</v>
      </c>
      <c r="D639" s="143" t="s">
        <v>2504</v>
      </c>
      <c r="E639" s="143" t="s">
        <v>2504</v>
      </c>
      <c r="F639" s="143" t="s">
        <v>2504</v>
      </c>
      <c r="G639" s="143" t="s">
        <v>2504</v>
      </c>
      <c r="H639" s="143" t="s">
        <v>544</v>
      </c>
      <c r="I639" s="143" t="s">
        <v>2504</v>
      </c>
      <c r="J639" s="143" t="s">
        <v>2504</v>
      </c>
      <c r="K639" s="143" t="s">
        <v>2504</v>
      </c>
      <c r="L639" s="143" t="s">
        <v>2504</v>
      </c>
      <c r="M639" s="143" t="s">
        <v>2504</v>
      </c>
      <c r="N639" s="143" t="s">
        <v>2504</v>
      </c>
      <c r="O639" s="143" t="s">
        <v>2504</v>
      </c>
      <c r="P639" s="143" t="s">
        <v>2504</v>
      </c>
      <c r="Q639" s="148" t="s">
        <v>811</v>
      </c>
      <c r="R639" s="148" t="s">
        <v>630</v>
      </c>
      <c r="S639" s="148" t="s">
        <v>812</v>
      </c>
      <c r="T639" s="149">
        <v>1</v>
      </c>
      <c r="U639" s="241" t="s">
        <v>591</v>
      </c>
      <c r="V639" s="150">
        <v>209.98</v>
      </c>
      <c r="W639" s="151">
        <v>22211.74</v>
      </c>
    </row>
    <row r="640" spans="1:23" ht="15" customHeight="1" x14ac:dyDescent="0.25">
      <c r="A640" s="148">
        <v>1107</v>
      </c>
      <c r="B640" s="148" t="s">
        <v>563</v>
      </c>
      <c r="C640" s="143" t="s">
        <v>2504</v>
      </c>
      <c r="D640" s="143" t="s">
        <v>2504</v>
      </c>
      <c r="E640" s="143" t="s">
        <v>2504</v>
      </c>
      <c r="F640" s="143" t="s">
        <v>2504</v>
      </c>
      <c r="G640" s="143" t="s">
        <v>2504</v>
      </c>
      <c r="H640" s="143" t="s">
        <v>563</v>
      </c>
      <c r="I640" s="143" t="s">
        <v>2504</v>
      </c>
      <c r="J640" s="143" t="s">
        <v>2504</v>
      </c>
      <c r="K640" s="143" t="s">
        <v>2504</v>
      </c>
      <c r="L640" s="143" t="s">
        <v>2504</v>
      </c>
      <c r="M640" s="143" t="s">
        <v>2504</v>
      </c>
      <c r="N640" s="143" t="s">
        <v>2504</v>
      </c>
      <c r="O640" s="143" t="s">
        <v>2504</v>
      </c>
      <c r="P640" s="143" t="s">
        <v>2504</v>
      </c>
      <c r="Q640" s="148" t="s">
        <v>1033</v>
      </c>
      <c r="R640" s="148" t="s">
        <v>630</v>
      </c>
      <c r="S640" s="148" t="s">
        <v>812</v>
      </c>
      <c r="T640" s="149">
        <v>19</v>
      </c>
      <c r="U640" s="148" t="s">
        <v>596</v>
      </c>
      <c r="V640" s="150">
        <v>4142.5</v>
      </c>
      <c r="W640" s="151">
        <v>22476.49</v>
      </c>
    </row>
    <row r="641" spans="1:23" ht="15" customHeight="1" x14ac:dyDescent="0.25">
      <c r="A641" s="148">
        <v>1139</v>
      </c>
      <c r="B641" s="148" t="s">
        <v>454</v>
      </c>
      <c r="C641" s="143" t="s">
        <v>2504</v>
      </c>
      <c r="D641" s="143" t="s">
        <v>2504</v>
      </c>
      <c r="E641" s="143" t="s">
        <v>2504</v>
      </c>
      <c r="F641" s="143" t="s">
        <v>2504</v>
      </c>
      <c r="G641" s="143" t="s">
        <v>2504</v>
      </c>
      <c r="H641" s="143" t="s">
        <v>454</v>
      </c>
      <c r="I641" s="143" t="s">
        <v>2504</v>
      </c>
      <c r="J641" s="143" t="s">
        <v>2504</v>
      </c>
      <c r="K641" s="143" t="s">
        <v>2504</v>
      </c>
      <c r="L641" s="143" t="s">
        <v>2504</v>
      </c>
      <c r="M641" s="143" t="s">
        <v>2504</v>
      </c>
      <c r="N641" s="143" t="s">
        <v>2504</v>
      </c>
      <c r="O641" s="143" t="s">
        <v>2504</v>
      </c>
      <c r="P641" s="143" t="s">
        <v>2504</v>
      </c>
      <c r="Q641" s="148" t="s">
        <v>1037</v>
      </c>
      <c r="R641" s="148" t="s">
        <v>630</v>
      </c>
      <c r="S641" s="148" t="s">
        <v>835</v>
      </c>
      <c r="T641" s="149">
        <v>1</v>
      </c>
      <c r="U641" s="241" t="s">
        <v>591</v>
      </c>
      <c r="V641" s="150">
        <v>99.11</v>
      </c>
      <c r="W641" s="151">
        <v>30279.919999999998</v>
      </c>
    </row>
    <row r="642" spans="1:23" ht="15" customHeight="1" x14ac:dyDescent="0.25">
      <c r="A642" s="148">
        <v>10186</v>
      </c>
      <c r="B642" s="148" t="s">
        <v>515</v>
      </c>
      <c r="C642" s="143" t="s">
        <v>2504</v>
      </c>
      <c r="D642" s="143" t="s">
        <v>2504</v>
      </c>
      <c r="E642" s="143" t="s">
        <v>2504</v>
      </c>
      <c r="F642" s="143" t="s">
        <v>2504</v>
      </c>
      <c r="G642" s="143" t="s">
        <v>2504</v>
      </c>
      <c r="H642" s="143" t="s">
        <v>515</v>
      </c>
      <c r="I642" s="143" t="s">
        <v>2504</v>
      </c>
      <c r="J642" s="143" t="s">
        <v>2504</v>
      </c>
      <c r="K642" s="143" t="s">
        <v>2504</v>
      </c>
      <c r="L642" s="143" t="s">
        <v>2504</v>
      </c>
      <c r="M642" s="143" t="s">
        <v>2504</v>
      </c>
      <c r="N642" s="143" t="s">
        <v>2504</v>
      </c>
      <c r="O642" s="143" t="s">
        <v>2504</v>
      </c>
      <c r="P642" s="143" t="s">
        <v>2504</v>
      </c>
      <c r="Q642" s="148" t="s">
        <v>1233</v>
      </c>
      <c r="R642" s="148" t="s">
        <v>630</v>
      </c>
      <c r="S642" s="148" t="s">
        <v>1234</v>
      </c>
      <c r="T642" s="149">
        <v>1</v>
      </c>
      <c r="U642" s="241" t="s">
        <v>591</v>
      </c>
      <c r="V642" s="150">
        <v>86.18</v>
      </c>
      <c r="W642" s="151">
        <v>31665.59</v>
      </c>
    </row>
    <row r="643" spans="1:23" ht="15" customHeight="1" x14ac:dyDescent="0.25">
      <c r="A643" s="148">
        <v>16802</v>
      </c>
      <c r="B643" s="148" t="s">
        <v>513</v>
      </c>
      <c r="C643" s="143" t="s">
        <v>2504</v>
      </c>
      <c r="D643" s="143" t="s">
        <v>2504</v>
      </c>
      <c r="E643" s="143" t="s">
        <v>2504</v>
      </c>
      <c r="F643" s="143" t="s">
        <v>2504</v>
      </c>
      <c r="G643" s="143" t="s">
        <v>2504</v>
      </c>
      <c r="H643" s="143" t="s">
        <v>513</v>
      </c>
      <c r="I643" s="143" t="s">
        <v>2504</v>
      </c>
      <c r="J643" s="143" t="s">
        <v>2504</v>
      </c>
      <c r="K643" s="143" t="s">
        <v>2504</v>
      </c>
      <c r="L643" s="143" t="s">
        <v>2504</v>
      </c>
      <c r="M643" s="143" t="s">
        <v>2504</v>
      </c>
      <c r="N643" s="143" t="s">
        <v>2504</v>
      </c>
      <c r="O643" s="143" t="s">
        <v>2504</v>
      </c>
      <c r="P643" s="143" t="s">
        <v>2504</v>
      </c>
      <c r="Q643" s="148" t="s">
        <v>2346</v>
      </c>
      <c r="R643" s="148" t="s">
        <v>630</v>
      </c>
      <c r="S643" s="148" t="s">
        <v>830</v>
      </c>
      <c r="T643" s="149">
        <v>1</v>
      </c>
      <c r="U643" s="241" t="s">
        <v>591</v>
      </c>
      <c r="V643" s="150">
        <v>86.36</v>
      </c>
      <c r="W643" s="151">
        <v>34781.9</v>
      </c>
    </row>
    <row r="644" spans="1:23" ht="15" customHeight="1" x14ac:dyDescent="0.25">
      <c r="A644" s="148">
        <v>16803</v>
      </c>
      <c r="B644" s="148" t="s">
        <v>468</v>
      </c>
      <c r="C644" s="143" t="s">
        <v>2504</v>
      </c>
      <c r="D644" s="143" t="s">
        <v>2504</v>
      </c>
      <c r="E644" s="143" t="s">
        <v>2504</v>
      </c>
      <c r="F644" s="143" t="s">
        <v>2504</v>
      </c>
      <c r="G644" s="143" t="s">
        <v>2504</v>
      </c>
      <c r="H644" s="143" t="s">
        <v>468</v>
      </c>
      <c r="I644" s="143" t="s">
        <v>2504</v>
      </c>
      <c r="J644" s="143" t="s">
        <v>2504</v>
      </c>
      <c r="K644" s="143" t="s">
        <v>2504</v>
      </c>
      <c r="L644" s="143" t="s">
        <v>2504</v>
      </c>
      <c r="M644" s="143" t="s">
        <v>2504</v>
      </c>
      <c r="N644" s="143" t="s">
        <v>2504</v>
      </c>
      <c r="O644" s="143" t="s">
        <v>2504</v>
      </c>
      <c r="P644" s="143" t="s">
        <v>2504</v>
      </c>
      <c r="Q644" s="148" t="s">
        <v>2347</v>
      </c>
      <c r="R644" s="148" t="s">
        <v>630</v>
      </c>
      <c r="S644" s="148" t="s">
        <v>830</v>
      </c>
      <c r="T644" s="149">
        <v>1</v>
      </c>
      <c r="U644" s="241" t="s">
        <v>591</v>
      </c>
      <c r="V644" s="150">
        <v>91.35</v>
      </c>
      <c r="W644" s="151">
        <v>39581.279999999999</v>
      </c>
    </row>
    <row r="645" spans="1:23" ht="15" customHeight="1" x14ac:dyDescent="0.25">
      <c r="A645" s="148">
        <v>16801</v>
      </c>
      <c r="B645" s="148" t="s">
        <v>546</v>
      </c>
      <c r="C645" s="143" t="s">
        <v>2504</v>
      </c>
      <c r="D645" s="143" t="s">
        <v>2504</v>
      </c>
      <c r="E645" s="143" t="s">
        <v>2504</v>
      </c>
      <c r="F645" s="143" t="s">
        <v>2504</v>
      </c>
      <c r="G645" s="143" t="s">
        <v>2504</v>
      </c>
      <c r="H645" s="143" t="s">
        <v>546</v>
      </c>
      <c r="I645" s="143" t="s">
        <v>2504</v>
      </c>
      <c r="J645" s="143" t="s">
        <v>2504</v>
      </c>
      <c r="K645" s="143" t="s">
        <v>2504</v>
      </c>
      <c r="L645" s="143" t="s">
        <v>2504</v>
      </c>
      <c r="M645" s="143" t="s">
        <v>2504</v>
      </c>
      <c r="N645" s="143" t="s">
        <v>2504</v>
      </c>
      <c r="O645" s="143" t="s">
        <v>2504</v>
      </c>
      <c r="P645" s="143" t="s">
        <v>2504</v>
      </c>
      <c r="Q645" s="148" t="s">
        <v>2345</v>
      </c>
      <c r="R645" s="148" t="s">
        <v>630</v>
      </c>
      <c r="S645" s="148" t="s">
        <v>840</v>
      </c>
      <c r="T645" s="149">
        <v>1</v>
      </c>
      <c r="U645" s="241" t="s">
        <v>591</v>
      </c>
      <c r="V645" s="150">
        <v>115.26</v>
      </c>
      <c r="W645" s="151">
        <v>22696.720000000001</v>
      </c>
    </row>
    <row r="646" spans="1:23" ht="15" customHeight="1" x14ac:dyDescent="0.25">
      <c r="A646" s="148">
        <v>1135</v>
      </c>
      <c r="B646" s="148" t="s">
        <v>452</v>
      </c>
      <c r="C646" s="143" t="s">
        <v>2504</v>
      </c>
      <c r="D646" s="143" t="s">
        <v>2504</v>
      </c>
      <c r="E646" s="143" t="s">
        <v>2504</v>
      </c>
      <c r="F646" s="143" t="s">
        <v>2504</v>
      </c>
      <c r="G646" s="143" t="s">
        <v>2504</v>
      </c>
      <c r="H646" s="143" t="s">
        <v>452</v>
      </c>
      <c r="I646" s="143" t="s">
        <v>2504</v>
      </c>
      <c r="J646" s="143" t="s">
        <v>2504</v>
      </c>
      <c r="K646" s="143" t="s">
        <v>2504</v>
      </c>
      <c r="L646" s="143" t="s">
        <v>2504</v>
      </c>
      <c r="M646" s="143" t="s">
        <v>2504</v>
      </c>
      <c r="N646" s="143" t="s">
        <v>2504</v>
      </c>
      <c r="O646" s="143" t="s">
        <v>2504</v>
      </c>
      <c r="P646" s="143" t="s">
        <v>2504</v>
      </c>
      <c r="Q646" s="148" t="s">
        <v>1036</v>
      </c>
      <c r="R646" s="148" t="s">
        <v>630</v>
      </c>
      <c r="S646" s="148" t="s">
        <v>631</v>
      </c>
      <c r="T646" s="149">
        <v>1</v>
      </c>
      <c r="U646" s="241" t="s">
        <v>591</v>
      </c>
      <c r="V646" s="150">
        <v>81.92</v>
      </c>
      <c r="W646" s="151">
        <v>17776.18</v>
      </c>
    </row>
    <row r="647" spans="1:23" ht="15" customHeight="1" x14ac:dyDescent="0.25">
      <c r="A647" s="148">
        <v>1140</v>
      </c>
      <c r="B647" s="148" t="s">
        <v>453</v>
      </c>
      <c r="C647" s="143" t="s">
        <v>2504</v>
      </c>
      <c r="D647" s="143" t="s">
        <v>2504</v>
      </c>
      <c r="E647" s="143" t="s">
        <v>2504</v>
      </c>
      <c r="F647" s="143" t="s">
        <v>2504</v>
      </c>
      <c r="G647" s="143" t="s">
        <v>2504</v>
      </c>
      <c r="H647" s="143" t="s">
        <v>453</v>
      </c>
      <c r="I647" s="143" t="s">
        <v>2504</v>
      </c>
      <c r="J647" s="143" t="s">
        <v>2504</v>
      </c>
      <c r="K647" s="143" t="s">
        <v>2504</v>
      </c>
      <c r="L647" s="143" t="s">
        <v>2504</v>
      </c>
      <c r="M647" s="143" t="s">
        <v>2504</v>
      </c>
      <c r="N647" s="143" t="s">
        <v>2504</v>
      </c>
      <c r="O647" s="143" t="s">
        <v>2504</v>
      </c>
      <c r="P647" s="143" t="s">
        <v>2504</v>
      </c>
      <c r="Q647" s="148" t="s">
        <v>1038</v>
      </c>
      <c r="R647" s="148" t="s">
        <v>630</v>
      </c>
      <c r="S647" s="148" t="s">
        <v>631</v>
      </c>
      <c r="T647" s="149">
        <v>1</v>
      </c>
      <c r="U647" s="241" t="s">
        <v>591</v>
      </c>
      <c r="V647" s="150">
        <v>82.07</v>
      </c>
      <c r="W647" s="151">
        <v>2081.69</v>
      </c>
    </row>
    <row r="648" spans="1:23" ht="15" customHeight="1" x14ac:dyDescent="0.25">
      <c r="A648" s="148">
        <v>16170</v>
      </c>
      <c r="B648" s="148" t="s">
        <v>550</v>
      </c>
      <c r="C648" s="143" t="s">
        <v>2504</v>
      </c>
      <c r="D648" s="143" t="s">
        <v>2504</v>
      </c>
      <c r="E648" s="143" t="s">
        <v>2504</v>
      </c>
      <c r="F648" s="143" t="s">
        <v>2504</v>
      </c>
      <c r="G648" s="143" t="s">
        <v>2504</v>
      </c>
      <c r="H648" s="143" t="s">
        <v>550</v>
      </c>
      <c r="I648" s="143" t="s">
        <v>2504</v>
      </c>
      <c r="J648" s="143" t="s">
        <v>2504</v>
      </c>
      <c r="K648" s="143" t="s">
        <v>2504</v>
      </c>
      <c r="L648" s="143" t="s">
        <v>2504</v>
      </c>
      <c r="M648" s="143" t="s">
        <v>2504</v>
      </c>
      <c r="N648" s="143" t="s">
        <v>2504</v>
      </c>
      <c r="O648" s="143" t="s">
        <v>2504</v>
      </c>
      <c r="P648" s="143" t="s">
        <v>2504</v>
      </c>
      <c r="Q648" s="148" t="s">
        <v>2194</v>
      </c>
      <c r="R648" s="148" t="s">
        <v>630</v>
      </c>
      <c r="S648" s="148" t="s">
        <v>2195</v>
      </c>
      <c r="T648" s="149">
        <v>1</v>
      </c>
      <c r="U648" s="241" t="s">
        <v>591</v>
      </c>
      <c r="V648" s="150">
        <v>111.04</v>
      </c>
      <c r="W648" s="151">
        <v>2149.4499999999998</v>
      </c>
    </row>
    <row r="649" spans="1:23" ht="15" customHeight="1" x14ac:dyDescent="0.25">
      <c r="A649" s="148">
        <v>1167</v>
      </c>
      <c r="B649" s="148" t="s">
        <v>549</v>
      </c>
      <c r="C649" s="143" t="s">
        <v>2504</v>
      </c>
      <c r="D649" s="143" t="s">
        <v>2504</v>
      </c>
      <c r="E649" s="143" t="s">
        <v>2504</v>
      </c>
      <c r="F649" s="143" t="s">
        <v>2504</v>
      </c>
      <c r="G649" s="143" t="s">
        <v>2504</v>
      </c>
      <c r="H649" s="143" t="s">
        <v>549</v>
      </c>
      <c r="I649" s="143" t="s">
        <v>2504</v>
      </c>
      <c r="J649" s="143" t="s">
        <v>2504</v>
      </c>
      <c r="K649" s="143" t="s">
        <v>2504</v>
      </c>
      <c r="L649" s="143" t="s">
        <v>2504</v>
      </c>
      <c r="M649" s="143" t="s">
        <v>2504</v>
      </c>
      <c r="N649" s="143" t="s">
        <v>2504</v>
      </c>
      <c r="O649" s="143" t="s">
        <v>2504</v>
      </c>
      <c r="P649" s="143" t="s">
        <v>2504</v>
      </c>
      <c r="Q649" s="148" t="s">
        <v>1041</v>
      </c>
      <c r="R649" s="148" t="s">
        <v>630</v>
      </c>
      <c r="S649" s="148" t="s">
        <v>1042</v>
      </c>
      <c r="T649" s="149">
        <v>1</v>
      </c>
      <c r="U649" s="241" t="s">
        <v>591</v>
      </c>
      <c r="V649" s="150">
        <v>106.94</v>
      </c>
      <c r="W649" s="151">
        <v>1974.23</v>
      </c>
    </row>
    <row r="650" spans="1:23" ht="15" customHeight="1" x14ac:dyDescent="0.25">
      <c r="A650" s="148">
        <v>10185</v>
      </c>
      <c r="B650" s="148" t="s">
        <v>547</v>
      </c>
      <c r="C650" s="143" t="s">
        <v>2504</v>
      </c>
      <c r="D650" s="143" t="s">
        <v>2504</v>
      </c>
      <c r="E650" s="143" t="s">
        <v>2504</v>
      </c>
      <c r="F650" s="143" t="s">
        <v>2504</v>
      </c>
      <c r="G650" s="143" t="s">
        <v>2504</v>
      </c>
      <c r="H650" s="143" t="s">
        <v>547</v>
      </c>
      <c r="I650" s="143" t="s">
        <v>2504</v>
      </c>
      <c r="J650" s="143" t="s">
        <v>2504</v>
      </c>
      <c r="K650" s="143" t="s">
        <v>2504</v>
      </c>
      <c r="L650" s="143" t="s">
        <v>2504</v>
      </c>
      <c r="M650" s="143" t="s">
        <v>2504</v>
      </c>
      <c r="N650" s="143" t="s">
        <v>2504</v>
      </c>
      <c r="O650" s="143" t="s">
        <v>2504</v>
      </c>
      <c r="P650" s="143" t="s">
        <v>2504</v>
      </c>
      <c r="Q650" s="148" t="s">
        <v>1232</v>
      </c>
      <c r="R650" s="148" t="s">
        <v>630</v>
      </c>
      <c r="S650" s="148" t="s">
        <v>886</v>
      </c>
      <c r="T650" s="149">
        <v>1</v>
      </c>
      <c r="U650" s="241" t="s">
        <v>591</v>
      </c>
      <c r="V650" s="150">
        <v>93.46</v>
      </c>
      <c r="W650" s="151">
        <v>2221.8200000000002</v>
      </c>
    </row>
    <row r="651" spans="1:23" ht="15" customHeight="1" x14ac:dyDescent="0.25">
      <c r="A651" s="148">
        <v>1169</v>
      </c>
      <c r="B651" s="148" t="s">
        <v>551</v>
      </c>
      <c r="C651" s="143" t="s">
        <v>2504</v>
      </c>
      <c r="D651" s="143" t="s">
        <v>2504</v>
      </c>
      <c r="E651" s="143" t="s">
        <v>2504</v>
      </c>
      <c r="F651" s="143" t="s">
        <v>2504</v>
      </c>
      <c r="G651" s="143" t="s">
        <v>2504</v>
      </c>
      <c r="H651" s="143" t="s">
        <v>551</v>
      </c>
      <c r="I651" s="143" t="s">
        <v>2504</v>
      </c>
      <c r="J651" s="143" t="s">
        <v>2504</v>
      </c>
      <c r="K651" s="143" t="s">
        <v>2504</v>
      </c>
      <c r="L651" s="143" t="s">
        <v>2504</v>
      </c>
      <c r="M651" s="143" t="s">
        <v>2504</v>
      </c>
      <c r="N651" s="143" t="s">
        <v>2504</v>
      </c>
      <c r="O651" s="143" t="s">
        <v>2504</v>
      </c>
      <c r="P651" s="143" t="s">
        <v>2504</v>
      </c>
      <c r="Q651" s="148" t="s">
        <v>1043</v>
      </c>
      <c r="R651" s="148" t="s">
        <v>606</v>
      </c>
      <c r="S651" s="148" t="s">
        <v>615</v>
      </c>
      <c r="T651" s="149">
        <v>1</v>
      </c>
      <c r="U651" s="241" t="s">
        <v>591</v>
      </c>
      <c r="V651" s="150">
        <v>89.83</v>
      </c>
      <c r="W651" s="151">
        <v>2281.31</v>
      </c>
    </row>
    <row r="652" spans="1:23" ht="15" customHeight="1" x14ac:dyDescent="0.25">
      <c r="A652" s="148">
        <v>1221</v>
      </c>
      <c r="B652" s="148" t="s">
        <v>456</v>
      </c>
      <c r="C652" s="143" t="s">
        <v>2504</v>
      </c>
      <c r="D652" s="143" t="s">
        <v>2504</v>
      </c>
      <c r="E652" s="143" t="s">
        <v>2504</v>
      </c>
      <c r="F652" s="143" t="s">
        <v>2504</v>
      </c>
      <c r="G652" s="143" t="s">
        <v>2504</v>
      </c>
      <c r="H652" s="143" t="s">
        <v>456</v>
      </c>
      <c r="I652" s="143" t="s">
        <v>2504</v>
      </c>
      <c r="J652" s="143" t="s">
        <v>2504</v>
      </c>
      <c r="K652" s="143" t="s">
        <v>2504</v>
      </c>
      <c r="L652" s="143" t="s">
        <v>2504</v>
      </c>
      <c r="M652" s="143" t="s">
        <v>2504</v>
      </c>
      <c r="N652" s="143" t="s">
        <v>2504</v>
      </c>
      <c r="O652" s="143" t="s">
        <v>2504</v>
      </c>
      <c r="P652" s="143" t="s">
        <v>2504</v>
      </c>
      <c r="Q652" s="148" t="s">
        <v>1061</v>
      </c>
      <c r="R652" s="148" t="s">
        <v>606</v>
      </c>
      <c r="S652" s="148" t="s">
        <v>661</v>
      </c>
      <c r="T652" s="149">
        <v>1</v>
      </c>
      <c r="U652" s="241" t="s">
        <v>591</v>
      </c>
      <c r="V652" s="150">
        <v>98.52</v>
      </c>
      <c r="W652" s="151">
        <v>2333.29</v>
      </c>
    </row>
    <row r="653" spans="1:23" ht="15" customHeight="1" x14ac:dyDescent="0.25">
      <c r="A653" s="148">
        <v>1208</v>
      </c>
      <c r="B653" s="148" t="s">
        <v>455</v>
      </c>
      <c r="C653" s="143" t="s">
        <v>2504</v>
      </c>
      <c r="D653" s="143" t="s">
        <v>2504</v>
      </c>
      <c r="E653" s="143" t="s">
        <v>2504</v>
      </c>
      <c r="F653" s="143" t="s">
        <v>2504</v>
      </c>
      <c r="G653" s="143" t="s">
        <v>2504</v>
      </c>
      <c r="H653" s="143" t="s">
        <v>455</v>
      </c>
      <c r="I653" s="143" t="s">
        <v>2504</v>
      </c>
      <c r="J653" s="143" t="s">
        <v>2504</v>
      </c>
      <c r="K653" s="143" t="s">
        <v>2504</v>
      </c>
      <c r="L653" s="143" t="s">
        <v>2504</v>
      </c>
      <c r="M653" s="143" t="s">
        <v>2504</v>
      </c>
      <c r="N653" s="143" t="s">
        <v>2504</v>
      </c>
      <c r="O653" s="143" t="s">
        <v>2504</v>
      </c>
      <c r="P653" s="143" t="s">
        <v>2504</v>
      </c>
      <c r="Q653" s="148" t="s">
        <v>1051</v>
      </c>
      <c r="R653" s="148" t="s">
        <v>606</v>
      </c>
      <c r="S653" s="148" t="s">
        <v>848</v>
      </c>
      <c r="T653" s="149">
        <v>1</v>
      </c>
      <c r="U653" s="241" t="s">
        <v>591</v>
      </c>
      <c r="V653" s="150">
        <v>82.85</v>
      </c>
      <c r="W653" s="151">
        <v>2328.6799999999998</v>
      </c>
    </row>
    <row r="654" spans="1:23" ht="15" customHeight="1" x14ac:dyDescent="0.25">
      <c r="A654" s="148">
        <v>39</v>
      </c>
      <c r="B654" s="148" t="s">
        <v>449</v>
      </c>
      <c r="C654" s="143" t="s">
        <v>2504</v>
      </c>
      <c r="D654" s="143" t="s">
        <v>2504</v>
      </c>
      <c r="E654" s="143" t="s">
        <v>2504</v>
      </c>
      <c r="F654" s="143" t="s">
        <v>2504</v>
      </c>
      <c r="G654" s="143" t="s">
        <v>2504</v>
      </c>
      <c r="H654" s="143" t="s">
        <v>449</v>
      </c>
      <c r="I654" s="143" t="s">
        <v>2504</v>
      </c>
      <c r="J654" s="143" t="s">
        <v>2504</v>
      </c>
      <c r="K654" s="143" t="s">
        <v>2504</v>
      </c>
      <c r="L654" s="143" t="s">
        <v>2504</v>
      </c>
      <c r="M654" s="143" t="s">
        <v>2504</v>
      </c>
      <c r="N654" s="143" t="s">
        <v>2504</v>
      </c>
      <c r="O654" s="143" t="s">
        <v>2504</v>
      </c>
      <c r="P654" s="143" t="s">
        <v>2504</v>
      </c>
      <c r="Q654" s="148" t="s">
        <v>605</v>
      </c>
      <c r="R654" s="148" t="s">
        <v>606</v>
      </c>
      <c r="S654" s="148" t="s">
        <v>607</v>
      </c>
      <c r="T654" s="149">
        <v>19</v>
      </c>
      <c r="U654" s="241" t="s">
        <v>591</v>
      </c>
      <c r="V654" s="150">
        <v>2102.5500000000002</v>
      </c>
      <c r="W654" s="151">
        <v>1760.66</v>
      </c>
    </row>
    <row r="655" spans="1:23" ht="15" customHeight="1" x14ac:dyDescent="0.25">
      <c r="A655" s="148">
        <v>40</v>
      </c>
      <c r="B655" s="148" t="s">
        <v>450</v>
      </c>
      <c r="C655" s="143" t="s">
        <v>2504</v>
      </c>
      <c r="D655" s="143" t="s">
        <v>2504</v>
      </c>
      <c r="E655" s="143" t="s">
        <v>2504</v>
      </c>
      <c r="F655" s="143" t="s">
        <v>2504</v>
      </c>
      <c r="G655" s="143" t="s">
        <v>2504</v>
      </c>
      <c r="H655" s="143" t="s">
        <v>450</v>
      </c>
      <c r="I655" s="143" t="s">
        <v>2504</v>
      </c>
      <c r="J655" s="143" t="s">
        <v>2504</v>
      </c>
      <c r="K655" s="143" t="s">
        <v>2504</v>
      </c>
      <c r="L655" s="143" t="s">
        <v>2504</v>
      </c>
      <c r="M655" s="143" t="s">
        <v>2504</v>
      </c>
      <c r="N655" s="143" t="s">
        <v>2504</v>
      </c>
      <c r="O655" s="143" t="s">
        <v>2504</v>
      </c>
      <c r="P655" s="143" t="s">
        <v>2504</v>
      </c>
      <c r="Q655" s="148" t="s">
        <v>608</v>
      </c>
      <c r="R655" s="148" t="s">
        <v>606</v>
      </c>
      <c r="S655" s="148" t="s">
        <v>607</v>
      </c>
      <c r="T655" s="149">
        <v>19</v>
      </c>
      <c r="U655" s="241" t="s">
        <v>591</v>
      </c>
      <c r="V655" s="150">
        <v>2216.89</v>
      </c>
      <c r="W655" s="151">
        <v>1765.65</v>
      </c>
    </row>
    <row r="656" spans="1:23" ht="15" customHeight="1" x14ac:dyDescent="0.25">
      <c r="A656" s="148">
        <v>1213</v>
      </c>
      <c r="B656" s="148" t="s">
        <v>446</v>
      </c>
      <c r="C656" s="143" t="s">
        <v>2504</v>
      </c>
      <c r="D656" s="143" t="s">
        <v>2504</v>
      </c>
      <c r="E656" s="143" t="s">
        <v>2504</v>
      </c>
      <c r="F656" s="143" t="s">
        <v>2504</v>
      </c>
      <c r="G656" s="143" t="s">
        <v>2504</v>
      </c>
      <c r="H656" s="143" t="s">
        <v>446</v>
      </c>
      <c r="I656" s="143" t="s">
        <v>2504</v>
      </c>
      <c r="J656" s="143" t="s">
        <v>2504</v>
      </c>
      <c r="K656" s="143" t="s">
        <v>2504</v>
      </c>
      <c r="L656" s="143" t="s">
        <v>2504</v>
      </c>
      <c r="M656" s="143" t="s">
        <v>2504</v>
      </c>
      <c r="N656" s="143" t="s">
        <v>2504</v>
      </c>
      <c r="O656" s="143" t="s">
        <v>2504</v>
      </c>
      <c r="P656" s="143" t="s">
        <v>2504</v>
      </c>
      <c r="Q656" s="148" t="s">
        <v>1054</v>
      </c>
      <c r="R656" s="148" t="s">
        <v>606</v>
      </c>
      <c r="S656" s="148" t="s">
        <v>607</v>
      </c>
      <c r="T656" s="149">
        <v>200</v>
      </c>
      <c r="U656" s="241" t="s">
        <v>591</v>
      </c>
      <c r="V656" s="150">
        <v>22412.39</v>
      </c>
      <c r="W656" s="151">
        <v>1776.31</v>
      </c>
    </row>
    <row r="657" spans="1:23" ht="15" customHeight="1" x14ac:dyDescent="0.25">
      <c r="A657" s="148">
        <v>1214</v>
      </c>
      <c r="B657" s="148" t="s">
        <v>447</v>
      </c>
      <c r="C657" s="143" t="s">
        <v>2504</v>
      </c>
      <c r="D657" s="143" t="s">
        <v>2504</v>
      </c>
      <c r="E657" s="143" t="s">
        <v>2504</v>
      </c>
      <c r="F657" s="143" t="s">
        <v>2504</v>
      </c>
      <c r="G657" s="143" t="s">
        <v>2504</v>
      </c>
      <c r="H657" s="143" t="s">
        <v>447</v>
      </c>
      <c r="I657" s="143" t="s">
        <v>2504</v>
      </c>
      <c r="J657" s="143" t="s">
        <v>2504</v>
      </c>
      <c r="K657" s="143" t="s">
        <v>2504</v>
      </c>
      <c r="L657" s="143" t="s">
        <v>2504</v>
      </c>
      <c r="M657" s="143" t="s">
        <v>2504</v>
      </c>
      <c r="N657" s="143" t="s">
        <v>2504</v>
      </c>
      <c r="O657" s="143" t="s">
        <v>2504</v>
      </c>
      <c r="P657" s="143" t="s">
        <v>2504</v>
      </c>
      <c r="Q657" s="148" t="s">
        <v>1055</v>
      </c>
      <c r="R657" s="148" t="s">
        <v>606</v>
      </c>
      <c r="S657" s="148" t="s">
        <v>607</v>
      </c>
      <c r="T657" s="149">
        <v>200</v>
      </c>
      <c r="U657" s="241" t="s">
        <v>591</v>
      </c>
      <c r="V657" s="150">
        <v>23068.240000000002</v>
      </c>
      <c r="W657" s="151">
        <v>1817.68</v>
      </c>
    </row>
    <row r="658" spans="1:23" ht="15" customHeight="1" x14ac:dyDescent="0.25">
      <c r="A658" s="148">
        <v>1215</v>
      </c>
      <c r="B658" s="148" t="s">
        <v>451</v>
      </c>
      <c r="C658" s="143" t="s">
        <v>2504</v>
      </c>
      <c r="D658" s="143" t="s">
        <v>2504</v>
      </c>
      <c r="E658" s="143" t="s">
        <v>2504</v>
      </c>
      <c r="F658" s="143" t="s">
        <v>2504</v>
      </c>
      <c r="G658" s="143" t="s">
        <v>2504</v>
      </c>
      <c r="H658" s="143" t="s">
        <v>451</v>
      </c>
      <c r="I658" s="143" t="s">
        <v>2504</v>
      </c>
      <c r="J658" s="143" t="s">
        <v>2504</v>
      </c>
      <c r="K658" s="143" t="s">
        <v>2504</v>
      </c>
      <c r="L658" s="143" t="s">
        <v>2504</v>
      </c>
      <c r="M658" s="143" t="s">
        <v>2504</v>
      </c>
      <c r="N658" s="143" t="s">
        <v>2504</v>
      </c>
      <c r="O658" s="143" t="s">
        <v>2504</v>
      </c>
      <c r="P658" s="143" t="s">
        <v>2504</v>
      </c>
      <c r="Q658" s="148" t="s">
        <v>1056</v>
      </c>
      <c r="R658" s="148" t="s">
        <v>606</v>
      </c>
      <c r="S658" s="148" t="s">
        <v>607</v>
      </c>
      <c r="T658" s="149">
        <v>200</v>
      </c>
      <c r="U658" s="241" t="s">
        <v>591</v>
      </c>
      <c r="V658" s="150">
        <v>23178.99</v>
      </c>
      <c r="W658" s="151">
        <v>1823.49</v>
      </c>
    </row>
    <row r="659" spans="1:23" ht="15" customHeight="1" x14ac:dyDescent="0.25">
      <c r="A659" s="148">
        <v>1217</v>
      </c>
      <c r="B659" s="148" t="s">
        <v>448</v>
      </c>
      <c r="C659" s="143" t="s">
        <v>2504</v>
      </c>
      <c r="D659" s="143" t="s">
        <v>2504</v>
      </c>
      <c r="E659" s="143" t="s">
        <v>2504</v>
      </c>
      <c r="F659" s="143" t="s">
        <v>2504</v>
      </c>
      <c r="G659" s="143" t="s">
        <v>2504</v>
      </c>
      <c r="H659" s="143" t="s">
        <v>448</v>
      </c>
      <c r="I659" s="143" t="s">
        <v>2504</v>
      </c>
      <c r="J659" s="143" t="s">
        <v>2504</v>
      </c>
      <c r="K659" s="143" t="s">
        <v>2504</v>
      </c>
      <c r="L659" s="143" t="s">
        <v>2504</v>
      </c>
      <c r="M659" s="143" t="s">
        <v>2504</v>
      </c>
      <c r="N659" s="143" t="s">
        <v>2504</v>
      </c>
      <c r="O659" s="143" t="s">
        <v>2504</v>
      </c>
      <c r="P659" s="143" t="s">
        <v>2504</v>
      </c>
      <c r="Q659" s="148" t="s">
        <v>1060</v>
      </c>
      <c r="R659" s="148" t="s">
        <v>606</v>
      </c>
      <c r="S659" s="148" t="s">
        <v>607</v>
      </c>
      <c r="T659" s="149">
        <v>19</v>
      </c>
      <c r="U659" s="241" t="s">
        <v>591</v>
      </c>
      <c r="V659" s="150">
        <v>2200.54</v>
      </c>
      <c r="W659" s="151">
        <v>1863.56</v>
      </c>
    </row>
    <row r="660" spans="1:23" ht="15" customHeight="1" x14ac:dyDescent="0.25">
      <c r="A660" s="148">
        <v>1099</v>
      </c>
      <c r="B660" s="148" t="s">
        <v>458</v>
      </c>
      <c r="C660" s="143" t="s">
        <v>2504</v>
      </c>
      <c r="D660" s="143" t="s">
        <v>2504</v>
      </c>
      <c r="E660" s="143" t="s">
        <v>2504</v>
      </c>
      <c r="F660" s="143" t="s">
        <v>2504</v>
      </c>
      <c r="G660" s="143" t="s">
        <v>2504</v>
      </c>
      <c r="H660" s="143" t="s">
        <v>458</v>
      </c>
      <c r="I660" s="143" t="s">
        <v>2504</v>
      </c>
      <c r="J660" s="143" t="s">
        <v>2504</v>
      </c>
      <c r="K660" s="143" t="s">
        <v>2504</v>
      </c>
      <c r="L660" s="143" t="s">
        <v>2504</v>
      </c>
      <c r="M660" s="143" t="s">
        <v>2504</v>
      </c>
      <c r="N660" s="143" t="s">
        <v>2504</v>
      </c>
      <c r="O660" s="143" t="s">
        <v>2504</v>
      </c>
      <c r="P660" s="143" t="s">
        <v>2504</v>
      </c>
      <c r="Q660" s="148" t="s">
        <v>1032</v>
      </c>
      <c r="R660" s="148" t="s">
        <v>589</v>
      </c>
      <c r="S660" s="148" t="s">
        <v>590</v>
      </c>
      <c r="T660" s="149">
        <v>1</v>
      </c>
      <c r="U660" s="241" t="s">
        <v>591</v>
      </c>
      <c r="V660" s="150">
        <v>40.200000000000003</v>
      </c>
      <c r="W660" s="151">
        <v>1926.05</v>
      </c>
    </row>
    <row r="661" spans="1:23" ht="15" customHeight="1" x14ac:dyDescent="0.25">
      <c r="A661" s="148">
        <v>429</v>
      </c>
      <c r="B661" s="148" t="s">
        <v>459</v>
      </c>
      <c r="C661" s="143" t="s">
        <v>2504</v>
      </c>
      <c r="D661" s="143" t="s">
        <v>2504</v>
      </c>
      <c r="E661" s="143" t="s">
        <v>2504</v>
      </c>
      <c r="F661" s="143" t="s">
        <v>2504</v>
      </c>
      <c r="G661" s="143" t="s">
        <v>2504</v>
      </c>
      <c r="H661" s="143" t="s">
        <v>459</v>
      </c>
      <c r="I661" s="143" t="s">
        <v>2504</v>
      </c>
      <c r="J661" s="143" t="s">
        <v>2504</v>
      </c>
      <c r="K661" s="143" t="s">
        <v>2504</v>
      </c>
      <c r="L661" s="143" t="s">
        <v>2504</v>
      </c>
      <c r="M661" s="143" t="s">
        <v>2504</v>
      </c>
      <c r="N661" s="143" t="s">
        <v>2504</v>
      </c>
      <c r="O661" s="143" t="s">
        <v>2504</v>
      </c>
      <c r="P661" s="143" t="s">
        <v>2504</v>
      </c>
      <c r="Q661" s="148" t="s">
        <v>809</v>
      </c>
      <c r="R661" s="148" t="s">
        <v>589</v>
      </c>
      <c r="S661" s="148" t="s">
        <v>598</v>
      </c>
      <c r="T661" s="149">
        <v>1</v>
      </c>
      <c r="U661" s="241" t="s">
        <v>591</v>
      </c>
      <c r="V661" s="150">
        <v>50.91</v>
      </c>
      <c r="W661" s="151">
        <v>1925.33</v>
      </c>
    </row>
    <row r="662" spans="1:23" ht="15" customHeight="1" x14ac:dyDescent="0.25">
      <c r="A662" s="148">
        <v>409</v>
      </c>
      <c r="B662" s="148" t="s">
        <v>441</v>
      </c>
      <c r="C662" s="143" t="s">
        <v>2504</v>
      </c>
      <c r="D662" s="143" t="s">
        <v>2504</v>
      </c>
      <c r="E662" s="143" t="s">
        <v>2504</v>
      </c>
      <c r="F662" s="143" t="s">
        <v>2504</v>
      </c>
      <c r="G662" s="143" t="s">
        <v>2504</v>
      </c>
      <c r="H662" s="143" t="s">
        <v>441</v>
      </c>
      <c r="I662" s="143" t="s">
        <v>2504</v>
      </c>
      <c r="J662" s="143" t="s">
        <v>2504</v>
      </c>
      <c r="K662" s="143" t="s">
        <v>2504</v>
      </c>
      <c r="L662" s="143" t="s">
        <v>2504</v>
      </c>
      <c r="M662" s="143" t="s">
        <v>2504</v>
      </c>
      <c r="N662" s="143" t="s">
        <v>2504</v>
      </c>
      <c r="O662" s="143" t="s">
        <v>2504</v>
      </c>
      <c r="P662" s="143" t="s">
        <v>2504</v>
      </c>
      <c r="Q662" s="148" t="s">
        <v>786</v>
      </c>
      <c r="R662" s="148" t="s">
        <v>589</v>
      </c>
      <c r="S662" s="148" t="s">
        <v>787</v>
      </c>
      <c r="T662" s="149">
        <v>19</v>
      </c>
      <c r="U662" s="148" t="s">
        <v>596</v>
      </c>
      <c r="V662" s="150">
        <v>3134.64</v>
      </c>
      <c r="W662" s="151">
        <v>1933.15</v>
      </c>
    </row>
    <row r="663" spans="1:23" ht="15" customHeight="1" x14ac:dyDescent="0.25">
      <c r="A663" s="148">
        <v>431</v>
      </c>
      <c r="B663" s="148" t="s">
        <v>442</v>
      </c>
      <c r="C663" s="143" t="s">
        <v>2504</v>
      </c>
      <c r="D663" s="143" t="s">
        <v>2504</v>
      </c>
      <c r="E663" s="143" t="s">
        <v>2504</v>
      </c>
      <c r="F663" s="143" t="s">
        <v>2504</v>
      </c>
      <c r="G663" s="143" t="s">
        <v>2504</v>
      </c>
      <c r="H663" s="143" t="s">
        <v>442</v>
      </c>
      <c r="I663" s="143" t="s">
        <v>2504</v>
      </c>
      <c r="J663" s="143" t="s">
        <v>2504</v>
      </c>
      <c r="K663" s="143" t="s">
        <v>2504</v>
      </c>
      <c r="L663" s="143" t="s">
        <v>2504</v>
      </c>
      <c r="M663" s="143" t="s">
        <v>2504</v>
      </c>
      <c r="N663" s="143" t="s">
        <v>2504</v>
      </c>
      <c r="O663" s="143" t="s">
        <v>2504</v>
      </c>
      <c r="P663" s="143" t="s">
        <v>2504</v>
      </c>
      <c r="Q663" s="148" t="s">
        <v>810</v>
      </c>
      <c r="R663" s="148" t="s">
        <v>589</v>
      </c>
      <c r="S663" s="148" t="s">
        <v>787</v>
      </c>
      <c r="T663" s="149">
        <v>200</v>
      </c>
      <c r="U663" s="241" t="s">
        <v>591</v>
      </c>
      <c r="V663" s="150">
        <v>32743.94</v>
      </c>
      <c r="W663" s="151">
        <v>1977</v>
      </c>
    </row>
    <row r="664" spans="1:23" ht="15" customHeight="1" x14ac:dyDescent="0.25">
      <c r="A664" s="148">
        <v>16254</v>
      </c>
      <c r="B664" s="148" t="s">
        <v>541</v>
      </c>
      <c r="C664" s="143" t="s">
        <v>2504</v>
      </c>
      <c r="D664" s="143" t="s">
        <v>2504</v>
      </c>
      <c r="E664" s="143" t="s">
        <v>2504</v>
      </c>
      <c r="F664" s="143" t="s">
        <v>2504</v>
      </c>
      <c r="G664" s="143" t="s">
        <v>2504</v>
      </c>
      <c r="H664" s="143" t="s">
        <v>541</v>
      </c>
      <c r="I664" s="143" t="s">
        <v>2504</v>
      </c>
      <c r="J664" s="143" t="s">
        <v>2504</v>
      </c>
      <c r="K664" s="143" t="s">
        <v>2504</v>
      </c>
      <c r="L664" s="143" t="s">
        <v>2504</v>
      </c>
      <c r="M664" s="143" t="s">
        <v>2504</v>
      </c>
      <c r="N664" s="143" t="s">
        <v>2504</v>
      </c>
      <c r="O664" s="143" t="s">
        <v>2504</v>
      </c>
      <c r="P664" s="143" t="s">
        <v>2504</v>
      </c>
      <c r="Q664" s="148" t="s">
        <v>2204</v>
      </c>
      <c r="R664" s="148" t="s">
        <v>600</v>
      </c>
      <c r="S664" s="148" t="s">
        <v>613</v>
      </c>
      <c r="T664" s="149">
        <v>3.7850000000000001</v>
      </c>
      <c r="U664" s="241" t="s">
        <v>591</v>
      </c>
      <c r="V664" s="150">
        <v>246.98</v>
      </c>
      <c r="W664" s="151">
        <v>1982.61</v>
      </c>
    </row>
    <row r="665" spans="1:23" ht="15" customHeight="1" x14ac:dyDescent="0.25">
      <c r="A665" s="148">
        <v>16407</v>
      </c>
      <c r="B665" s="148" t="s">
        <v>444</v>
      </c>
      <c r="C665" s="143" t="s">
        <v>2504</v>
      </c>
      <c r="D665" s="143" t="s">
        <v>2504</v>
      </c>
      <c r="E665" s="143" t="s">
        <v>2504</v>
      </c>
      <c r="F665" s="143" t="s">
        <v>2504</v>
      </c>
      <c r="G665" s="143" t="s">
        <v>2504</v>
      </c>
      <c r="H665" s="143" t="s">
        <v>444</v>
      </c>
      <c r="I665" s="143" t="s">
        <v>2504</v>
      </c>
      <c r="J665" s="143" t="s">
        <v>2504</v>
      </c>
      <c r="K665" s="143" t="s">
        <v>2504</v>
      </c>
      <c r="L665" s="143" t="s">
        <v>2504</v>
      </c>
      <c r="M665" s="143" t="s">
        <v>2504</v>
      </c>
      <c r="N665" s="143" t="s">
        <v>2504</v>
      </c>
      <c r="O665" s="143" t="s">
        <v>2504</v>
      </c>
      <c r="P665" s="143" t="s">
        <v>2504</v>
      </c>
      <c r="Q665" s="148" t="s">
        <v>2244</v>
      </c>
      <c r="R665" s="148" t="s">
        <v>600</v>
      </c>
      <c r="S665" s="148" t="s">
        <v>613</v>
      </c>
      <c r="T665" s="149">
        <v>20</v>
      </c>
      <c r="U665" s="241" t="s">
        <v>591</v>
      </c>
      <c r="V665" s="150">
        <v>1338.47</v>
      </c>
      <c r="W665" s="151">
        <v>2021.46</v>
      </c>
    </row>
    <row r="666" spans="1:23" ht="15" customHeight="1" x14ac:dyDescent="0.25">
      <c r="A666" s="148">
        <v>16408</v>
      </c>
      <c r="B666" s="148" t="s">
        <v>443</v>
      </c>
      <c r="C666" s="143" t="s">
        <v>2504</v>
      </c>
      <c r="D666" s="143" t="s">
        <v>2504</v>
      </c>
      <c r="E666" s="143" t="s">
        <v>2504</v>
      </c>
      <c r="F666" s="143" t="s">
        <v>2504</v>
      </c>
      <c r="G666" s="143" t="s">
        <v>2504</v>
      </c>
      <c r="H666" s="143" t="s">
        <v>443</v>
      </c>
      <c r="I666" s="143" t="s">
        <v>2504</v>
      </c>
      <c r="J666" s="143" t="s">
        <v>2504</v>
      </c>
      <c r="K666" s="143" t="s">
        <v>2504</v>
      </c>
      <c r="L666" s="143" t="s">
        <v>2504</v>
      </c>
      <c r="M666" s="143" t="s">
        <v>2504</v>
      </c>
      <c r="N666" s="143" t="s">
        <v>2504</v>
      </c>
      <c r="O666" s="143" t="s">
        <v>2504</v>
      </c>
      <c r="P666" s="143" t="s">
        <v>2504</v>
      </c>
      <c r="Q666" s="148" t="s">
        <v>2245</v>
      </c>
      <c r="R666" s="148" t="s">
        <v>600</v>
      </c>
      <c r="S666" s="148" t="s">
        <v>613</v>
      </c>
      <c r="T666" s="149">
        <v>20</v>
      </c>
      <c r="U666" s="241" t="s">
        <v>591</v>
      </c>
      <c r="V666" s="150">
        <v>1307.95</v>
      </c>
      <c r="W666" s="151">
        <v>2046.96</v>
      </c>
    </row>
    <row r="667" spans="1:23" ht="15" customHeight="1" x14ac:dyDescent="0.25">
      <c r="A667" s="148">
        <v>16409</v>
      </c>
      <c r="B667" s="148" t="s">
        <v>445</v>
      </c>
      <c r="C667" s="143" t="s">
        <v>2504</v>
      </c>
      <c r="D667" s="143" t="s">
        <v>2504</v>
      </c>
      <c r="E667" s="143" t="s">
        <v>2504</v>
      </c>
      <c r="F667" s="143" t="s">
        <v>2504</v>
      </c>
      <c r="G667" s="143" t="s">
        <v>2504</v>
      </c>
      <c r="H667" s="143" t="s">
        <v>445</v>
      </c>
      <c r="I667" s="143" t="s">
        <v>2504</v>
      </c>
      <c r="J667" s="143" t="s">
        <v>2504</v>
      </c>
      <c r="K667" s="143" t="s">
        <v>2504</v>
      </c>
      <c r="L667" s="143" t="s">
        <v>2504</v>
      </c>
      <c r="M667" s="143" t="s">
        <v>2504</v>
      </c>
      <c r="N667" s="143" t="s">
        <v>2504</v>
      </c>
      <c r="O667" s="143" t="s">
        <v>2504</v>
      </c>
      <c r="P667" s="143" t="s">
        <v>2504</v>
      </c>
      <c r="Q667" s="148" t="s">
        <v>2246</v>
      </c>
      <c r="R667" s="148" t="s">
        <v>600</v>
      </c>
      <c r="S667" s="148" t="s">
        <v>613</v>
      </c>
      <c r="T667" s="149">
        <v>20</v>
      </c>
      <c r="U667" s="241" t="s">
        <v>591</v>
      </c>
      <c r="V667" s="150">
        <v>1422.74</v>
      </c>
      <c r="W667" s="151">
        <v>2049.44</v>
      </c>
    </row>
    <row r="668" spans="1:23" ht="15" customHeight="1" x14ac:dyDescent="0.25">
      <c r="A668" s="148">
        <v>16410</v>
      </c>
      <c r="B668" s="148" t="s">
        <v>568</v>
      </c>
      <c r="C668" s="143" t="s">
        <v>2504</v>
      </c>
      <c r="D668" s="143" t="s">
        <v>2504</v>
      </c>
      <c r="E668" s="143" t="s">
        <v>2504</v>
      </c>
      <c r="F668" s="143" t="s">
        <v>2504</v>
      </c>
      <c r="G668" s="143" t="s">
        <v>2504</v>
      </c>
      <c r="H668" s="143" t="s">
        <v>568</v>
      </c>
      <c r="I668" s="143" t="s">
        <v>2504</v>
      </c>
      <c r="J668" s="143" t="s">
        <v>2504</v>
      </c>
      <c r="K668" s="143" t="s">
        <v>2504</v>
      </c>
      <c r="L668" s="143" t="s">
        <v>2504</v>
      </c>
      <c r="M668" s="143" t="s">
        <v>2504</v>
      </c>
      <c r="N668" s="143" t="s">
        <v>2504</v>
      </c>
      <c r="O668" s="143" t="s">
        <v>2504</v>
      </c>
      <c r="P668" s="143" t="s">
        <v>2504</v>
      </c>
      <c r="Q668" s="148" t="s">
        <v>2247</v>
      </c>
      <c r="R668" s="148" t="s">
        <v>600</v>
      </c>
      <c r="S668" s="148" t="s">
        <v>613</v>
      </c>
      <c r="T668" s="149">
        <v>20</v>
      </c>
      <c r="U668" s="241" t="s">
        <v>591</v>
      </c>
      <c r="V668" s="150">
        <v>1049.8</v>
      </c>
      <c r="W668" s="151">
        <v>2090.09</v>
      </c>
    </row>
    <row r="669" spans="1:23" ht="15" customHeight="1" x14ac:dyDescent="0.25">
      <c r="A669" s="148">
        <v>16501</v>
      </c>
      <c r="B669" s="148" t="s">
        <v>467</v>
      </c>
      <c r="C669" s="143" t="s">
        <v>2504</v>
      </c>
      <c r="D669" s="143" t="s">
        <v>2504</v>
      </c>
      <c r="E669" s="143" t="s">
        <v>2504</v>
      </c>
      <c r="F669" s="143" t="s">
        <v>2504</v>
      </c>
      <c r="G669" s="143" t="s">
        <v>2504</v>
      </c>
      <c r="H669" s="143" t="s">
        <v>467</v>
      </c>
      <c r="I669" s="143" t="s">
        <v>2504</v>
      </c>
      <c r="J669" s="143" t="s">
        <v>2504</v>
      </c>
      <c r="K669" s="143" t="s">
        <v>2504</v>
      </c>
      <c r="L669" s="143" t="s">
        <v>2504</v>
      </c>
      <c r="M669" s="143" t="s">
        <v>2504</v>
      </c>
      <c r="N669" s="143" t="s">
        <v>2504</v>
      </c>
      <c r="O669" s="143" t="s">
        <v>2504</v>
      </c>
      <c r="P669" s="143" t="s">
        <v>2504</v>
      </c>
      <c r="Q669" s="148" t="s">
        <v>2269</v>
      </c>
      <c r="R669" s="148" t="s">
        <v>600</v>
      </c>
      <c r="S669" s="148" t="s">
        <v>613</v>
      </c>
      <c r="T669" s="149">
        <v>0.95</v>
      </c>
      <c r="U669" s="241" t="s">
        <v>591</v>
      </c>
      <c r="V669" s="150">
        <v>48.49</v>
      </c>
      <c r="W669" s="151">
        <v>3140.45</v>
      </c>
    </row>
    <row r="670" spans="1:23" ht="15" customHeight="1" x14ac:dyDescent="0.25">
      <c r="A670" s="148">
        <v>16719</v>
      </c>
      <c r="B670" s="148" t="s">
        <v>543</v>
      </c>
      <c r="C670" s="143" t="s">
        <v>2504</v>
      </c>
      <c r="D670" s="143" t="s">
        <v>2504</v>
      </c>
      <c r="E670" s="143" t="s">
        <v>2504</v>
      </c>
      <c r="F670" s="143" t="s">
        <v>2504</v>
      </c>
      <c r="G670" s="143" t="s">
        <v>2504</v>
      </c>
      <c r="H670" s="143" t="s">
        <v>543</v>
      </c>
      <c r="I670" s="143" t="s">
        <v>2504</v>
      </c>
      <c r="J670" s="143" t="s">
        <v>2504</v>
      </c>
      <c r="K670" s="143" t="s">
        <v>2504</v>
      </c>
      <c r="L670" s="143" t="s">
        <v>2504</v>
      </c>
      <c r="M670" s="143" t="s">
        <v>2504</v>
      </c>
      <c r="N670" s="143" t="s">
        <v>2504</v>
      </c>
      <c r="O670" s="143" t="s">
        <v>2504</v>
      </c>
      <c r="P670" s="143" t="s">
        <v>2504</v>
      </c>
      <c r="Q670" s="148" t="s">
        <v>2318</v>
      </c>
      <c r="R670" s="148" t="s">
        <v>600</v>
      </c>
      <c r="S670" s="148" t="s">
        <v>613</v>
      </c>
      <c r="T670" s="149">
        <v>200</v>
      </c>
      <c r="U670" s="241" t="s">
        <v>591</v>
      </c>
      <c r="V670" s="150">
        <v>13358.48</v>
      </c>
      <c r="W670" s="151">
        <v>3145.87</v>
      </c>
    </row>
    <row r="671" spans="1:23" ht="15" customHeight="1" x14ac:dyDescent="0.25">
      <c r="A671" s="148">
        <v>16720</v>
      </c>
      <c r="B671" s="148" t="s">
        <v>542</v>
      </c>
      <c r="C671" s="143" t="s">
        <v>2504</v>
      </c>
      <c r="D671" s="143" t="s">
        <v>2504</v>
      </c>
      <c r="E671" s="143" t="s">
        <v>2504</v>
      </c>
      <c r="F671" s="143" t="s">
        <v>2504</v>
      </c>
      <c r="G671" s="143" t="s">
        <v>2504</v>
      </c>
      <c r="H671" s="143" t="s">
        <v>542</v>
      </c>
      <c r="I671" s="143" t="s">
        <v>2504</v>
      </c>
      <c r="J671" s="143" t="s">
        <v>2504</v>
      </c>
      <c r="K671" s="143" t="s">
        <v>2504</v>
      </c>
      <c r="L671" s="143" t="s">
        <v>2504</v>
      </c>
      <c r="M671" s="143" t="s">
        <v>2504</v>
      </c>
      <c r="N671" s="143" t="s">
        <v>2504</v>
      </c>
      <c r="O671" s="143" t="s">
        <v>2504</v>
      </c>
      <c r="P671" s="143" t="s">
        <v>2504</v>
      </c>
      <c r="Q671" s="148" t="s">
        <v>2319</v>
      </c>
      <c r="R671" s="148" t="s">
        <v>600</v>
      </c>
      <c r="S671" s="148" t="s">
        <v>613</v>
      </c>
      <c r="T671" s="149">
        <v>200</v>
      </c>
      <c r="U671" s="241" t="s">
        <v>591</v>
      </c>
      <c r="V671" s="150">
        <v>12805.8</v>
      </c>
      <c r="W671" s="151">
        <v>3183.43</v>
      </c>
    </row>
    <row r="672" spans="1:23" ht="15" customHeight="1" x14ac:dyDescent="0.25">
      <c r="A672" s="148">
        <v>10362</v>
      </c>
      <c r="B672" s="148" t="s">
        <v>1358</v>
      </c>
      <c r="C672" s="143" t="s">
        <v>2504</v>
      </c>
      <c r="D672" s="143" t="s">
        <v>2504</v>
      </c>
      <c r="E672" s="143" t="s">
        <v>2504</v>
      </c>
      <c r="F672" s="143" t="s">
        <v>2504</v>
      </c>
      <c r="G672" s="143" t="s">
        <v>2504</v>
      </c>
      <c r="H672" s="143" t="s">
        <v>2504</v>
      </c>
      <c r="I672" s="143" t="s">
        <v>1358</v>
      </c>
      <c r="J672" s="143" t="s">
        <v>2504</v>
      </c>
      <c r="K672" s="143" t="s">
        <v>2504</v>
      </c>
      <c r="L672" s="143" t="s">
        <v>2504</v>
      </c>
      <c r="M672" s="143" t="s">
        <v>2504</v>
      </c>
      <c r="N672" s="143" t="s">
        <v>2504</v>
      </c>
      <c r="O672" s="143" t="s">
        <v>2504</v>
      </c>
      <c r="P672" s="143" t="s">
        <v>2504</v>
      </c>
      <c r="Q672" s="148" t="s">
        <v>1359</v>
      </c>
      <c r="R672" s="148" t="s">
        <v>1025</v>
      </c>
      <c r="S672" s="148" t="s">
        <v>1164</v>
      </c>
      <c r="T672" s="149">
        <v>19</v>
      </c>
      <c r="U672" s="148" t="s">
        <v>591</v>
      </c>
      <c r="V672" s="150">
        <v>1899.12</v>
      </c>
      <c r="W672" s="151">
        <v>2090.1799999999998</v>
      </c>
    </row>
    <row r="673" spans="1:23" ht="15" customHeight="1" x14ac:dyDescent="0.25">
      <c r="A673" s="148">
        <v>10363</v>
      </c>
      <c r="B673" s="148" t="s">
        <v>1360</v>
      </c>
      <c r="C673" s="143" t="s">
        <v>2504</v>
      </c>
      <c r="D673" s="143" t="s">
        <v>2504</v>
      </c>
      <c r="E673" s="143" t="s">
        <v>2504</v>
      </c>
      <c r="F673" s="143" t="s">
        <v>2504</v>
      </c>
      <c r="G673" s="143" t="s">
        <v>2504</v>
      </c>
      <c r="H673" s="143" t="s">
        <v>2504</v>
      </c>
      <c r="I673" s="143" t="s">
        <v>1360</v>
      </c>
      <c r="J673" s="143" t="s">
        <v>2504</v>
      </c>
      <c r="K673" s="143" t="s">
        <v>2504</v>
      </c>
      <c r="L673" s="143" t="s">
        <v>2504</v>
      </c>
      <c r="M673" s="143" t="s">
        <v>2504</v>
      </c>
      <c r="N673" s="143" t="s">
        <v>2504</v>
      </c>
      <c r="O673" s="143" t="s">
        <v>2504</v>
      </c>
      <c r="P673" s="143" t="s">
        <v>2504</v>
      </c>
      <c r="Q673" s="148" t="s">
        <v>1361</v>
      </c>
      <c r="R673" s="148" t="s">
        <v>1025</v>
      </c>
      <c r="S673" s="148" t="s">
        <v>1164</v>
      </c>
      <c r="T673" s="149">
        <v>19</v>
      </c>
      <c r="U673" s="148" t="s">
        <v>591</v>
      </c>
      <c r="V673" s="150">
        <v>1965.9</v>
      </c>
      <c r="W673" s="151">
        <v>2092.66</v>
      </c>
    </row>
    <row r="674" spans="1:23" ht="15" customHeight="1" x14ac:dyDescent="0.25">
      <c r="A674" s="148">
        <v>10364</v>
      </c>
      <c r="B674" s="148" t="s">
        <v>1362</v>
      </c>
      <c r="C674" s="143" t="s">
        <v>2504</v>
      </c>
      <c r="D674" s="143" t="s">
        <v>2504</v>
      </c>
      <c r="E674" s="143" t="s">
        <v>2504</v>
      </c>
      <c r="F674" s="143" t="s">
        <v>2504</v>
      </c>
      <c r="G674" s="143" t="s">
        <v>2504</v>
      </c>
      <c r="H674" s="143" t="s">
        <v>2504</v>
      </c>
      <c r="I674" s="143" t="s">
        <v>1362</v>
      </c>
      <c r="J674" s="143" t="s">
        <v>2504</v>
      </c>
      <c r="K674" s="143" t="s">
        <v>2504</v>
      </c>
      <c r="L674" s="143" t="s">
        <v>2504</v>
      </c>
      <c r="M674" s="143" t="s">
        <v>2504</v>
      </c>
      <c r="N674" s="143" t="s">
        <v>2504</v>
      </c>
      <c r="O674" s="143" t="s">
        <v>2504</v>
      </c>
      <c r="P674" s="143" t="s">
        <v>2504</v>
      </c>
      <c r="Q674" s="148" t="s">
        <v>1363</v>
      </c>
      <c r="R674" s="148" t="s">
        <v>1025</v>
      </c>
      <c r="S674" s="148" t="s">
        <v>1164</v>
      </c>
      <c r="T674" s="149">
        <v>19</v>
      </c>
      <c r="U674" s="148" t="s">
        <v>591</v>
      </c>
      <c r="V674" s="150">
        <v>2000.82</v>
      </c>
      <c r="W674" s="151">
        <v>2292.23</v>
      </c>
    </row>
    <row r="675" spans="1:23" ht="15" customHeight="1" x14ac:dyDescent="0.25">
      <c r="A675" s="148">
        <v>10365</v>
      </c>
      <c r="B675" s="148" t="s">
        <v>1364</v>
      </c>
      <c r="C675" s="143" t="s">
        <v>2504</v>
      </c>
      <c r="D675" s="143" t="s">
        <v>2504</v>
      </c>
      <c r="E675" s="143" t="s">
        <v>2504</v>
      </c>
      <c r="F675" s="143" t="s">
        <v>2504</v>
      </c>
      <c r="G675" s="143" t="s">
        <v>2504</v>
      </c>
      <c r="H675" s="143" t="s">
        <v>2504</v>
      </c>
      <c r="I675" s="143" t="s">
        <v>1364</v>
      </c>
      <c r="J675" s="143" t="s">
        <v>2504</v>
      </c>
      <c r="K675" s="143" t="s">
        <v>2504</v>
      </c>
      <c r="L675" s="143" t="s">
        <v>2504</v>
      </c>
      <c r="M675" s="143" t="s">
        <v>2504</v>
      </c>
      <c r="N675" s="143" t="s">
        <v>2504</v>
      </c>
      <c r="O675" s="143" t="s">
        <v>2504</v>
      </c>
      <c r="P675" s="143" t="s">
        <v>2504</v>
      </c>
      <c r="Q675" s="148" t="s">
        <v>1365</v>
      </c>
      <c r="R675" s="148" t="s">
        <v>1025</v>
      </c>
      <c r="S675" s="148" t="s">
        <v>1164</v>
      </c>
      <c r="T675" s="149">
        <v>19</v>
      </c>
      <c r="U675" s="148" t="s">
        <v>591</v>
      </c>
      <c r="V675" s="150">
        <v>2015.68</v>
      </c>
      <c r="W675" s="151">
        <v>2263.79</v>
      </c>
    </row>
    <row r="676" spans="1:23" ht="15" customHeight="1" x14ac:dyDescent="0.25">
      <c r="A676" s="148">
        <v>10366</v>
      </c>
      <c r="B676" s="148" t="s">
        <v>1366</v>
      </c>
      <c r="C676" s="143" t="s">
        <v>2504</v>
      </c>
      <c r="D676" s="143" t="s">
        <v>2504</v>
      </c>
      <c r="E676" s="143" t="s">
        <v>2504</v>
      </c>
      <c r="F676" s="143" t="s">
        <v>2504</v>
      </c>
      <c r="G676" s="143" t="s">
        <v>2504</v>
      </c>
      <c r="H676" s="143" t="s">
        <v>2504</v>
      </c>
      <c r="I676" s="143" t="s">
        <v>1366</v>
      </c>
      <c r="J676" s="143" t="s">
        <v>2504</v>
      </c>
      <c r="K676" s="143" t="s">
        <v>2504</v>
      </c>
      <c r="L676" s="143" t="s">
        <v>2504</v>
      </c>
      <c r="M676" s="143" t="s">
        <v>2504</v>
      </c>
      <c r="N676" s="143" t="s">
        <v>2504</v>
      </c>
      <c r="O676" s="143" t="s">
        <v>2504</v>
      </c>
      <c r="P676" s="143" t="s">
        <v>2504</v>
      </c>
      <c r="Q676" s="148" t="s">
        <v>1367</v>
      </c>
      <c r="R676" s="148" t="s">
        <v>1025</v>
      </c>
      <c r="S676" s="148" t="s">
        <v>1164</v>
      </c>
      <c r="T676" s="149">
        <v>19</v>
      </c>
      <c r="U676" s="148" t="s">
        <v>591</v>
      </c>
      <c r="V676" s="150">
        <v>2008.24</v>
      </c>
      <c r="W676" s="151">
        <v>2413.6</v>
      </c>
    </row>
    <row r="677" spans="1:23" ht="15" customHeight="1" x14ac:dyDescent="0.25">
      <c r="A677" s="148">
        <v>10367</v>
      </c>
      <c r="B677" s="148" t="s">
        <v>1368</v>
      </c>
      <c r="C677" s="143" t="s">
        <v>2504</v>
      </c>
      <c r="D677" s="143" t="s">
        <v>2504</v>
      </c>
      <c r="E677" s="143" t="s">
        <v>2504</v>
      </c>
      <c r="F677" s="143" t="s">
        <v>2504</v>
      </c>
      <c r="G677" s="143" t="s">
        <v>2504</v>
      </c>
      <c r="H677" s="143" t="s">
        <v>2504</v>
      </c>
      <c r="I677" s="143" t="s">
        <v>1368</v>
      </c>
      <c r="J677" s="143" t="s">
        <v>2504</v>
      </c>
      <c r="K677" s="143" t="s">
        <v>2504</v>
      </c>
      <c r="L677" s="143" t="s">
        <v>2504</v>
      </c>
      <c r="M677" s="143" t="s">
        <v>2504</v>
      </c>
      <c r="N677" s="143" t="s">
        <v>2504</v>
      </c>
      <c r="O677" s="143" t="s">
        <v>2504</v>
      </c>
      <c r="P677" s="143" t="s">
        <v>2504</v>
      </c>
      <c r="Q677" s="148" t="s">
        <v>1369</v>
      </c>
      <c r="R677" s="148" t="s">
        <v>1025</v>
      </c>
      <c r="S677" s="148" t="s">
        <v>1164</v>
      </c>
      <c r="T677" s="149">
        <v>19</v>
      </c>
      <c r="U677" s="148" t="s">
        <v>591</v>
      </c>
      <c r="V677" s="150">
        <v>2026.1</v>
      </c>
      <c r="W677" s="151">
        <v>2543.83</v>
      </c>
    </row>
    <row r="678" spans="1:23" ht="15" customHeight="1" x14ac:dyDescent="0.25">
      <c r="A678" s="148">
        <v>10368</v>
      </c>
      <c r="B678" s="148" t="s">
        <v>1370</v>
      </c>
      <c r="C678" s="143" t="s">
        <v>2504</v>
      </c>
      <c r="D678" s="143" t="s">
        <v>2504</v>
      </c>
      <c r="E678" s="143" t="s">
        <v>2504</v>
      </c>
      <c r="F678" s="143" t="s">
        <v>2504</v>
      </c>
      <c r="G678" s="143" t="s">
        <v>2504</v>
      </c>
      <c r="H678" s="143" t="s">
        <v>2504</v>
      </c>
      <c r="I678" s="143" t="s">
        <v>1370</v>
      </c>
      <c r="J678" s="143" t="s">
        <v>2504</v>
      </c>
      <c r="K678" s="143" t="s">
        <v>2504</v>
      </c>
      <c r="L678" s="143" t="s">
        <v>2504</v>
      </c>
      <c r="M678" s="143" t="s">
        <v>2504</v>
      </c>
      <c r="N678" s="143" t="s">
        <v>2504</v>
      </c>
      <c r="O678" s="143" t="s">
        <v>2504</v>
      </c>
      <c r="P678" s="143" t="s">
        <v>2504</v>
      </c>
      <c r="Q678" s="148" t="s">
        <v>1371</v>
      </c>
      <c r="R678" s="148" t="s">
        <v>1025</v>
      </c>
      <c r="S678" s="148" t="s">
        <v>1164</v>
      </c>
      <c r="T678" s="149">
        <v>19</v>
      </c>
      <c r="U678" s="148" t="s">
        <v>591</v>
      </c>
      <c r="V678" s="150">
        <v>2014.2</v>
      </c>
      <c r="W678" s="151">
        <v>2470.65</v>
      </c>
    </row>
    <row r="679" spans="1:23" ht="15" customHeight="1" x14ac:dyDescent="0.25">
      <c r="A679" s="148">
        <v>10662</v>
      </c>
      <c r="B679" s="148" t="s">
        <v>1667</v>
      </c>
      <c r="C679" s="143" t="s">
        <v>2504</v>
      </c>
      <c r="D679" s="143" t="s">
        <v>2504</v>
      </c>
      <c r="E679" s="143" t="s">
        <v>2504</v>
      </c>
      <c r="F679" s="143" t="s">
        <v>2504</v>
      </c>
      <c r="G679" s="143" t="s">
        <v>2504</v>
      </c>
      <c r="H679" s="143" t="s">
        <v>2504</v>
      </c>
      <c r="I679" s="143" t="s">
        <v>1667</v>
      </c>
      <c r="J679" s="143" t="s">
        <v>2504</v>
      </c>
      <c r="K679" s="143" t="s">
        <v>2504</v>
      </c>
      <c r="L679" s="143" t="s">
        <v>2504</v>
      </c>
      <c r="M679" s="143" t="s">
        <v>2504</v>
      </c>
      <c r="N679" s="143" t="s">
        <v>2504</v>
      </c>
      <c r="O679" s="143" t="s">
        <v>2504</v>
      </c>
      <c r="P679" s="143" t="s">
        <v>2504</v>
      </c>
      <c r="Q679" s="148" t="s">
        <v>1668</v>
      </c>
      <c r="R679" s="148" t="s">
        <v>1025</v>
      </c>
      <c r="S679" s="148" t="s">
        <v>1164</v>
      </c>
      <c r="T679" s="149">
        <v>200</v>
      </c>
      <c r="U679" s="148" t="s">
        <v>591</v>
      </c>
      <c r="V679" s="150">
        <v>19899.52</v>
      </c>
      <c r="W679" s="151">
        <v>3543.09</v>
      </c>
    </row>
    <row r="680" spans="1:23" ht="15" customHeight="1" x14ac:dyDescent="0.25">
      <c r="A680" s="148">
        <v>10663</v>
      </c>
      <c r="B680" s="148" t="s">
        <v>1669</v>
      </c>
      <c r="C680" s="143" t="s">
        <v>2504</v>
      </c>
      <c r="D680" s="143" t="s">
        <v>2504</v>
      </c>
      <c r="E680" s="143" t="s">
        <v>2504</v>
      </c>
      <c r="F680" s="143" t="s">
        <v>2504</v>
      </c>
      <c r="G680" s="143" t="s">
        <v>2504</v>
      </c>
      <c r="H680" s="143" t="s">
        <v>2504</v>
      </c>
      <c r="I680" s="143" t="s">
        <v>1669</v>
      </c>
      <c r="J680" s="143" t="s">
        <v>2504</v>
      </c>
      <c r="K680" s="143" t="s">
        <v>2504</v>
      </c>
      <c r="L680" s="143" t="s">
        <v>2504</v>
      </c>
      <c r="M680" s="143" t="s">
        <v>2504</v>
      </c>
      <c r="N680" s="143" t="s">
        <v>2504</v>
      </c>
      <c r="O680" s="143" t="s">
        <v>2504</v>
      </c>
      <c r="P680" s="143" t="s">
        <v>2504</v>
      </c>
      <c r="Q680" s="148" t="s">
        <v>1670</v>
      </c>
      <c r="R680" s="148" t="s">
        <v>1025</v>
      </c>
      <c r="S680" s="148" t="s">
        <v>1164</v>
      </c>
      <c r="T680" s="149">
        <v>200</v>
      </c>
      <c r="U680" s="148" t="s">
        <v>591</v>
      </c>
      <c r="V680" s="150">
        <v>20604.580000000002</v>
      </c>
      <c r="W680" s="151">
        <v>3952.11</v>
      </c>
    </row>
    <row r="681" spans="1:23" ht="15" customHeight="1" x14ac:dyDescent="0.25">
      <c r="A681" s="148">
        <v>10664</v>
      </c>
      <c r="B681" s="148" t="s">
        <v>1671</v>
      </c>
      <c r="C681" s="143" t="s">
        <v>2504</v>
      </c>
      <c r="D681" s="143" t="s">
        <v>2504</v>
      </c>
      <c r="E681" s="143" t="s">
        <v>2504</v>
      </c>
      <c r="F681" s="143" t="s">
        <v>2504</v>
      </c>
      <c r="G681" s="143" t="s">
        <v>2504</v>
      </c>
      <c r="H681" s="143" t="s">
        <v>2504</v>
      </c>
      <c r="I681" s="143" t="s">
        <v>1671</v>
      </c>
      <c r="J681" s="143" t="s">
        <v>2504</v>
      </c>
      <c r="K681" s="143" t="s">
        <v>2504</v>
      </c>
      <c r="L681" s="143" t="s">
        <v>2504</v>
      </c>
      <c r="M681" s="143" t="s">
        <v>2504</v>
      </c>
      <c r="N681" s="143" t="s">
        <v>2504</v>
      </c>
      <c r="O681" s="143" t="s">
        <v>2504</v>
      </c>
      <c r="P681" s="143" t="s">
        <v>2504</v>
      </c>
      <c r="Q681" s="148" t="s">
        <v>1672</v>
      </c>
      <c r="R681" s="148" t="s">
        <v>1025</v>
      </c>
      <c r="S681" s="148" t="s">
        <v>1164</v>
      </c>
      <c r="T681" s="149">
        <v>200</v>
      </c>
      <c r="U681" s="148" t="s">
        <v>591</v>
      </c>
      <c r="V681" s="150">
        <v>20972.17</v>
      </c>
      <c r="W681" s="151">
        <v>5307.92</v>
      </c>
    </row>
    <row r="682" spans="1:23" ht="15" customHeight="1" x14ac:dyDescent="0.25">
      <c r="A682" s="148">
        <v>10665</v>
      </c>
      <c r="B682" s="148" t="s">
        <v>1673</v>
      </c>
      <c r="C682" s="143" t="s">
        <v>2504</v>
      </c>
      <c r="D682" s="143" t="s">
        <v>2504</v>
      </c>
      <c r="E682" s="143" t="s">
        <v>2504</v>
      </c>
      <c r="F682" s="143" t="s">
        <v>2504</v>
      </c>
      <c r="G682" s="143" t="s">
        <v>2504</v>
      </c>
      <c r="H682" s="143" t="s">
        <v>2504</v>
      </c>
      <c r="I682" s="143" t="s">
        <v>1673</v>
      </c>
      <c r="J682" s="143" t="s">
        <v>2504</v>
      </c>
      <c r="K682" s="143" t="s">
        <v>2504</v>
      </c>
      <c r="L682" s="143" t="s">
        <v>2504</v>
      </c>
      <c r="M682" s="143" t="s">
        <v>2504</v>
      </c>
      <c r="N682" s="143" t="s">
        <v>2504</v>
      </c>
      <c r="O682" s="143" t="s">
        <v>2504</v>
      </c>
      <c r="P682" s="143" t="s">
        <v>2504</v>
      </c>
      <c r="Q682" s="148" t="s">
        <v>1674</v>
      </c>
      <c r="R682" s="148" t="s">
        <v>1025</v>
      </c>
      <c r="S682" s="148" t="s">
        <v>1164</v>
      </c>
      <c r="T682" s="149">
        <v>200</v>
      </c>
      <c r="U682" s="148" t="s">
        <v>591</v>
      </c>
      <c r="V682" s="150">
        <v>21107.74</v>
      </c>
      <c r="W682" s="151">
        <v>1772.13</v>
      </c>
    </row>
    <row r="683" spans="1:23" ht="15" customHeight="1" x14ac:dyDescent="0.25">
      <c r="A683" s="148">
        <v>10666</v>
      </c>
      <c r="B683" s="148" t="s">
        <v>1675</v>
      </c>
      <c r="C683" s="143" t="s">
        <v>2504</v>
      </c>
      <c r="D683" s="143" t="s">
        <v>2504</v>
      </c>
      <c r="E683" s="143" t="s">
        <v>2504</v>
      </c>
      <c r="F683" s="143" t="s">
        <v>2504</v>
      </c>
      <c r="G683" s="143" t="s">
        <v>2504</v>
      </c>
      <c r="H683" s="143" t="s">
        <v>2504</v>
      </c>
      <c r="I683" s="143" t="s">
        <v>1675</v>
      </c>
      <c r="J683" s="143" t="s">
        <v>2504</v>
      </c>
      <c r="K683" s="143" t="s">
        <v>2504</v>
      </c>
      <c r="L683" s="143" t="s">
        <v>2504</v>
      </c>
      <c r="M683" s="143" t="s">
        <v>2504</v>
      </c>
      <c r="N683" s="143" t="s">
        <v>2504</v>
      </c>
      <c r="O683" s="143" t="s">
        <v>2504</v>
      </c>
      <c r="P683" s="143" t="s">
        <v>2504</v>
      </c>
      <c r="Q683" s="148" t="s">
        <v>1676</v>
      </c>
      <c r="R683" s="148" t="s">
        <v>1025</v>
      </c>
      <c r="S683" s="148" t="s">
        <v>1164</v>
      </c>
      <c r="T683" s="149">
        <v>200</v>
      </c>
      <c r="U683" s="148" t="s">
        <v>591</v>
      </c>
      <c r="V683" s="150">
        <v>21050.3</v>
      </c>
      <c r="W683" s="151">
        <v>1773.49</v>
      </c>
    </row>
    <row r="684" spans="1:23" ht="15" customHeight="1" x14ac:dyDescent="0.25">
      <c r="A684" s="148">
        <v>10667</v>
      </c>
      <c r="B684" s="148" t="s">
        <v>1677</v>
      </c>
      <c r="C684" s="143" t="s">
        <v>2504</v>
      </c>
      <c r="D684" s="143" t="s">
        <v>2504</v>
      </c>
      <c r="E684" s="143" t="s">
        <v>2504</v>
      </c>
      <c r="F684" s="143" t="s">
        <v>2504</v>
      </c>
      <c r="G684" s="143" t="s">
        <v>2504</v>
      </c>
      <c r="H684" s="143" t="s">
        <v>2504</v>
      </c>
      <c r="I684" s="143" t="s">
        <v>1677</v>
      </c>
      <c r="J684" s="143" t="s">
        <v>2504</v>
      </c>
      <c r="K684" s="143" t="s">
        <v>2504</v>
      </c>
      <c r="L684" s="143" t="s">
        <v>2504</v>
      </c>
      <c r="M684" s="143" t="s">
        <v>2504</v>
      </c>
      <c r="N684" s="143" t="s">
        <v>2504</v>
      </c>
      <c r="O684" s="143" t="s">
        <v>2504</v>
      </c>
      <c r="P684" s="143" t="s">
        <v>2504</v>
      </c>
      <c r="Q684" s="148" t="s">
        <v>1678</v>
      </c>
      <c r="R684" s="148" t="s">
        <v>1025</v>
      </c>
      <c r="S684" s="148" t="s">
        <v>1164</v>
      </c>
      <c r="T684" s="149">
        <v>200</v>
      </c>
      <c r="U684" s="148" t="s">
        <v>591</v>
      </c>
      <c r="V684" s="150">
        <v>21238.34</v>
      </c>
      <c r="W684" s="151">
        <v>5693.91</v>
      </c>
    </row>
    <row r="685" spans="1:23" ht="15" customHeight="1" x14ac:dyDescent="0.25">
      <c r="A685" s="148">
        <v>10668</v>
      </c>
      <c r="B685" s="148" t="s">
        <v>1679</v>
      </c>
      <c r="C685" s="143" t="s">
        <v>2504</v>
      </c>
      <c r="D685" s="143" t="s">
        <v>2504</v>
      </c>
      <c r="E685" s="143" t="s">
        <v>2504</v>
      </c>
      <c r="F685" s="143" t="s">
        <v>2504</v>
      </c>
      <c r="G685" s="143" t="s">
        <v>2504</v>
      </c>
      <c r="H685" s="143" t="s">
        <v>2504</v>
      </c>
      <c r="I685" s="143" t="s">
        <v>1679</v>
      </c>
      <c r="J685" s="143" t="s">
        <v>2504</v>
      </c>
      <c r="K685" s="143" t="s">
        <v>2504</v>
      </c>
      <c r="L685" s="143" t="s">
        <v>2504</v>
      </c>
      <c r="M685" s="143" t="s">
        <v>2504</v>
      </c>
      <c r="N685" s="143" t="s">
        <v>2504</v>
      </c>
      <c r="O685" s="143" t="s">
        <v>2504</v>
      </c>
      <c r="P685" s="143" t="s">
        <v>2504</v>
      </c>
      <c r="Q685" s="148" t="s">
        <v>1680</v>
      </c>
      <c r="R685" s="148" t="s">
        <v>1025</v>
      </c>
      <c r="S685" s="148" t="s">
        <v>1164</v>
      </c>
      <c r="T685" s="149">
        <v>200</v>
      </c>
      <c r="U685" s="148" t="s">
        <v>591</v>
      </c>
      <c r="V685" s="150">
        <v>21116.17</v>
      </c>
      <c r="W685" s="151">
        <v>1636.52</v>
      </c>
    </row>
    <row r="686" spans="1:23" ht="15" customHeight="1" x14ac:dyDescent="0.25">
      <c r="A686" s="148">
        <v>10373</v>
      </c>
      <c r="B686" s="148" t="s">
        <v>1381</v>
      </c>
      <c r="C686" s="143" t="s">
        <v>2504</v>
      </c>
      <c r="D686" s="143" t="s">
        <v>2504</v>
      </c>
      <c r="E686" s="143" t="s">
        <v>2504</v>
      </c>
      <c r="F686" s="143" t="s">
        <v>2504</v>
      </c>
      <c r="G686" s="143" t="s">
        <v>2504</v>
      </c>
      <c r="H686" s="143" t="s">
        <v>2504</v>
      </c>
      <c r="I686" s="143" t="s">
        <v>1381</v>
      </c>
      <c r="J686" s="143" t="s">
        <v>2504</v>
      </c>
      <c r="K686" s="143" t="s">
        <v>2504</v>
      </c>
      <c r="L686" s="143" t="s">
        <v>2504</v>
      </c>
      <c r="M686" s="143" t="s">
        <v>2504</v>
      </c>
      <c r="N686" s="143" t="s">
        <v>2504</v>
      </c>
      <c r="O686" s="143" t="s">
        <v>2504</v>
      </c>
      <c r="P686" s="143" t="s">
        <v>2504</v>
      </c>
      <c r="Q686" s="148" t="s">
        <v>1382</v>
      </c>
      <c r="R686" s="148" t="s">
        <v>1025</v>
      </c>
      <c r="S686" s="148" t="s">
        <v>1383</v>
      </c>
      <c r="T686" s="149">
        <v>19</v>
      </c>
      <c r="U686" s="148" t="s">
        <v>591</v>
      </c>
      <c r="V686" s="150">
        <v>1967.12</v>
      </c>
      <c r="W686" s="151">
        <v>1651.81</v>
      </c>
    </row>
    <row r="687" spans="1:23" ht="15" customHeight="1" x14ac:dyDescent="0.25">
      <c r="A687" s="148">
        <v>10374</v>
      </c>
      <c r="B687" s="148" t="s">
        <v>1384</v>
      </c>
      <c r="C687" s="143" t="s">
        <v>2504</v>
      </c>
      <c r="D687" s="143" t="s">
        <v>2504</v>
      </c>
      <c r="E687" s="143" t="s">
        <v>2504</v>
      </c>
      <c r="F687" s="143" t="s">
        <v>2504</v>
      </c>
      <c r="G687" s="143" t="s">
        <v>2504</v>
      </c>
      <c r="H687" s="143" t="s">
        <v>2504</v>
      </c>
      <c r="I687" s="143" t="s">
        <v>1384</v>
      </c>
      <c r="J687" s="143" t="s">
        <v>2504</v>
      </c>
      <c r="K687" s="143" t="s">
        <v>2504</v>
      </c>
      <c r="L687" s="143" t="s">
        <v>2504</v>
      </c>
      <c r="M687" s="143" t="s">
        <v>2504</v>
      </c>
      <c r="N687" s="143" t="s">
        <v>2504</v>
      </c>
      <c r="O687" s="143" t="s">
        <v>2504</v>
      </c>
      <c r="P687" s="143" t="s">
        <v>2504</v>
      </c>
      <c r="Q687" s="148" t="s">
        <v>1385</v>
      </c>
      <c r="R687" s="148" t="s">
        <v>1025</v>
      </c>
      <c r="S687" s="148" t="s">
        <v>1383</v>
      </c>
      <c r="T687" s="149">
        <v>19</v>
      </c>
      <c r="U687" s="148" t="s">
        <v>591</v>
      </c>
      <c r="V687" s="150">
        <v>2042.95</v>
      </c>
      <c r="W687" s="151">
        <v>1928.17</v>
      </c>
    </row>
    <row r="688" spans="1:23" ht="15" customHeight="1" x14ac:dyDescent="0.25">
      <c r="A688" s="148">
        <v>10375</v>
      </c>
      <c r="B688" s="148" t="s">
        <v>1386</v>
      </c>
      <c r="C688" s="143" t="s">
        <v>2504</v>
      </c>
      <c r="D688" s="143" t="s">
        <v>2504</v>
      </c>
      <c r="E688" s="143" t="s">
        <v>2504</v>
      </c>
      <c r="F688" s="143" t="s">
        <v>2504</v>
      </c>
      <c r="G688" s="143" t="s">
        <v>2504</v>
      </c>
      <c r="H688" s="143" t="s">
        <v>2504</v>
      </c>
      <c r="I688" s="143" t="s">
        <v>1386</v>
      </c>
      <c r="J688" s="143" t="s">
        <v>2504</v>
      </c>
      <c r="K688" s="143" t="s">
        <v>2504</v>
      </c>
      <c r="L688" s="143" t="s">
        <v>2504</v>
      </c>
      <c r="M688" s="143" t="s">
        <v>2504</v>
      </c>
      <c r="N688" s="143" t="s">
        <v>2504</v>
      </c>
      <c r="O688" s="143" t="s">
        <v>2504</v>
      </c>
      <c r="P688" s="143" t="s">
        <v>2504</v>
      </c>
      <c r="Q688" s="148" t="s">
        <v>1387</v>
      </c>
      <c r="R688" s="148" t="s">
        <v>1025</v>
      </c>
      <c r="S688" s="148" t="s">
        <v>1383</v>
      </c>
      <c r="T688" s="149">
        <v>19</v>
      </c>
      <c r="U688" s="148" t="s">
        <v>591</v>
      </c>
      <c r="V688" s="150">
        <v>2187.44</v>
      </c>
      <c r="W688" s="151">
        <v>2838.17</v>
      </c>
    </row>
    <row r="689" spans="1:23" ht="15" customHeight="1" x14ac:dyDescent="0.25">
      <c r="A689" s="148">
        <v>10376</v>
      </c>
      <c r="B689" s="148" t="s">
        <v>1388</v>
      </c>
      <c r="C689" s="143" t="s">
        <v>2504</v>
      </c>
      <c r="D689" s="143" t="s">
        <v>2504</v>
      </c>
      <c r="E689" s="143" t="s">
        <v>2504</v>
      </c>
      <c r="F689" s="143" t="s">
        <v>2504</v>
      </c>
      <c r="G689" s="143" t="s">
        <v>2504</v>
      </c>
      <c r="H689" s="143" t="s">
        <v>2504</v>
      </c>
      <c r="I689" s="143" t="s">
        <v>1388</v>
      </c>
      <c r="J689" s="143" t="s">
        <v>2504</v>
      </c>
      <c r="K689" s="143" t="s">
        <v>2504</v>
      </c>
      <c r="L689" s="143" t="s">
        <v>2504</v>
      </c>
      <c r="M689" s="143" t="s">
        <v>2504</v>
      </c>
      <c r="N689" s="143" t="s">
        <v>2504</v>
      </c>
      <c r="O689" s="143" t="s">
        <v>2504</v>
      </c>
      <c r="P689" s="143" t="s">
        <v>2504</v>
      </c>
      <c r="Q689" s="148" t="s">
        <v>1389</v>
      </c>
      <c r="R689" s="148" t="s">
        <v>1025</v>
      </c>
      <c r="S689" s="148" t="s">
        <v>1383</v>
      </c>
      <c r="T689" s="149">
        <v>19</v>
      </c>
      <c r="U689" s="148" t="s">
        <v>591</v>
      </c>
      <c r="V689" s="150">
        <v>2312.2399999999998</v>
      </c>
      <c r="W689" s="151">
        <v>1831.86</v>
      </c>
    </row>
    <row r="690" spans="1:23" ht="15" customHeight="1" x14ac:dyDescent="0.25">
      <c r="A690" s="148">
        <v>10673</v>
      </c>
      <c r="B690" s="148" t="s">
        <v>1687</v>
      </c>
      <c r="C690" s="143" t="s">
        <v>2504</v>
      </c>
      <c r="D690" s="143" t="s">
        <v>2504</v>
      </c>
      <c r="E690" s="143" t="s">
        <v>2504</v>
      </c>
      <c r="F690" s="143" t="s">
        <v>2504</v>
      </c>
      <c r="G690" s="143" t="s">
        <v>2504</v>
      </c>
      <c r="H690" s="143" t="s">
        <v>2504</v>
      </c>
      <c r="I690" s="143" t="s">
        <v>1687</v>
      </c>
      <c r="J690" s="143" t="s">
        <v>2504</v>
      </c>
      <c r="K690" s="143" t="s">
        <v>2504</v>
      </c>
      <c r="L690" s="143" t="s">
        <v>2504</v>
      </c>
      <c r="M690" s="143" t="s">
        <v>2504</v>
      </c>
      <c r="N690" s="143" t="s">
        <v>2504</v>
      </c>
      <c r="O690" s="143" t="s">
        <v>2504</v>
      </c>
      <c r="P690" s="143" t="s">
        <v>2504</v>
      </c>
      <c r="Q690" s="148" t="s">
        <v>1688</v>
      </c>
      <c r="R690" s="148" t="s">
        <v>1025</v>
      </c>
      <c r="S690" s="148" t="s">
        <v>1383</v>
      </c>
      <c r="T690" s="149">
        <v>200</v>
      </c>
      <c r="U690" s="148" t="s">
        <v>591</v>
      </c>
      <c r="V690" s="150">
        <v>20617.39</v>
      </c>
      <c r="W690" s="151">
        <v>3684.56</v>
      </c>
    </row>
    <row r="691" spans="1:23" ht="15" customHeight="1" x14ac:dyDescent="0.25">
      <c r="A691" s="148">
        <v>10674</v>
      </c>
      <c r="B691" s="148" t="s">
        <v>1689</v>
      </c>
      <c r="C691" s="143" t="s">
        <v>2504</v>
      </c>
      <c r="D691" s="143" t="s">
        <v>2504</v>
      </c>
      <c r="E691" s="143" t="s">
        <v>2504</v>
      </c>
      <c r="F691" s="143" t="s">
        <v>2504</v>
      </c>
      <c r="G691" s="143" t="s">
        <v>2504</v>
      </c>
      <c r="H691" s="143" t="s">
        <v>2504</v>
      </c>
      <c r="I691" s="143" t="s">
        <v>1689</v>
      </c>
      <c r="J691" s="143" t="s">
        <v>2504</v>
      </c>
      <c r="K691" s="143" t="s">
        <v>2504</v>
      </c>
      <c r="L691" s="143" t="s">
        <v>2504</v>
      </c>
      <c r="M691" s="143" t="s">
        <v>2504</v>
      </c>
      <c r="N691" s="143" t="s">
        <v>2504</v>
      </c>
      <c r="O691" s="143" t="s">
        <v>2504</v>
      </c>
      <c r="P691" s="143" t="s">
        <v>2504</v>
      </c>
      <c r="Q691" s="148" t="s">
        <v>1690</v>
      </c>
      <c r="R691" s="148" t="s">
        <v>1025</v>
      </c>
      <c r="S691" s="148" t="s">
        <v>1383</v>
      </c>
      <c r="T691" s="149">
        <v>200</v>
      </c>
      <c r="U691" s="148" t="s">
        <v>591</v>
      </c>
      <c r="V691" s="150">
        <v>21409.22</v>
      </c>
      <c r="W691" s="151">
        <v>22566.27</v>
      </c>
    </row>
    <row r="692" spans="1:23" ht="15" customHeight="1" x14ac:dyDescent="0.25">
      <c r="A692" s="148">
        <v>10675</v>
      </c>
      <c r="B692" s="148" t="s">
        <v>1691</v>
      </c>
      <c r="C692" s="143" t="s">
        <v>2504</v>
      </c>
      <c r="D692" s="143" t="s">
        <v>2504</v>
      </c>
      <c r="E692" s="143" t="s">
        <v>2504</v>
      </c>
      <c r="F692" s="143" t="s">
        <v>2504</v>
      </c>
      <c r="G692" s="143" t="s">
        <v>2504</v>
      </c>
      <c r="H692" s="143" t="s">
        <v>2504</v>
      </c>
      <c r="I692" s="143" t="s">
        <v>1691</v>
      </c>
      <c r="J692" s="143" t="s">
        <v>2504</v>
      </c>
      <c r="K692" s="143" t="s">
        <v>2504</v>
      </c>
      <c r="L692" s="143" t="s">
        <v>2504</v>
      </c>
      <c r="M692" s="143" t="s">
        <v>2504</v>
      </c>
      <c r="N692" s="143" t="s">
        <v>2504</v>
      </c>
      <c r="O692" s="143" t="s">
        <v>2504</v>
      </c>
      <c r="P692" s="143" t="s">
        <v>2504</v>
      </c>
      <c r="Q692" s="148" t="s">
        <v>1692</v>
      </c>
      <c r="R692" s="148" t="s">
        <v>1025</v>
      </c>
      <c r="S692" s="148" t="s">
        <v>1383</v>
      </c>
      <c r="T692" s="149">
        <v>200</v>
      </c>
      <c r="U692" s="148" t="s">
        <v>591</v>
      </c>
      <c r="V692" s="150">
        <v>22936.62</v>
      </c>
      <c r="W692" s="151">
        <v>20754.05</v>
      </c>
    </row>
    <row r="693" spans="1:23" ht="15" customHeight="1" x14ac:dyDescent="0.25">
      <c r="A693" s="148">
        <v>10676</v>
      </c>
      <c r="B693" s="148" t="s">
        <v>1693</v>
      </c>
      <c r="C693" s="143" t="s">
        <v>2504</v>
      </c>
      <c r="D693" s="143" t="s">
        <v>2504</v>
      </c>
      <c r="E693" s="143" t="s">
        <v>2504</v>
      </c>
      <c r="F693" s="143" t="s">
        <v>2504</v>
      </c>
      <c r="G693" s="143" t="s">
        <v>2504</v>
      </c>
      <c r="H693" s="143" t="s">
        <v>2504</v>
      </c>
      <c r="I693" s="143" t="s">
        <v>1693</v>
      </c>
      <c r="J693" s="143" t="s">
        <v>2504</v>
      </c>
      <c r="K693" s="143" t="s">
        <v>2504</v>
      </c>
      <c r="L693" s="143" t="s">
        <v>2504</v>
      </c>
      <c r="M693" s="143" t="s">
        <v>2504</v>
      </c>
      <c r="N693" s="143" t="s">
        <v>2504</v>
      </c>
      <c r="O693" s="143" t="s">
        <v>2504</v>
      </c>
      <c r="P693" s="143" t="s">
        <v>2504</v>
      </c>
      <c r="Q693" s="148" t="s">
        <v>1694</v>
      </c>
      <c r="R693" s="148" t="s">
        <v>1025</v>
      </c>
      <c r="S693" s="148" t="s">
        <v>1383</v>
      </c>
      <c r="T693" s="149">
        <v>200</v>
      </c>
      <c r="U693" s="148" t="s">
        <v>591</v>
      </c>
      <c r="V693" s="150">
        <v>24243.77</v>
      </c>
      <c r="W693" s="151">
        <v>23384.71</v>
      </c>
    </row>
    <row r="694" spans="1:23" ht="15" customHeight="1" x14ac:dyDescent="0.25">
      <c r="A694" s="148">
        <v>10377</v>
      </c>
      <c r="B694" s="148" t="s">
        <v>1390</v>
      </c>
      <c r="C694" s="143" t="s">
        <v>2504</v>
      </c>
      <c r="D694" s="143" t="s">
        <v>2504</v>
      </c>
      <c r="E694" s="143" t="s">
        <v>2504</v>
      </c>
      <c r="F694" s="143" t="s">
        <v>2504</v>
      </c>
      <c r="G694" s="143" t="s">
        <v>2504</v>
      </c>
      <c r="H694" s="143" t="s">
        <v>2504</v>
      </c>
      <c r="I694" s="143" t="s">
        <v>1390</v>
      </c>
      <c r="J694" s="143" t="s">
        <v>2504</v>
      </c>
      <c r="K694" s="143" t="s">
        <v>2504</v>
      </c>
      <c r="L694" s="143" t="s">
        <v>2504</v>
      </c>
      <c r="M694" s="143" t="s">
        <v>2504</v>
      </c>
      <c r="N694" s="143" t="s">
        <v>2504</v>
      </c>
      <c r="O694" s="143" t="s">
        <v>2504</v>
      </c>
      <c r="P694" s="143" t="s">
        <v>2504</v>
      </c>
      <c r="Q694" s="148" t="s">
        <v>1391</v>
      </c>
      <c r="R694" s="148" t="s">
        <v>1025</v>
      </c>
      <c r="S694" s="148" t="s">
        <v>1171</v>
      </c>
      <c r="T694" s="149">
        <v>19</v>
      </c>
      <c r="U694" s="148" t="s">
        <v>591</v>
      </c>
      <c r="V694" s="150">
        <v>1984.22</v>
      </c>
      <c r="W694" s="151">
        <v>24016.74</v>
      </c>
    </row>
    <row r="695" spans="1:23" ht="15" customHeight="1" x14ac:dyDescent="0.25">
      <c r="A695" s="148">
        <v>10677</v>
      </c>
      <c r="B695" s="148" t="s">
        <v>1695</v>
      </c>
      <c r="C695" s="143" t="s">
        <v>2504</v>
      </c>
      <c r="D695" s="143" t="s">
        <v>2504</v>
      </c>
      <c r="E695" s="143" t="s">
        <v>2504</v>
      </c>
      <c r="F695" s="143" t="s">
        <v>2504</v>
      </c>
      <c r="G695" s="143" t="s">
        <v>2504</v>
      </c>
      <c r="H695" s="143" t="s">
        <v>2504</v>
      </c>
      <c r="I695" s="143" t="s">
        <v>1695</v>
      </c>
      <c r="J695" s="143" t="s">
        <v>2504</v>
      </c>
      <c r="K695" s="143" t="s">
        <v>2504</v>
      </c>
      <c r="L695" s="143" t="s">
        <v>2504</v>
      </c>
      <c r="M695" s="143" t="s">
        <v>2504</v>
      </c>
      <c r="N695" s="143" t="s">
        <v>2504</v>
      </c>
      <c r="O695" s="143" t="s">
        <v>2504</v>
      </c>
      <c r="P695" s="143" t="s">
        <v>2504</v>
      </c>
      <c r="Q695" s="148" t="s">
        <v>1696</v>
      </c>
      <c r="R695" s="148" t="s">
        <v>1025</v>
      </c>
      <c r="S695" s="148" t="s">
        <v>1171</v>
      </c>
      <c r="T695" s="149">
        <v>200</v>
      </c>
      <c r="U695" s="148" t="s">
        <v>591</v>
      </c>
      <c r="V695" s="150">
        <v>20791.07</v>
      </c>
      <c r="W695" s="151">
        <v>24569.06</v>
      </c>
    </row>
    <row r="696" spans="1:23" ht="15" customHeight="1" x14ac:dyDescent="0.25">
      <c r="A696" s="148">
        <v>10345</v>
      </c>
      <c r="B696" s="148" t="s">
        <v>1326</v>
      </c>
      <c r="C696" s="143" t="s">
        <v>2504</v>
      </c>
      <c r="D696" s="143" t="s">
        <v>2504</v>
      </c>
      <c r="E696" s="143" t="s">
        <v>2504</v>
      </c>
      <c r="F696" s="143" t="s">
        <v>2504</v>
      </c>
      <c r="G696" s="143" t="s">
        <v>2504</v>
      </c>
      <c r="H696" s="143" t="s">
        <v>2504</v>
      </c>
      <c r="I696" s="143" t="s">
        <v>1326</v>
      </c>
      <c r="J696" s="143" t="s">
        <v>2504</v>
      </c>
      <c r="K696" s="143" t="s">
        <v>2504</v>
      </c>
      <c r="L696" s="143" t="s">
        <v>2504</v>
      </c>
      <c r="M696" s="143" t="s">
        <v>2504</v>
      </c>
      <c r="N696" s="143" t="s">
        <v>2504</v>
      </c>
      <c r="O696" s="143" t="s">
        <v>2504</v>
      </c>
      <c r="P696" s="143" t="s">
        <v>2504</v>
      </c>
      <c r="Q696" s="148" t="s">
        <v>1327</v>
      </c>
      <c r="R696" s="148" t="s">
        <v>1025</v>
      </c>
      <c r="S696" s="148" t="s">
        <v>1155</v>
      </c>
      <c r="T696" s="149">
        <v>19</v>
      </c>
      <c r="U696" s="148" t="s">
        <v>591</v>
      </c>
      <c r="V696" s="150">
        <v>1813.56</v>
      </c>
      <c r="W696" s="151">
        <v>24519.96</v>
      </c>
    </row>
    <row r="697" spans="1:23" ht="15" customHeight="1" x14ac:dyDescent="0.25">
      <c r="A697" s="148">
        <v>10346</v>
      </c>
      <c r="B697" s="148" t="s">
        <v>1328</v>
      </c>
      <c r="C697" s="143" t="s">
        <v>2504</v>
      </c>
      <c r="D697" s="143" t="s">
        <v>2504</v>
      </c>
      <c r="E697" s="143" t="s">
        <v>2504</v>
      </c>
      <c r="F697" s="143" t="s">
        <v>2504</v>
      </c>
      <c r="G697" s="143" t="s">
        <v>2504</v>
      </c>
      <c r="H697" s="143" t="s">
        <v>2504</v>
      </c>
      <c r="I697" s="143" t="s">
        <v>1328</v>
      </c>
      <c r="J697" s="143" t="s">
        <v>2504</v>
      </c>
      <c r="K697" s="143" t="s">
        <v>2504</v>
      </c>
      <c r="L697" s="143" t="s">
        <v>2504</v>
      </c>
      <c r="M697" s="143" t="s">
        <v>2504</v>
      </c>
      <c r="N697" s="143" t="s">
        <v>2504</v>
      </c>
      <c r="O697" s="143" t="s">
        <v>2504</v>
      </c>
      <c r="P697" s="143" t="s">
        <v>2504</v>
      </c>
      <c r="Q697" s="148" t="s">
        <v>1329</v>
      </c>
      <c r="R697" s="148" t="s">
        <v>1025</v>
      </c>
      <c r="S697" s="148" t="s">
        <v>1155</v>
      </c>
      <c r="T697" s="149">
        <v>19</v>
      </c>
      <c r="U697" s="148" t="s">
        <v>591</v>
      </c>
      <c r="V697" s="150">
        <v>1778.91</v>
      </c>
      <c r="W697" s="151">
        <v>18484.759999999998</v>
      </c>
    </row>
    <row r="698" spans="1:23" ht="15" customHeight="1" x14ac:dyDescent="0.25">
      <c r="A698" s="148">
        <v>10347</v>
      </c>
      <c r="B698" s="148" t="s">
        <v>1330</v>
      </c>
      <c r="C698" s="143" t="s">
        <v>2504</v>
      </c>
      <c r="D698" s="143" t="s">
        <v>2504</v>
      </c>
      <c r="E698" s="143" t="s">
        <v>2504</v>
      </c>
      <c r="F698" s="143" t="s">
        <v>2504</v>
      </c>
      <c r="G698" s="143" t="s">
        <v>2504</v>
      </c>
      <c r="H698" s="143" t="s">
        <v>2504</v>
      </c>
      <c r="I698" s="143" t="s">
        <v>1330</v>
      </c>
      <c r="J698" s="143" t="s">
        <v>2504</v>
      </c>
      <c r="K698" s="143" t="s">
        <v>2504</v>
      </c>
      <c r="L698" s="143" t="s">
        <v>2504</v>
      </c>
      <c r="M698" s="143" t="s">
        <v>2504</v>
      </c>
      <c r="N698" s="143" t="s">
        <v>2504</v>
      </c>
      <c r="O698" s="143" t="s">
        <v>2504</v>
      </c>
      <c r="P698" s="143" t="s">
        <v>2504</v>
      </c>
      <c r="Q698" s="148" t="s">
        <v>1331</v>
      </c>
      <c r="R698" s="148" t="s">
        <v>1025</v>
      </c>
      <c r="S698" s="148" t="s">
        <v>1155</v>
      </c>
      <c r="T698" s="149">
        <v>19</v>
      </c>
      <c r="U698" s="148" t="s">
        <v>591</v>
      </c>
      <c r="V698" s="150">
        <v>1803.52</v>
      </c>
      <c r="W698" s="151">
        <v>18537.77</v>
      </c>
    </row>
    <row r="699" spans="1:23" ht="15" customHeight="1" x14ac:dyDescent="0.25">
      <c r="A699" s="148">
        <v>10348</v>
      </c>
      <c r="B699" s="148" t="s">
        <v>1332</v>
      </c>
      <c r="C699" s="143" t="s">
        <v>2504</v>
      </c>
      <c r="D699" s="143" t="s">
        <v>2504</v>
      </c>
      <c r="E699" s="143" t="s">
        <v>2504</v>
      </c>
      <c r="F699" s="143" t="s">
        <v>2504</v>
      </c>
      <c r="G699" s="143" t="s">
        <v>2504</v>
      </c>
      <c r="H699" s="143" t="s">
        <v>2504</v>
      </c>
      <c r="I699" s="143" t="s">
        <v>1332</v>
      </c>
      <c r="J699" s="143" t="s">
        <v>2504</v>
      </c>
      <c r="K699" s="143" t="s">
        <v>2504</v>
      </c>
      <c r="L699" s="143" t="s">
        <v>2504</v>
      </c>
      <c r="M699" s="143" t="s">
        <v>2504</v>
      </c>
      <c r="N699" s="143" t="s">
        <v>2504</v>
      </c>
      <c r="O699" s="143" t="s">
        <v>2504</v>
      </c>
      <c r="P699" s="143" t="s">
        <v>2504</v>
      </c>
      <c r="Q699" s="148" t="s">
        <v>1333</v>
      </c>
      <c r="R699" s="148" t="s">
        <v>1025</v>
      </c>
      <c r="S699" s="148" t="s">
        <v>1155</v>
      </c>
      <c r="T699" s="149">
        <v>19</v>
      </c>
      <c r="U699" s="148" t="s">
        <v>591</v>
      </c>
      <c r="V699" s="150">
        <v>1862.75</v>
      </c>
      <c r="W699" s="151">
        <v>19090.72</v>
      </c>
    </row>
    <row r="700" spans="1:23" ht="15" customHeight="1" x14ac:dyDescent="0.25">
      <c r="A700" s="148">
        <v>10349</v>
      </c>
      <c r="B700" s="148" t="s">
        <v>1334</v>
      </c>
      <c r="C700" s="143" t="s">
        <v>2504</v>
      </c>
      <c r="D700" s="143" t="s">
        <v>2504</v>
      </c>
      <c r="E700" s="143" t="s">
        <v>2504</v>
      </c>
      <c r="F700" s="143" t="s">
        <v>2504</v>
      </c>
      <c r="G700" s="143" t="s">
        <v>2504</v>
      </c>
      <c r="H700" s="143" t="s">
        <v>2504</v>
      </c>
      <c r="I700" s="143" t="s">
        <v>1334</v>
      </c>
      <c r="J700" s="143" t="s">
        <v>2504</v>
      </c>
      <c r="K700" s="143" t="s">
        <v>2504</v>
      </c>
      <c r="L700" s="143" t="s">
        <v>2504</v>
      </c>
      <c r="M700" s="143" t="s">
        <v>2504</v>
      </c>
      <c r="N700" s="143" t="s">
        <v>2504</v>
      </c>
      <c r="O700" s="143" t="s">
        <v>2504</v>
      </c>
      <c r="P700" s="143" t="s">
        <v>2504</v>
      </c>
      <c r="Q700" s="148" t="s">
        <v>1335</v>
      </c>
      <c r="R700" s="148" t="s">
        <v>1025</v>
      </c>
      <c r="S700" s="148" t="s">
        <v>1155</v>
      </c>
      <c r="T700" s="149">
        <v>19</v>
      </c>
      <c r="U700" s="148" t="s">
        <v>591</v>
      </c>
      <c r="V700" s="150">
        <v>1929.12</v>
      </c>
      <c r="W700" s="151">
        <v>19146.55</v>
      </c>
    </row>
    <row r="701" spans="1:23" ht="15" customHeight="1" x14ac:dyDescent="0.25">
      <c r="A701" s="148">
        <v>10350</v>
      </c>
      <c r="B701" s="148" t="s">
        <v>1336</v>
      </c>
      <c r="C701" s="143" t="s">
        <v>2504</v>
      </c>
      <c r="D701" s="143" t="s">
        <v>2504</v>
      </c>
      <c r="E701" s="143" t="s">
        <v>2504</v>
      </c>
      <c r="F701" s="143" t="s">
        <v>2504</v>
      </c>
      <c r="G701" s="143" t="s">
        <v>2504</v>
      </c>
      <c r="H701" s="143" t="s">
        <v>2504</v>
      </c>
      <c r="I701" s="143" t="s">
        <v>1336</v>
      </c>
      <c r="J701" s="143" t="s">
        <v>2504</v>
      </c>
      <c r="K701" s="143" t="s">
        <v>2504</v>
      </c>
      <c r="L701" s="143" t="s">
        <v>2504</v>
      </c>
      <c r="M701" s="143" t="s">
        <v>2504</v>
      </c>
      <c r="N701" s="143" t="s">
        <v>2504</v>
      </c>
      <c r="O701" s="143" t="s">
        <v>2504</v>
      </c>
      <c r="P701" s="143" t="s">
        <v>2504</v>
      </c>
      <c r="Q701" s="148" t="s">
        <v>1337</v>
      </c>
      <c r="R701" s="148" t="s">
        <v>1025</v>
      </c>
      <c r="S701" s="148" t="s">
        <v>1155</v>
      </c>
      <c r="T701" s="149">
        <v>19</v>
      </c>
      <c r="U701" s="148" t="s">
        <v>591</v>
      </c>
      <c r="V701" s="150">
        <v>1959.58</v>
      </c>
      <c r="W701" s="151">
        <v>19578.05</v>
      </c>
    </row>
    <row r="702" spans="1:23" ht="15" customHeight="1" x14ac:dyDescent="0.25">
      <c r="A702" s="148">
        <v>10351</v>
      </c>
      <c r="B702" s="148" t="s">
        <v>1338</v>
      </c>
      <c r="C702" s="143" t="s">
        <v>2504</v>
      </c>
      <c r="D702" s="143" t="s">
        <v>2504</v>
      </c>
      <c r="E702" s="143" t="s">
        <v>2504</v>
      </c>
      <c r="F702" s="143" t="s">
        <v>2504</v>
      </c>
      <c r="G702" s="143" t="s">
        <v>2504</v>
      </c>
      <c r="H702" s="143" t="s">
        <v>2504</v>
      </c>
      <c r="I702" s="143" t="s">
        <v>1338</v>
      </c>
      <c r="J702" s="143" t="s">
        <v>2504</v>
      </c>
      <c r="K702" s="143" t="s">
        <v>2504</v>
      </c>
      <c r="L702" s="143" t="s">
        <v>2504</v>
      </c>
      <c r="M702" s="143" t="s">
        <v>2504</v>
      </c>
      <c r="N702" s="143" t="s">
        <v>2504</v>
      </c>
      <c r="O702" s="143" t="s">
        <v>2504</v>
      </c>
      <c r="P702" s="143" t="s">
        <v>2504</v>
      </c>
      <c r="Q702" s="148" t="s">
        <v>1339</v>
      </c>
      <c r="R702" s="148" t="s">
        <v>1025</v>
      </c>
      <c r="S702" s="148" t="s">
        <v>1155</v>
      </c>
      <c r="T702" s="149">
        <v>19</v>
      </c>
      <c r="U702" s="148" t="s">
        <v>591</v>
      </c>
      <c r="V702" s="150">
        <v>1960.8</v>
      </c>
      <c r="W702" s="151">
        <v>20242.07</v>
      </c>
    </row>
    <row r="703" spans="1:23" ht="15" customHeight="1" x14ac:dyDescent="0.25">
      <c r="A703" s="148">
        <v>10352</v>
      </c>
      <c r="B703" s="148" t="s">
        <v>1340</v>
      </c>
      <c r="C703" s="143" t="s">
        <v>2504</v>
      </c>
      <c r="D703" s="143" t="s">
        <v>2504</v>
      </c>
      <c r="E703" s="143" t="s">
        <v>2504</v>
      </c>
      <c r="F703" s="143" t="s">
        <v>2504</v>
      </c>
      <c r="G703" s="143" t="s">
        <v>2504</v>
      </c>
      <c r="H703" s="143" t="s">
        <v>2504</v>
      </c>
      <c r="I703" s="143" t="s">
        <v>1340</v>
      </c>
      <c r="J703" s="143" t="s">
        <v>2504</v>
      </c>
      <c r="K703" s="143" t="s">
        <v>2504</v>
      </c>
      <c r="L703" s="143" t="s">
        <v>2504</v>
      </c>
      <c r="M703" s="143" t="s">
        <v>2504</v>
      </c>
      <c r="N703" s="143" t="s">
        <v>2504</v>
      </c>
      <c r="O703" s="143" t="s">
        <v>2504</v>
      </c>
      <c r="P703" s="143" t="s">
        <v>2504</v>
      </c>
      <c r="Q703" s="148" t="s">
        <v>1341</v>
      </c>
      <c r="R703" s="148" t="s">
        <v>1025</v>
      </c>
      <c r="S703" s="148" t="s">
        <v>1155</v>
      </c>
      <c r="T703" s="149">
        <v>19</v>
      </c>
      <c r="U703" s="148" t="s">
        <v>591</v>
      </c>
      <c r="V703" s="150">
        <v>1974.46</v>
      </c>
      <c r="W703" s="151">
        <v>20234.490000000002</v>
      </c>
    </row>
    <row r="704" spans="1:23" ht="15" customHeight="1" x14ac:dyDescent="0.25">
      <c r="A704" s="148">
        <v>10353</v>
      </c>
      <c r="B704" s="148" t="s">
        <v>1342</v>
      </c>
      <c r="C704" s="143" t="s">
        <v>2504</v>
      </c>
      <c r="D704" s="143" t="s">
        <v>2504</v>
      </c>
      <c r="E704" s="143" t="s">
        <v>2504</v>
      </c>
      <c r="F704" s="143" t="s">
        <v>2504</v>
      </c>
      <c r="G704" s="143" t="s">
        <v>2504</v>
      </c>
      <c r="H704" s="143" t="s">
        <v>2504</v>
      </c>
      <c r="I704" s="143" t="s">
        <v>1342</v>
      </c>
      <c r="J704" s="143" t="s">
        <v>2504</v>
      </c>
      <c r="K704" s="143" t="s">
        <v>2504</v>
      </c>
      <c r="L704" s="143" t="s">
        <v>2504</v>
      </c>
      <c r="M704" s="143" t="s">
        <v>2504</v>
      </c>
      <c r="N704" s="143" t="s">
        <v>2504</v>
      </c>
      <c r="O704" s="143" t="s">
        <v>2504</v>
      </c>
      <c r="P704" s="143" t="s">
        <v>2504</v>
      </c>
      <c r="Q704" s="148" t="s">
        <v>1343</v>
      </c>
      <c r="R704" s="148" t="s">
        <v>1025</v>
      </c>
      <c r="S704" s="148" t="s">
        <v>1155</v>
      </c>
      <c r="T704" s="149">
        <v>19</v>
      </c>
      <c r="U704" s="148" t="s">
        <v>591</v>
      </c>
      <c r="V704" s="150">
        <v>1975.26</v>
      </c>
      <c r="W704" s="151">
        <v>20378.41</v>
      </c>
    </row>
    <row r="705" spans="1:23" ht="15" customHeight="1" x14ac:dyDescent="0.25">
      <c r="A705" s="148">
        <v>10354</v>
      </c>
      <c r="B705" s="148" t="s">
        <v>1344</v>
      </c>
      <c r="C705" s="143" t="s">
        <v>2504</v>
      </c>
      <c r="D705" s="143" t="s">
        <v>2504</v>
      </c>
      <c r="E705" s="143" t="s">
        <v>2504</v>
      </c>
      <c r="F705" s="143" t="s">
        <v>2504</v>
      </c>
      <c r="G705" s="143" t="s">
        <v>2504</v>
      </c>
      <c r="H705" s="143" t="s">
        <v>2504</v>
      </c>
      <c r="I705" s="143" t="s">
        <v>1344</v>
      </c>
      <c r="J705" s="143" t="s">
        <v>2504</v>
      </c>
      <c r="K705" s="143" t="s">
        <v>2504</v>
      </c>
      <c r="L705" s="143" t="s">
        <v>2504</v>
      </c>
      <c r="M705" s="143" t="s">
        <v>2504</v>
      </c>
      <c r="N705" s="143" t="s">
        <v>2504</v>
      </c>
      <c r="O705" s="143" t="s">
        <v>2504</v>
      </c>
      <c r="P705" s="143" t="s">
        <v>2504</v>
      </c>
      <c r="Q705" s="148" t="s">
        <v>1345</v>
      </c>
      <c r="R705" s="148" t="s">
        <v>1025</v>
      </c>
      <c r="S705" s="148" t="s">
        <v>1155</v>
      </c>
      <c r="T705" s="149">
        <v>19</v>
      </c>
      <c r="U705" s="148" t="s">
        <v>591</v>
      </c>
      <c r="V705" s="150">
        <v>1976.44</v>
      </c>
      <c r="W705" s="151">
        <v>20783.34</v>
      </c>
    </row>
    <row r="706" spans="1:23" ht="15" customHeight="1" x14ac:dyDescent="0.25">
      <c r="A706" s="148">
        <v>10356</v>
      </c>
      <c r="B706" s="148" t="s">
        <v>1346</v>
      </c>
      <c r="C706" s="143" t="s">
        <v>2504</v>
      </c>
      <c r="D706" s="143" t="s">
        <v>2504</v>
      </c>
      <c r="E706" s="143" t="s">
        <v>2504</v>
      </c>
      <c r="F706" s="143" t="s">
        <v>2504</v>
      </c>
      <c r="G706" s="143" t="s">
        <v>2504</v>
      </c>
      <c r="H706" s="143" t="s">
        <v>2504</v>
      </c>
      <c r="I706" s="143" t="s">
        <v>1346</v>
      </c>
      <c r="J706" s="143" t="s">
        <v>2504</v>
      </c>
      <c r="K706" s="143" t="s">
        <v>2504</v>
      </c>
      <c r="L706" s="143" t="s">
        <v>2504</v>
      </c>
      <c r="M706" s="143" t="s">
        <v>2504</v>
      </c>
      <c r="N706" s="143" t="s">
        <v>2504</v>
      </c>
      <c r="O706" s="143" t="s">
        <v>2504</v>
      </c>
      <c r="P706" s="143" t="s">
        <v>2504</v>
      </c>
      <c r="Q706" s="148" t="s">
        <v>1347</v>
      </c>
      <c r="R706" s="148" t="s">
        <v>1025</v>
      </c>
      <c r="S706" s="148" t="s">
        <v>1155</v>
      </c>
      <c r="T706" s="149">
        <v>19</v>
      </c>
      <c r="U706" s="148" t="s">
        <v>591</v>
      </c>
      <c r="V706" s="150">
        <v>2021.12</v>
      </c>
      <c r="W706" s="151">
        <v>20840.59</v>
      </c>
    </row>
    <row r="707" spans="1:23" ht="15" customHeight="1" x14ac:dyDescent="0.25">
      <c r="A707" s="148">
        <v>10645</v>
      </c>
      <c r="B707" s="148" t="s">
        <v>1645</v>
      </c>
      <c r="C707" s="143" t="s">
        <v>2504</v>
      </c>
      <c r="D707" s="143" t="s">
        <v>2504</v>
      </c>
      <c r="E707" s="143" t="s">
        <v>2504</v>
      </c>
      <c r="F707" s="143" t="s">
        <v>2504</v>
      </c>
      <c r="G707" s="143" t="s">
        <v>2504</v>
      </c>
      <c r="H707" s="143" t="s">
        <v>2504</v>
      </c>
      <c r="I707" s="143" t="s">
        <v>1645</v>
      </c>
      <c r="J707" s="143" t="s">
        <v>2504</v>
      </c>
      <c r="K707" s="143" t="s">
        <v>2504</v>
      </c>
      <c r="L707" s="143" t="s">
        <v>2504</v>
      </c>
      <c r="M707" s="143" t="s">
        <v>2504</v>
      </c>
      <c r="N707" s="143" t="s">
        <v>2504</v>
      </c>
      <c r="O707" s="143" t="s">
        <v>2504</v>
      </c>
      <c r="P707" s="143" t="s">
        <v>2504</v>
      </c>
      <c r="Q707" s="148" t="s">
        <v>1646</v>
      </c>
      <c r="R707" s="148" t="s">
        <v>1025</v>
      </c>
      <c r="S707" s="148" t="s">
        <v>1155</v>
      </c>
      <c r="T707" s="149">
        <v>200</v>
      </c>
      <c r="U707" s="148" t="s">
        <v>591</v>
      </c>
      <c r="V707" s="150">
        <v>18995.830000000002</v>
      </c>
      <c r="W707" s="151">
        <v>21250.12</v>
      </c>
    </row>
    <row r="708" spans="1:23" ht="15" customHeight="1" x14ac:dyDescent="0.25">
      <c r="A708" s="148">
        <v>10646</v>
      </c>
      <c r="B708" s="148" t="s">
        <v>1647</v>
      </c>
      <c r="C708" s="143" t="s">
        <v>2504</v>
      </c>
      <c r="D708" s="143" t="s">
        <v>2504</v>
      </c>
      <c r="E708" s="143" t="s">
        <v>2504</v>
      </c>
      <c r="F708" s="143" t="s">
        <v>2504</v>
      </c>
      <c r="G708" s="143" t="s">
        <v>2504</v>
      </c>
      <c r="H708" s="143" t="s">
        <v>2504</v>
      </c>
      <c r="I708" s="143" t="s">
        <v>1647</v>
      </c>
      <c r="J708" s="143" t="s">
        <v>2504</v>
      </c>
      <c r="K708" s="143" t="s">
        <v>2504</v>
      </c>
      <c r="L708" s="143" t="s">
        <v>2504</v>
      </c>
      <c r="M708" s="143" t="s">
        <v>2504</v>
      </c>
      <c r="N708" s="143" t="s">
        <v>2504</v>
      </c>
      <c r="O708" s="143" t="s">
        <v>2504</v>
      </c>
      <c r="P708" s="143" t="s">
        <v>2504</v>
      </c>
      <c r="Q708" s="148" t="s">
        <v>1648</v>
      </c>
      <c r="R708" s="148" t="s">
        <v>1025</v>
      </c>
      <c r="S708" s="148" t="s">
        <v>1155</v>
      </c>
      <c r="T708" s="149">
        <v>200</v>
      </c>
      <c r="U708" s="148" t="s">
        <v>591</v>
      </c>
      <c r="V708" s="150">
        <v>18639.5</v>
      </c>
      <c r="W708" s="151">
        <v>21553.17</v>
      </c>
    </row>
    <row r="709" spans="1:23" ht="15" customHeight="1" x14ac:dyDescent="0.25">
      <c r="A709" s="148">
        <v>10647</v>
      </c>
      <c r="B709" s="148" t="s">
        <v>1649</v>
      </c>
      <c r="C709" s="143" t="s">
        <v>2504</v>
      </c>
      <c r="D709" s="143" t="s">
        <v>2504</v>
      </c>
      <c r="E709" s="143" t="s">
        <v>2504</v>
      </c>
      <c r="F709" s="143" t="s">
        <v>2504</v>
      </c>
      <c r="G709" s="143" t="s">
        <v>2504</v>
      </c>
      <c r="H709" s="143" t="s">
        <v>2504</v>
      </c>
      <c r="I709" s="143" t="s">
        <v>1649</v>
      </c>
      <c r="J709" s="143" t="s">
        <v>2504</v>
      </c>
      <c r="K709" s="143" t="s">
        <v>2504</v>
      </c>
      <c r="L709" s="143" t="s">
        <v>2504</v>
      </c>
      <c r="M709" s="143" t="s">
        <v>2504</v>
      </c>
      <c r="N709" s="143" t="s">
        <v>2504</v>
      </c>
      <c r="O709" s="143" t="s">
        <v>2504</v>
      </c>
      <c r="P709" s="143" t="s">
        <v>2504</v>
      </c>
      <c r="Q709" s="148" t="s">
        <v>1650</v>
      </c>
      <c r="R709" s="148" t="s">
        <v>1025</v>
      </c>
      <c r="S709" s="148" t="s">
        <v>1155</v>
      </c>
      <c r="T709" s="149">
        <v>200</v>
      </c>
      <c r="U709" s="148" t="s">
        <v>591</v>
      </c>
      <c r="V709" s="150">
        <v>18895.45</v>
      </c>
      <c r="W709" s="151">
        <v>33202.75</v>
      </c>
    </row>
    <row r="710" spans="1:23" ht="15" customHeight="1" x14ac:dyDescent="0.25">
      <c r="A710" s="148">
        <v>10648</v>
      </c>
      <c r="B710" s="148" t="s">
        <v>1651</v>
      </c>
      <c r="C710" s="143" t="s">
        <v>2504</v>
      </c>
      <c r="D710" s="143" t="s">
        <v>2504</v>
      </c>
      <c r="E710" s="143" t="s">
        <v>2504</v>
      </c>
      <c r="F710" s="143" t="s">
        <v>2504</v>
      </c>
      <c r="G710" s="143" t="s">
        <v>2504</v>
      </c>
      <c r="H710" s="143" t="s">
        <v>2504</v>
      </c>
      <c r="I710" s="143" t="s">
        <v>1651</v>
      </c>
      <c r="J710" s="143" t="s">
        <v>2504</v>
      </c>
      <c r="K710" s="143" t="s">
        <v>2504</v>
      </c>
      <c r="L710" s="143" t="s">
        <v>2504</v>
      </c>
      <c r="M710" s="143" t="s">
        <v>2504</v>
      </c>
      <c r="N710" s="143" t="s">
        <v>2504</v>
      </c>
      <c r="O710" s="143" t="s">
        <v>2504</v>
      </c>
      <c r="P710" s="143" t="s">
        <v>2504</v>
      </c>
      <c r="Q710" s="148" t="s">
        <v>1652</v>
      </c>
      <c r="R710" s="148" t="s">
        <v>1025</v>
      </c>
      <c r="S710" s="148" t="s">
        <v>1155</v>
      </c>
      <c r="T710" s="149">
        <v>200</v>
      </c>
      <c r="U710" s="148" t="s">
        <v>591</v>
      </c>
      <c r="V710" s="150">
        <v>19518.96</v>
      </c>
      <c r="W710" s="151">
        <v>22012.2</v>
      </c>
    </row>
    <row r="711" spans="1:23" ht="15" customHeight="1" x14ac:dyDescent="0.25">
      <c r="A711" s="148">
        <v>10650</v>
      </c>
      <c r="B711" s="148" t="s">
        <v>1653</v>
      </c>
      <c r="C711" s="143" t="s">
        <v>2504</v>
      </c>
      <c r="D711" s="143" t="s">
        <v>2504</v>
      </c>
      <c r="E711" s="143" t="s">
        <v>2504</v>
      </c>
      <c r="F711" s="143" t="s">
        <v>2504</v>
      </c>
      <c r="G711" s="143" t="s">
        <v>2504</v>
      </c>
      <c r="H711" s="143" t="s">
        <v>2504</v>
      </c>
      <c r="I711" s="143" t="s">
        <v>1653</v>
      </c>
      <c r="J711" s="143" t="s">
        <v>2504</v>
      </c>
      <c r="K711" s="143" t="s">
        <v>2504</v>
      </c>
      <c r="L711" s="143" t="s">
        <v>2504</v>
      </c>
      <c r="M711" s="143" t="s">
        <v>2504</v>
      </c>
      <c r="N711" s="143" t="s">
        <v>2504</v>
      </c>
      <c r="O711" s="143" t="s">
        <v>2504</v>
      </c>
      <c r="P711" s="143" t="s">
        <v>2504</v>
      </c>
      <c r="Q711" s="148" t="s">
        <v>1654</v>
      </c>
      <c r="R711" s="148" t="s">
        <v>1025</v>
      </c>
      <c r="S711" s="148" t="s">
        <v>1155</v>
      </c>
      <c r="T711" s="149">
        <v>200</v>
      </c>
      <c r="U711" s="148" t="s">
        <v>591</v>
      </c>
      <c r="V711" s="150">
        <v>20538.099999999999</v>
      </c>
      <c r="W711" s="151">
        <v>23830.6</v>
      </c>
    </row>
    <row r="712" spans="1:23" ht="15" customHeight="1" x14ac:dyDescent="0.25">
      <c r="A712" s="148">
        <v>10651</v>
      </c>
      <c r="B712" s="148" t="s">
        <v>1655</v>
      </c>
      <c r="C712" s="143" t="s">
        <v>2504</v>
      </c>
      <c r="D712" s="143" t="s">
        <v>2504</v>
      </c>
      <c r="E712" s="143" t="s">
        <v>2504</v>
      </c>
      <c r="F712" s="143" t="s">
        <v>2504</v>
      </c>
      <c r="G712" s="143" t="s">
        <v>2504</v>
      </c>
      <c r="H712" s="143" t="s">
        <v>2504</v>
      </c>
      <c r="I712" s="143" t="s">
        <v>1655</v>
      </c>
      <c r="J712" s="143" t="s">
        <v>2504</v>
      </c>
      <c r="K712" s="143" t="s">
        <v>2504</v>
      </c>
      <c r="L712" s="143" t="s">
        <v>2504</v>
      </c>
      <c r="M712" s="143" t="s">
        <v>2504</v>
      </c>
      <c r="N712" s="143" t="s">
        <v>2504</v>
      </c>
      <c r="O712" s="143" t="s">
        <v>2504</v>
      </c>
      <c r="P712" s="143" t="s">
        <v>2504</v>
      </c>
      <c r="Q712" s="148" t="s">
        <v>1656</v>
      </c>
      <c r="R712" s="148" t="s">
        <v>1025</v>
      </c>
      <c r="S712" s="148" t="s">
        <v>1155</v>
      </c>
      <c r="T712" s="149">
        <v>200</v>
      </c>
      <c r="U712" s="148" t="s">
        <v>591</v>
      </c>
      <c r="V712" s="150">
        <v>20550.84</v>
      </c>
      <c r="W712" s="151">
        <v>25422.21</v>
      </c>
    </row>
    <row r="713" spans="1:23" ht="15" customHeight="1" x14ac:dyDescent="0.25">
      <c r="A713" s="148">
        <v>10652</v>
      </c>
      <c r="B713" s="148" t="s">
        <v>1657</v>
      </c>
      <c r="C713" s="143" t="s">
        <v>2504</v>
      </c>
      <c r="D713" s="143" t="s">
        <v>2504</v>
      </c>
      <c r="E713" s="143" t="s">
        <v>2504</v>
      </c>
      <c r="F713" s="143" t="s">
        <v>2504</v>
      </c>
      <c r="G713" s="143" t="s">
        <v>2504</v>
      </c>
      <c r="H713" s="143" t="s">
        <v>2504</v>
      </c>
      <c r="I713" s="143" t="s">
        <v>1657</v>
      </c>
      <c r="J713" s="143" t="s">
        <v>2504</v>
      </c>
      <c r="K713" s="143" t="s">
        <v>2504</v>
      </c>
      <c r="L713" s="143" t="s">
        <v>2504</v>
      </c>
      <c r="M713" s="143" t="s">
        <v>2504</v>
      </c>
      <c r="N713" s="143" t="s">
        <v>2504</v>
      </c>
      <c r="O713" s="143" t="s">
        <v>2504</v>
      </c>
      <c r="P713" s="143" t="s">
        <v>2504</v>
      </c>
      <c r="Q713" s="148" t="s">
        <v>1658</v>
      </c>
      <c r="R713" s="148" t="s">
        <v>1025</v>
      </c>
      <c r="S713" s="148" t="s">
        <v>1155</v>
      </c>
      <c r="T713" s="149">
        <v>200</v>
      </c>
      <c r="U713" s="148" t="s">
        <v>591</v>
      </c>
      <c r="V713" s="150">
        <v>20694.59</v>
      </c>
      <c r="W713" s="151">
        <v>26806.080000000002</v>
      </c>
    </row>
    <row r="714" spans="1:23" ht="15" customHeight="1" x14ac:dyDescent="0.25">
      <c r="A714" s="148">
        <v>10653</v>
      </c>
      <c r="B714" s="148" t="s">
        <v>1659</v>
      </c>
      <c r="C714" s="143" t="s">
        <v>2504</v>
      </c>
      <c r="D714" s="143" t="s">
        <v>2504</v>
      </c>
      <c r="E714" s="143" t="s">
        <v>2504</v>
      </c>
      <c r="F714" s="143" t="s">
        <v>2504</v>
      </c>
      <c r="G714" s="143" t="s">
        <v>2504</v>
      </c>
      <c r="H714" s="143" t="s">
        <v>2504</v>
      </c>
      <c r="I714" s="143" t="s">
        <v>1659</v>
      </c>
      <c r="J714" s="143" t="s">
        <v>2504</v>
      </c>
      <c r="K714" s="143" t="s">
        <v>2504</v>
      </c>
      <c r="L714" s="143" t="s">
        <v>2504</v>
      </c>
      <c r="M714" s="143" t="s">
        <v>2504</v>
      </c>
      <c r="N714" s="143" t="s">
        <v>2504</v>
      </c>
      <c r="O714" s="143" t="s">
        <v>2504</v>
      </c>
      <c r="P714" s="143" t="s">
        <v>2504</v>
      </c>
      <c r="Q714" s="148" t="s">
        <v>1660</v>
      </c>
      <c r="R714" s="148" t="s">
        <v>1025</v>
      </c>
      <c r="S714" s="148" t="s">
        <v>1155</v>
      </c>
      <c r="T714" s="149">
        <v>200</v>
      </c>
      <c r="U714" s="148" t="s">
        <v>591</v>
      </c>
      <c r="V714" s="150">
        <v>20703.240000000002</v>
      </c>
      <c r="W714" s="151">
        <v>26028.400000000001</v>
      </c>
    </row>
    <row r="715" spans="1:23" ht="15" customHeight="1" x14ac:dyDescent="0.25">
      <c r="A715" s="148">
        <v>10658</v>
      </c>
      <c r="B715" s="148" t="s">
        <v>1661</v>
      </c>
      <c r="C715" s="143" t="s">
        <v>2504</v>
      </c>
      <c r="D715" s="143" t="s">
        <v>2504</v>
      </c>
      <c r="E715" s="143" t="s">
        <v>2504</v>
      </c>
      <c r="F715" s="143" t="s">
        <v>2504</v>
      </c>
      <c r="G715" s="143" t="s">
        <v>2504</v>
      </c>
      <c r="H715" s="143" t="s">
        <v>2504</v>
      </c>
      <c r="I715" s="143" t="s">
        <v>1661</v>
      </c>
      <c r="J715" s="143" t="s">
        <v>2504</v>
      </c>
      <c r="K715" s="143" t="s">
        <v>2504</v>
      </c>
      <c r="L715" s="143" t="s">
        <v>2504</v>
      </c>
      <c r="M715" s="143" t="s">
        <v>2504</v>
      </c>
      <c r="N715" s="143" t="s">
        <v>2504</v>
      </c>
      <c r="O715" s="143" t="s">
        <v>2504</v>
      </c>
      <c r="P715" s="143" t="s">
        <v>2504</v>
      </c>
      <c r="Q715" s="148" t="s">
        <v>1662</v>
      </c>
      <c r="R715" s="148" t="s">
        <v>1025</v>
      </c>
      <c r="S715" s="148" t="s">
        <v>1155</v>
      </c>
      <c r="T715" s="149">
        <v>200</v>
      </c>
      <c r="U715" s="148" t="s">
        <v>591</v>
      </c>
      <c r="V715" s="150">
        <v>17139.39</v>
      </c>
      <c r="W715" s="151">
        <v>37423.160000000003</v>
      </c>
    </row>
    <row r="716" spans="1:23" ht="15" customHeight="1" x14ac:dyDescent="0.25">
      <c r="A716" s="148">
        <v>10358</v>
      </c>
      <c r="B716" s="148" t="s">
        <v>1348</v>
      </c>
      <c r="C716" s="143" t="s">
        <v>2504</v>
      </c>
      <c r="D716" s="143" t="s">
        <v>2504</v>
      </c>
      <c r="E716" s="143" t="s">
        <v>2504</v>
      </c>
      <c r="F716" s="143" t="s">
        <v>2504</v>
      </c>
      <c r="G716" s="143" t="s">
        <v>2504</v>
      </c>
      <c r="H716" s="143" t="s">
        <v>2504</v>
      </c>
      <c r="I716" s="143" t="s">
        <v>1348</v>
      </c>
      <c r="J716" s="143" t="s">
        <v>2504</v>
      </c>
      <c r="K716" s="143" t="s">
        <v>2504</v>
      </c>
      <c r="L716" s="143" t="s">
        <v>2504</v>
      </c>
      <c r="M716" s="143" t="s">
        <v>2504</v>
      </c>
      <c r="N716" s="143" t="s">
        <v>2504</v>
      </c>
      <c r="O716" s="143" t="s">
        <v>2504</v>
      </c>
      <c r="P716" s="143" t="s">
        <v>2504</v>
      </c>
      <c r="Q716" s="148" t="s">
        <v>1349</v>
      </c>
      <c r="R716" s="148" t="s">
        <v>1025</v>
      </c>
      <c r="S716" s="148" t="s">
        <v>1350</v>
      </c>
      <c r="T716" s="149">
        <v>19</v>
      </c>
      <c r="U716" s="148" t="s">
        <v>591</v>
      </c>
      <c r="V716" s="150">
        <v>1636.7</v>
      </c>
      <c r="W716" s="151">
        <v>41769.019999999997</v>
      </c>
    </row>
    <row r="717" spans="1:23" ht="15" customHeight="1" x14ac:dyDescent="0.25">
      <c r="A717" s="148">
        <v>10300</v>
      </c>
      <c r="B717" s="148" t="s">
        <v>1235</v>
      </c>
      <c r="C717" s="143" t="s">
        <v>2504</v>
      </c>
      <c r="D717" s="143" t="s">
        <v>2504</v>
      </c>
      <c r="E717" s="143" t="s">
        <v>2504</v>
      </c>
      <c r="F717" s="143" t="s">
        <v>2504</v>
      </c>
      <c r="G717" s="143" t="s">
        <v>2504</v>
      </c>
      <c r="H717" s="143" t="s">
        <v>2504</v>
      </c>
      <c r="I717" s="143" t="s">
        <v>2504</v>
      </c>
      <c r="J717" s="143" t="s">
        <v>1235</v>
      </c>
      <c r="K717" s="143" t="s">
        <v>2504</v>
      </c>
      <c r="L717" s="143" t="s">
        <v>2504</v>
      </c>
      <c r="M717" s="143" t="s">
        <v>2504</v>
      </c>
      <c r="N717" s="143" t="s">
        <v>2504</v>
      </c>
      <c r="O717" s="143" t="s">
        <v>2504</v>
      </c>
      <c r="P717" s="143" t="s">
        <v>2504</v>
      </c>
      <c r="Q717" s="148" t="s">
        <v>1236</v>
      </c>
      <c r="R717" s="148" t="s">
        <v>1025</v>
      </c>
      <c r="S717" s="148" t="s">
        <v>1121</v>
      </c>
      <c r="T717" s="149">
        <v>19</v>
      </c>
      <c r="U717" s="148" t="s">
        <v>591</v>
      </c>
      <c r="V717" s="150">
        <v>1838.79</v>
      </c>
      <c r="W717" s="151">
        <v>56174.42</v>
      </c>
    </row>
    <row r="718" spans="1:23" ht="15" customHeight="1" x14ac:dyDescent="0.25">
      <c r="A718" s="148">
        <v>10301</v>
      </c>
      <c r="B718" s="148" t="s">
        <v>1237</v>
      </c>
      <c r="C718" s="143" t="s">
        <v>2504</v>
      </c>
      <c r="D718" s="143" t="s">
        <v>2504</v>
      </c>
      <c r="E718" s="143" t="s">
        <v>2504</v>
      </c>
      <c r="F718" s="143" t="s">
        <v>2504</v>
      </c>
      <c r="G718" s="143" t="s">
        <v>2504</v>
      </c>
      <c r="H718" s="143" t="s">
        <v>2504</v>
      </c>
      <c r="I718" s="143" t="s">
        <v>2504</v>
      </c>
      <c r="J718" s="143" t="s">
        <v>1237</v>
      </c>
      <c r="K718" s="143" t="s">
        <v>2504</v>
      </c>
      <c r="L718" s="143" t="s">
        <v>2504</v>
      </c>
      <c r="M718" s="143" t="s">
        <v>2504</v>
      </c>
      <c r="N718" s="143" t="s">
        <v>2504</v>
      </c>
      <c r="O718" s="143" t="s">
        <v>2504</v>
      </c>
      <c r="P718" s="143" t="s">
        <v>2504</v>
      </c>
      <c r="Q718" s="148" t="s">
        <v>1238</v>
      </c>
      <c r="R718" s="148" t="s">
        <v>1025</v>
      </c>
      <c r="S718" s="148" t="s">
        <v>1121</v>
      </c>
      <c r="T718" s="149">
        <v>19</v>
      </c>
      <c r="U718" s="148" t="s">
        <v>591</v>
      </c>
      <c r="V718" s="150">
        <v>1794.67</v>
      </c>
      <c r="W718" s="151">
        <v>18621.11</v>
      </c>
    </row>
    <row r="719" spans="1:23" ht="15" customHeight="1" x14ac:dyDescent="0.25">
      <c r="A719" s="148">
        <v>10302</v>
      </c>
      <c r="B719" s="148" t="s">
        <v>1239</v>
      </c>
      <c r="C719" s="143" t="s">
        <v>2504</v>
      </c>
      <c r="D719" s="143" t="s">
        <v>2504</v>
      </c>
      <c r="E719" s="143" t="s">
        <v>2504</v>
      </c>
      <c r="F719" s="143" t="s">
        <v>2504</v>
      </c>
      <c r="G719" s="143" t="s">
        <v>2504</v>
      </c>
      <c r="H719" s="143" t="s">
        <v>2504</v>
      </c>
      <c r="I719" s="143" t="s">
        <v>2504</v>
      </c>
      <c r="J719" s="143" t="s">
        <v>1239</v>
      </c>
      <c r="K719" s="143" t="s">
        <v>2504</v>
      </c>
      <c r="L719" s="143" t="s">
        <v>2504</v>
      </c>
      <c r="M719" s="143" t="s">
        <v>2504</v>
      </c>
      <c r="N719" s="143" t="s">
        <v>2504</v>
      </c>
      <c r="O719" s="143" t="s">
        <v>2504</v>
      </c>
      <c r="P719" s="143" t="s">
        <v>2504</v>
      </c>
      <c r="Q719" s="148" t="s">
        <v>1240</v>
      </c>
      <c r="R719" s="148" t="s">
        <v>1025</v>
      </c>
      <c r="S719" s="148" t="s">
        <v>1121</v>
      </c>
      <c r="T719" s="149">
        <v>19</v>
      </c>
      <c r="U719" s="148" t="s">
        <v>591</v>
      </c>
      <c r="V719" s="150">
        <v>1814.3</v>
      </c>
      <c r="W719" s="151">
        <v>17328.23</v>
      </c>
    </row>
    <row r="720" spans="1:23" ht="15" customHeight="1" x14ac:dyDescent="0.25">
      <c r="A720" s="148">
        <v>10303</v>
      </c>
      <c r="B720" s="148" t="s">
        <v>1241</v>
      </c>
      <c r="C720" s="143" t="s">
        <v>2504</v>
      </c>
      <c r="D720" s="143" t="s">
        <v>2504</v>
      </c>
      <c r="E720" s="143" t="s">
        <v>2504</v>
      </c>
      <c r="F720" s="143" t="s">
        <v>2504</v>
      </c>
      <c r="G720" s="143" t="s">
        <v>2504</v>
      </c>
      <c r="H720" s="143" t="s">
        <v>2504</v>
      </c>
      <c r="I720" s="143" t="s">
        <v>2504</v>
      </c>
      <c r="J720" s="143" t="s">
        <v>1241</v>
      </c>
      <c r="K720" s="143" t="s">
        <v>2504</v>
      </c>
      <c r="L720" s="143" t="s">
        <v>2504</v>
      </c>
      <c r="M720" s="143" t="s">
        <v>2504</v>
      </c>
      <c r="N720" s="143" t="s">
        <v>2504</v>
      </c>
      <c r="O720" s="143" t="s">
        <v>2504</v>
      </c>
      <c r="P720" s="143" t="s">
        <v>2504</v>
      </c>
      <c r="Q720" s="148" t="s">
        <v>1242</v>
      </c>
      <c r="R720" s="148" t="s">
        <v>1025</v>
      </c>
      <c r="S720" s="148" t="s">
        <v>1121</v>
      </c>
      <c r="T720" s="149">
        <v>19</v>
      </c>
      <c r="U720" s="148" t="s">
        <v>591</v>
      </c>
      <c r="V720" s="150">
        <v>1885.11</v>
      </c>
      <c r="W720" s="151">
        <v>20264.59</v>
      </c>
    </row>
    <row r="721" spans="1:23" ht="15" customHeight="1" x14ac:dyDescent="0.25">
      <c r="A721" s="148">
        <v>10304</v>
      </c>
      <c r="B721" s="148" t="s">
        <v>1243</v>
      </c>
      <c r="C721" s="143" t="s">
        <v>2504</v>
      </c>
      <c r="D721" s="143" t="s">
        <v>2504</v>
      </c>
      <c r="E721" s="143" t="s">
        <v>2504</v>
      </c>
      <c r="F721" s="143" t="s">
        <v>2504</v>
      </c>
      <c r="G721" s="143" t="s">
        <v>2504</v>
      </c>
      <c r="H721" s="143" t="s">
        <v>2504</v>
      </c>
      <c r="I721" s="143" t="s">
        <v>2504</v>
      </c>
      <c r="J721" s="143" t="s">
        <v>1243</v>
      </c>
      <c r="K721" s="143" t="s">
        <v>2504</v>
      </c>
      <c r="L721" s="143" t="s">
        <v>2504</v>
      </c>
      <c r="M721" s="143" t="s">
        <v>2504</v>
      </c>
      <c r="N721" s="143" t="s">
        <v>2504</v>
      </c>
      <c r="O721" s="143" t="s">
        <v>2504</v>
      </c>
      <c r="P721" s="143" t="s">
        <v>2504</v>
      </c>
      <c r="Q721" s="148" t="s">
        <v>1244</v>
      </c>
      <c r="R721" s="148" t="s">
        <v>1025</v>
      </c>
      <c r="S721" s="148" t="s">
        <v>1121</v>
      </c>
      <c r="T721" s="149">
        <v>19</v>
      </c>
      <c r="U721" s="148" t="s">
        <v>591</v>
      </c>
      <c r="V721" s="150">
        <v>1952.65</v>
      </c>
      <c r="W721" s="151">
        <v>29933.27</v>
      </c>
    </row>
    <row r="722" spans="1:23" ht="15" customHeight="1" x14ac:dyDescent="0.25">
      <c r="A722" s="148">
        <v>10305</v>
      </c>
      <c r="B722" s="148" t="s">
        <v>1245</v>
      </c>
      <c r="C722" s="143" t="s">
        <v>2504</v>
      </c>
      <c r="D722" s="143" t="s">
        <v>2504</v>
      </c>
      <c r="E722" s="143" t="s">
        <v>2504</v>
      </c>
      <c r="F722" s="143" t="s">
        <v>2504</v>
      </c>
      <c r="G722" s="143" t="s">
        <v>2504</v>
      </c>
      <c r="H722" s="143" t="s">
        <v>2504</v>
      </c>
      <c r="I722" s="143" t="s">
        <v>2504</v>
      </c>
      <c r="J722" s="143" t="s">
        <v>1245</v>
      </c>
      <c r="K722" s="143" t="s">
        <v>2504</v>
      </c>
      <c r="L722" s="143" t="s">
        <v>2504</v>
      </c>
      <c r="M722" s="143" t="s">
        <v>2504</v>
      </c>
      <c r="N722" s="143" t="s">
        <v>2504</v>
      </c>
      <c r="O722" s="143" t="s">
        <v>2504</v>
      </c>
      <c r="P722" s="143" t="s">
        <v>2504</v>
      </c>
      <c r="Q722" s="148" t="s">
        <v>1246</v>
      </c>
      <c r="R722" s="148" t="s">
        <v>1025</v>
      </c>
      <c r="S722" s="148" t="s">
        <v>1121</v>
      </c>
      <c r="T722" s="149">
        <v>19</v>
      </c>
      <c r="U722" s="148" t="s">
        <v>591</v>
      </c>
      <c r="V722" s="150">
        <v>1970.8</v>
      </c>
      <c r="W722" s="151">
        <v>18993.189999999999</v>
      </c>
    </row>
    <row r="723" spans="1:23" ht="15" customHeight="1" x14ac:dyDescent="0.25">
      <c r="A723" s="148">
        <v>10306</v>
      </c>
      <c r="B723" s="148" t="s">
        <v>1247</v>
      </c>
      <c r="C723" s="143" t="s">
        <v>2504</v>
      </c>
      <c r="D723" s="143" t="s">
        <v>2504</v>
      </c>
      <c r="E723" s="143" t="s">
        <v>2504</v>
      </c>
      <c r="F723" s="143" t="s">
        <v>2504</v>
      </c>
      <c r="G723" s="143" t="s">
        <v>2504</v>
      </c>
      <c r="H723" s="143" t="s">
        <v>2504</v>
      </c>
      <c r="I723" s="143" t="s">
        <v>2504</v>
      </c>
      <c r="J723" s="143" t="s">
        <v>1247</v>
      </c>
      <c r="K723" s="143" t="s">
        <v>2504</v>
      </c>
      <c r="L723" s="143" t="s">
        <v>2504</v>
      </c>
      <c r="M723" s="143" t="s">
        <v>2504</v>
      </c>
      <c r="N723" s="143" t="s">
        <v>2504</v>
      </c>
      <c r="O723" s="143" t="s">
        <v>2504</v>
      </c>
      <c r="P723" s="143" t="s">
        <v>2504</v>
      </c>
      <c r="Q723" s="148" t="s">
        <v>1248</v>
      </c>
      <c r="R723" s="148" t="s">
        <v>1025</v>
      </c>
      <c r="S723" s="148" t="s">
        <v>1121</v>
      </c>
      <c r="T723" s="149">
        <v>19</v>
      </c>
      <c r="U723" s="148" t="s">
        <v>591</v>
      </c>
      <c r="V723" s="150">
        <v>1984.7</v>
      </c>
      <c r="W723" s="151">
        <v>41229.58</v>
      </c>
    </row>
    <row r="724" spans="1:23" ht="15" customHeight="1" x14ac:dyDescent="0.25">
      <c r="A724" s="148">
        <v>10307</v>
      </c>
      <c r="B724" s="148" t="s">
        <v>1249</v>
      </c>
      <c r="C724" s="143" t="s">
        <v>2504</v>
      </c>
      <c r="D724" s="143" t="s">
        <v>2504</v>
      </c>
      <c r="E724" s="143" t="s">
        <v>2504</v>
      </c>
      <c r="F724" s="143" t="s">
        <v>2504</v>
      </c>
      <c r="G724" s="143" t="s">
        <v>2504</v>
      </c>
      <c r="H724" s="143" t="s">
        <v>2504</v>
      </c>
      <c r="I724" s="143" t="s">
        <v>2504</v>
      </c>
      <c r="J724" s="143" t="s">
        <v>1249</v>
      </c>
      <c r="K724" s="143" t="s">
        <v>2504</v>
      </c>
      <c r="L724" s="143" t="s">
        <v>2504</v>
      </c>
      <c r="M724" s="143" t="s">
        <v>2504</v>
      </c>
      <c r="N724" s="143" t="s">
        <v>2504</v>
      </c>
      <c r="O724" s="143" t="s">
        <v>2504</v>
      </c>
      <c r="P724" s="143" t="s">
        <v>2504</v>
      </c>
      <c r="Q724" s="148" t="s">
        <v>1250</v>
      </c>
      <c r="R724" s="148" t="s">
        <v>1025</v>
      </c>
      <c r="S724" s="148" t="s">
        <v>1121</v>
      </c>
      <c r="T724" s="149">
        <v>19</v>
      </c>
      <c r="U724" s="148" t="s">
        <v>591</v>
      </c>
      <c r="V724" s="150">
        <v>1991.42</v>
      </c>
      <c r="W724" s="151">
        <v>9660.76</v>
      </c>
    </row>
    <row r="725" spans="1:23" ht="15" customHeight="1" x14ac:dyDescent="0.25">
      <c r="A725" s="148">
        <v>10308</v>
      </c>
      <c r="B725" s="148" t="s">
        <v>1251</v>
      </c>
      <c r="C725" s="143" t="s">
        <v>2504</v>
      </c>
      <c r="D725" s="143" t="s">
        <v>2504</v>
      </c>
      <c r="E725" s="143" t="s">
        <v>2504</v>
      </c>
      <c r="F725" s="143" t="s">
        <v>2504</v>
      </c>
      <c r="G725" s="143" t="s">
        <v>2504</v>
      </c>
      <c r="H725" s="143" t="s">
        <v>2504</v>
      </c>
      <c r="I725" s="143" t="s">
        <v>2504</v>
      </c>
      <c r="J725" s="143" t="s">
        <v>1251</v>
      </c>
      <c r="K725" s="143" t="s">
        <v>2504</v>
      </c>
      <c r="L725" s="143" t="s">
        <v>2504</v>
      </c>
      <c r="M725" s="143" t="s">
        <v>2504</v>
      </c>
      <c r="N725" s="143" t="s">
        <v>2504</v>
      </c>
      <c r="O725" s="143" t="s">
        <v>2504</v>
      </c>
      <c r="P725" s="143" t="s">
        <v>2504</v>
      </c>
      <c r="Q725" s="148" t="s">
        <v>1252</v>
      </c>
      <c r="R725" s="148" t="s">
        <v>1025</v>
      </c>
      <c r="S725" s="148" t="s">
        <v>1121</v>
      </c>
      <c r="T725" s="149">
        <v>19</v>
      </c>
      <c r="U725" s="148" t="s">
        <v>591</v>
      </c>
      <c r="V725" s="150">
        <v>1990.23</v>
      </c>
      <c r="W725" s="151">
        <v>12793.34</v>
      </c>
    </row>
    <row r="726" spans="1:23" ht="15" customHeight="1" x14ac:dyDescent="0.25">
      <c r="A726" s="148">
        <v>10309</v>
      </c>
      <c r="B726" s="148" t="s">
        <v>1253</v>
      </c>
      <c r="C726" s="143" t="s">
        <v>2504</v>
      </c>
      <c r="D726" s="143" t="s">
        <v>2504</v>
      </c>
      <c r="E726" s="143" t="s">
        <v>2504</v>
      </c>
      <c r="F726" s="143" t="s">
        <v>2504</v>
      </c>
      <c r="G726" s="143" t="s">
        <v>2504</v>
      </c>
      <c r="H726" s="143" t="s">
        <v>2504</v>
      </c>
      <c r="I726" s="143" t="s">
        <v>2504</v>
      </c>
      <c r="J726" s="143" t="s">
        <v>1253</v>
      </c>
      <c r="K726" s="143" t="s">
        <v>2504</v>
      </c>
      <c r="L726" s="143" t="s">
        <v>2504</v>
      </c>
      <c r="M726" s="143" t="s">
        <v>2504</v>
      </c>
      <c r="N726" s="143" t="s">
        <v>2504</v>
      </c>
      <c r="O726" s="143" t="s">
        <v>2504</v>
      </c>
      <c r="P726" s="143" t="s">
        <v>2504</v>
      </c>
      <c r="Q726" s="148" t="s">
        <v>1254</v>
      </c>
      <c r="R726" s="148" t="s">
        <v>1025</v>
      </c>
      <c r="S726" s="148" t="s">
        <v>1121</v>
      </c>
      <c r="T726" s="149">
        <v>19</v>
      </c>
      <c r="U726" s="148" t="s">
        <v>591</v>
      </c>
      <c r="V726" s="150">
        <v>1861.85</v>
      </c>
      <c r="W726" s="151">
        <f>V726*15</f>
        <v>27927.75</v>
      </c>
    </row>
    <row r="727" spans="1:23" ht="15" customHeight="1" x14ac:dyDescent="0.25">
      <c r="A727" s="148">
        <v>10310</v>
      </c>
      <c r="B727" s="148" t="s">
        <v>1255</v>
      </c>
      <c r="C727" s="143" t="s">
        <v>2504</v>
      </c>
      <c r="D727" s="143" t="s">
        <v>2504</v>
      </c>
      <c r="E727" s="143" t="s">
        <v>2504</v>
      </c>
      <c r="F727" s="143" t="s">
        <v>2504</v>
      </c>
      <c r="G727" s="143" t="s">
        <v>2504</v>
      </c>
      <c r="H727" s="143" t="s">
        <v>2504</v>
      </c>
      <c r="I727" s="143" t="s">
        <v>2504</v>
      </c>
      <c r="J727" s="143" t="s">
        <v>1255</v>
      </c>
      <c r="K727" s="143" t="s">
        <v>2504</v>
      </c>
      <c r="L727" s="143" t="s">
        <v>2504</v>
      </c>
      <c r="M727" s="143" t="s">
        <v>2504</v>
      </c>
      <c r="N727" s="143" t="s">
        <v>2504</v>
      </c>
      <c r="O727" s="143" t="s">
        <v>2504</v>
      </c>
      <c r="P727" s="143" t="s">
        <v>2504</v>
      </c>
      <c r="Q727" s="148" t="s">
        <v>1256</v>
      </c>
      <c r="R727" s="148" t="s">
        <v>1025</v>
      </c>
      <c r="S727" s="148" t="s">
        <v>1121</v>
      </c>
      <c r="T727" s="149">
        <v>19</v>
      </c>
      <c r="U727" s="148" t="s">
        <v>591</v>
      </c>
      <c r="V727" s="150">
        <v>1994.92</v>
      </c>
      <c r="W727" s="151">
        <f>V727*16</f>
        <v>31918.720000000001</v>
      </c>
    </row>
    <row r="728" spans="1:23" ht="15" customHeight="1" x14ac:dyDescent="0.25">
      <c r="A728" s="148">
        <v>10311</v>
      </c>
      <c r="B728" s="148" t="s">
        <v>1257</v>
      </c>
      <c r="C728" s="143" t="s">
        <v>2504</v>
      </c>
      <c r="D728" s="143" t="s">
        <v>2504</v>
      </c>
      <c r="E728" s="143" t="s">
        <v>2504</v>
      </c>
      <c r="F728" s="143" t="s">
        <v>2504</v>
      </c>
      <c r="G728" s="143" t="s">
        <v>2504</v>
      </c>
      <c r="H728" s="143" t="s">
        <v>2504</v>
      </c>
      <c r="I728" s="143" t="s">
        <v>2504</v>
      </c>
      <c r="J728" s="143" t="s">
        <v>1257</v>
      </c>
      <c r="K728" s="143" t="s">
        <v>2504</v>
      </c>
      <c r="L728" s="143" t="s">
        <v>2504</v>
      </c>
      <c r="M728" s="143" t="s">
        <v>2504</v>
      </c>
      <c r="N728" s="143" t="s">
        <v>2504</v>
      </c>
      <c r="O728" s="143" t="s">
        <v>2504</v>
      </c>
      <c r="P728" s="143" t="s">
        <v>2504</v>
      </c>
      <c r="Q728" s="148" t="s">
        <v>1258</v>
      </c>
      <c r="R728" s="148" t="s">
        <v>1025</v>
      </c>
      <c r="S728" s="148" t="s">
        <v>1121</v>
      </c>
      <c r="T728" s="149">
        <v>19</v>
      </c>
      <c r="U728" s="148" t="s">
        <v>591</v>
      </c>
      <c r="V728" s="150">
        <v>1991.66</v>
      </c>
      <c r="W728" s="151">
        <f>V728*4</f>
        <v>7966.64</v>
      </c>
    </row>
    <row r="729" spans="1:23" ht="15" customHeight="1" x14ac:dyDescent="0.25">
      <c r="A729" s="148">
        <v>10600</v>
      </c>
      <c r="B729" s="148" t="s">
        <v>1559</v>
      </c>
      <c r="C729" s="143" t="s">
        <v>2504</v>
      </c>
      <c r="D729" s="143" t="s">
        <v>2504</v>
      </c>
      <c r="E729" s="143" t="s">
        <v>2504</v>
      </c>
      <c r="F729" s="143" t="s">
        <v>2504</v>
      </c>
      <c r="G729" s="143" t="s">
        <v>2504</v>
      </c>
      <c r="H729" s="143" t="s">
        <v>2504</v>
      </c>
      <c r="I729" s="143" t="s">
        <v>2504</v>
      </c>
      <c r="J729" s="143" t="s">
        <v>1559</v>
      </c>
      <c r="K729" s="143" t="s">
        <v>2504</v>
      </c>
      <c r="L729" s="143" t="s">
        <v>2504</v>
      </c>
      <c r="M729" s="143" t="s">
        <v>2504</v>
      </c>
      <c r="N729" s="143" t="s">
        <v>2504</v>
      </c>
      <c r="O729" s="143" t="s">
        <v>2504</v>
      </c>
      <c r="P729" s="143" t="s">
        <v>2504</v>
      </c>
      <c r="Q729" s="148" t="s">
        <v>1560</v>
      </c>
      <c r="R729" s="148" t="s">
        <v>1025</v>
      </c>
      <c r="S729" s="148" t="s">
        <v>1121</v>
      </c>
      <c r="T729" s="149">
        <v>200</v>
      </c>
      <c r="U729" s="148" t="s">
        <v>591</v>
      </c>
      <c r="V729" s="150">
        <v>19266.52</v>
      </c>
      <c r="W729" s="151">
        <v>2010.21</v>
      </c>
    </row>
    <row r="730" spans="1:23" ht="15" customHeight="1" x14ac:dyDescent="0.25">
      <c r="A730" s="148">
        <v>10601</v>
      </c>
      <c r="B730" s="148" t="s">
        <v>1561</v>
      </c>
      <c r="C730" s="143" t="s">
        <v>2504</v>
      </c>
      <c r="D730" s="143" t="s">
        <v>2504</v>
      </c>
      <c r="E730" s="143" t="s">
        <v>2504</v>
      </c>
      <c r="F730" s="143" t="s">
        <v>2504</v>
      </c>
      <c r="G730" s="143" t="s">
        <v>2504</v>
      </c>
      <c r="H730" s="143" t="s">
        <v>2504</v>
      </c>
      <c r="I730" s="143" t="s">
        <v>2504</v>
      </c>
      <c r="J730" s="143" t="s">
        <v>1561</v>
      </c>
      <c r="K730" s="143" t="s">
        <v>2504</v>
      </c>
      <c r="L730" s="143" t="s">
        <v>2504</v>
      </c>
      <c r="M730" s="143" t="s">
        <v>2504</v>
      </c>
      <c r="N730" s="143" t="s">
        <v>2504</v>
      </c>
      <c r="O730" s="143" t="s">
        <v>2504</v>
      </c>
      <c r="P730" s="143" t="s">
        <v>2504</v>
      </c>
      <c r="Q730" s="148" t="s">
        <v>1562</v>
      </c>
      <c r="R730" s="148" t="s">
        <v>1025</v>
      </c>
      <c r="S730" s="148" t="s">
        <v>1121</v>
      </c>
      <c r="T730" s="149">
        <v>200</v>
      </c>
      <c r="U730" s="148" t="s">
        <v>591</v>
      </c>
      <c r="V730" s="150">
        <v>18802.23</v>
      </c>
      <c r="W730" s="151">
        <v>21236.62</v>
      </c>
    </row>
    <row r="731" spans="1:23" ht="15" customHeight="1" x14ac:dyDescent="0.25">
      <c r="A731" s="148">
        <v>10602</v>
      </c>
      <c r="B731" s="148" t="s">
        <v>1563</v>
      </c>
      <c r="C731" s="143" t="s">
        <v>2504</v>
      </c>
      <c r="D731" s="143" t="s">
        <v>2504</v>
      </c>
      <c r="E731" s="143" t="s">
        <v>2504</v>
      </c>
      <c r="F731" s="143" t="s">
        <v>2504</v>
      </c>
      <c r="G731" s="143" t="s">
        <v>2504</v>
      </c>
      <c r="H731" s="143" t="s">
        <v>2504</v>
      </c>
      <c r="I731" s="143" t="s">
        <v>2504</v>
      </c>
      <c r="J731" s="143" t="s">
        <v>1563</v>
      </c>
      <c r="K731" s="143" t="s">
        <v>2504</v>
      </c>
      <c r="L731" s="143" t="s">
        <v>2504</v>
      </c>
      <c r="M731" s="143" t="s">
        <v>2504</v>
      </c>
      <c r="N731" s="143" t="s">
        <v>2504</v>
      </c>
      <c r="O731" s="143" t="s">
        <v>2504</v>
      </c>
      <c r="P731" s="143" t="s">
        <v>2504</v>
      </c>
      <c r="Q731" s="148" t="s">
        <v>1564</v>
      </c>
      <c r="R731" s="148" t="s">
        <v>1025</v>
      </c>
      <c r="S731" s="148" t="s">
        <v>1121</v>
      </c>
      <c r="T731" s="149">
        <v>200</v>
      </c>
      <c r="U731" s="148" t="s">
        <v>591</v>
      </c>
      <c r="V731" s="150">
        <v>19008.73</v>
      </c>
      <c r="W731" s="151">
        <f>V731*1000</f>
        <v>19008730</v>
      </c>
    </row>
    <row r="732" spans="1:23" ht="15" customHeight="1" x14ac:dyDescent="0.25">
      <c r="A732" s="148">
        <v>10603</v>
      </c>
      <c r="B732" s="148" t="s">
        <v>1565</v>
      </c>
      <c r="C732" s="143" t="s">
        <v>2504</v>
      </c>
      <c r="D732" s="143" t="s">
        <v>2504</v>
      </c>
      <c r="E732" s="143" t="s">
        <v>2504</v>
      </c>
      <c r="F732" s="143" t="s">
        <v>2504</v>
      </c>
      <c r="G732" s="143" t="s">
        <v>2504</v>
      </c>
      <c r="H732" s="143" t="s">
        <v>2504</v>
      </c>
      <c r="I732" s="143" t="s">
        <v>2504</v>
      </c>
      <c r="J732" s="143" t="s">
        <v>1565</v>
      </c>
      <c r="K732" s="143" t="s">
        <v>2504</v>
      </c>
      <c r="L732" s="143" t="s">
        <v>2504</v>
      </c>
      <c r="M732" s="143" t="s">
        <v>2504</v>
      </c>
      <c r="N732" s="143" t="s">
        <v>2504</v>
      </c>
      <c r="O732" s="143" t="s">
        <v>2504</v>
      </c>
      <c r="P732" s="143" t="s">
        <v>2504</v>
      </c>
      <c r="Q732" s="148" t="s">
        <v>1566</v>
      </c>
      <c r="R732" s="148" t="s">
        <v>1025</v>
      </c>
      <c r="S732" s="148" t="s">
        <v>1121</v>
      </c>
      <c r="T732" s="149">
        <v>200</v>
      </c>
      <c r="U732" s="148" t="s">
        <v>591</v>
      </c>
      <c r="V732" s="150">
        <v>19754.259999999998</v>
      </c>
      <c r="W732" s="151">
        <f>V732*16</f>
        <v>316068.15999999997</v>
      </c>
    </row>
    <row r="733" spans="1:23" ht="15" customHeight="1" x14ac:dyDescent="0.25">
      <c r="A733" s="148">
        <v>10604</v>
      </c>
      <c r="B733" s="148" t="s">
        <v>1567</v>
      </c>
      <c r="C733" s="143" t="s">
        <v>2504</v>
      </c>
      <c r="D733" s="143" t="s">
        <v>2504</v>
      </c>
      <c r="E733" s="143" t="s">
        <v>2504</v>
      </c>
      <c r="F733" s="143" t="s">
        <v>2504</v>
      </c>
      <c r="G733" s="143" t="s">
        <v>2504</v>
      </c>
      <c r="H733" s="143" t="s">
        <v>2504</v>
      </c>
      <c r="I733" s="143" t="s">
        <v>2504</v>
      </c>
      <c r="J733" s="143" t="s">
        <v>1567</v>
      </c>
      <c r="K733" s="143" t="s">
        <v>2504</v>
      </c>
      <c r="L733" s="143" t="s">
        <v>2504</v>
      </c>
      <c r="M733" s="143" t="s">
        <v>2504</v>
      </c>
      <c r="N733" s="143" t="s">
        <v>2504</v>
      </c>
      <c r="O733" s="143" t="s">
        <v>2504</v>
      </c>
      <c r="P733" s="143" t="s">
        <v>2504</v>
      </c>
      <c r="Q733" s="148" t="s">
        <v>1568</v>
      </c>
      <c r="R733" s="148" t="s">
        <v>1025</v>
      </c>
      <c r="S733" s="148" t="s">
        <v>1121</v>
      </c>
      <c r="T733" s="149">
        <v>200</v>
      </c>
      <c r="U733" s="148" t="s">
        <v>591</v>
      </c>
      <c r="V733" s="150">
        <v>20465.2</v>
      </c>
      <c r="W733" s="151">
        <v>2036.91</v>
      </c>
    </row>
    <row r="734" spans="1:23" ht="15" customHeight="1" x14ac:dyDescent="0.25">
      <c r="A734" s="148">
        <v>10605</v>
      </c>
      <c r="B734" s="148" t="s">
        <v>1569</v>
      </c>
      <c r="C734" s="143" t="s">
        <v>2504</v>
      </c>
      <c r="D734" s="143" t="s">
        <v>2504</v>
      </c>
      <c r="E734" s="143" t="s">
        <v>2504</v>
      </c>
      <c r="F734" s="143" t="s">
        <v>2504</v>
      </c>
      <c r="G734" s="143" t="s">
        <v>2504</v>
      </c>
      <c r="H734" s="143" t="s">
        <v>2504</v>
      </c>
      <c r="I734" s="143" t="s">
        <v>2504</v>
      </c>
      <c r="J734" s="143" t="s">
        <v>1569</v>
      </c>
      <c r="K734" s="143" t="s">
        <v>2504</v>
      </c>
      <c r="L734" s="143" t="s">
        <v>2504</v>
      </c>
      <c r="M734" s="143" t="s">
        <v>2504</v>
      </c>
      <c r="N734" s="143" t="s">
        <v>2504</v>
      </c>
      <c r="O734" s="143" t="s">
        <v>2504</v>
      </c>
      <c r="P734" s="143" t="s">
        <v>2504</v>
      </c>
      <c r="Q734" s="148" t="s">
        <v>1570</v>
      </c>
      <c r="R734" s="148" t="s">
        <v>1025</v>
      </c>
      <c r="S734" s="148" t="s">
        <v>1121</v>
      </c>
      <c r="T734" s="149">
        <v>200</v>
      </c>
      <c r="U734" s="148" t="s">
        <v>591</v>
      </c>
      <c r="V734" s="150">
        <v>20656.3</v>
      </c>
      <c r="W734" s="151">
        <v>21512.19</v>
      </c>
    </row>
    <row r="735" spans="1:23" ht="15" customHeight="1" x14ac:dyDescent="0.25">
      <c r="A735" s="148">
        <v>10606</v>
      </c>
      <c r="B735" s="148" t="s">
        <v>1571</v>
      </c>
      <c r="C735" s="143" t="s">
        <v>2504</v>
      </c>
      <c r="D735" s="143" t="s">
        <v>2504</v>
      </c>
      <c r="E735" s="143" t="s">
        <v>2504</v>
      </c>
      <c r="F735" s="143" t="s">
        <v>2504</v>
      </c>
      <c r="G735" s="143" t="s">
        <v>2504</v>
      </c>
      <c r="H735" s="143" t="s">
        <v>2504</v>
      </c>
      <c r="I735" s="143" t="s">
        <v>2504</v>
      </c>
      <c r="J735" s="143" t="s">
        <v>1571</v>
      </c>
      <c r="K735" s="143" t="s">
        <v>2504</v>
      </c>
      <c r="L735" s="143" t="s">
        <v>2504</v>
      </c>
      <c r="M735" s="143" t="s">
        <v>2504</v>
      </c>
      <c r="N735" s="143" t="s">
        <v>2504</v>
      </c>
      <c r="O735" s="143" t="s">
        <v>2504</v>
      </c>
      <c r="P735" s="143" t="s">
        <v>2504</v>
      </c>
      <c r="Q735" s="148" t="s">
        <v>1572</v>
      </c>
      <c r="R735" s="148" t="s">
        <v>1025</v>
      </c>
      <c r="S735" s="148" t="s">
        <v>1121</v>
      </c>
      <c r="T735" s="149">
        <v>200</v>
      </c>
      <c r="U735" s="148" t="s">
        <v>591</v>
      </c>
      <c r="V735" s="150">
        <v>20802.5</v>
      </c>
      <c r="W735" s="151">
        <f>V735*1000</f>
        <v>20802500</v>
      </c>
    </row>
    <row r="736" spans="1:23" ht="15" customHeight="1" x14ac:dyDescent="0.25">
      <c r="A736" s="148">
        <v>10607</v>
      </c>
      <c r="B736" s="148" t="s">
        <v>1573</v>
      </c>
      <c r="C736" s="143" t="s">
        <v>2504</v>
      </c>
      <c r="D736" s="143" t="s">
        <v>2504</v>
      </c>
      <c r="E736" s="143" t="s">
        <v>2504</v>
      </c>
      <c r="F736" s="143" t="s">
        <v>2504</v>
      </c>
      <c r="G736" s="143" t="s">
        <v>2504</v>
      </c>
      <c r="H736" s="143" t="s">
        <v>2504</v>
      </c>
      <c r="I736" s="143" t="s">
        <v>2504</v>
      </c>
      <c r="J736" s="143" t="s">
        <v>1573</v>
      </c>
      <c r="K736" s="143" t="s">
        <v>2504</v>
      </c>
      <c r="L736" s="143" t="s">
        <v>2504</v>
      </c>
      <c r="M736" s="143" t="s">
        <v>2504</v>
      </c>
      <c r="N736" s="143" t="s">
        <v>2504</v>
      </c>
      <c r="O736" s="143" t="s">
        <v>2504</v>
      </c>
      <c r="P736" s="143" t="s">
        <v>2504</v>
      </c>
      <c r="Q736" s="148" t="s">
        <v>1574</v>
      </c>
      <c r="R736" s="148" t="s">
        <v>1025</v>
      </c>
      <c r="S736" s="148" t="s">
        <v>1121</v>
      </c>
      <c r="T736" s="149">
        <v>200</v>
      </c>
      <c r="U736" s="148" t="s">
        <v>591</v>
      </c>
      <c r="V736" s="150">
        <v>20873.25</v>
      </c>
      <c r="W736" s="151">
        <f>V736*15</f>
        <v>313098.75</v>
      </c>
    </row>
    <row r="737" spans="1:23" ht="15" customHeight="1" x14ac:dyDescent="0.25">
      <c r="A737" s="148">
        <v>10608</v>
      </c>
      <c r="B737" s="148" t="s">
        <v>1575</v>
      </c>
      <c r="C737" s="143" t="s">
        <v>2504</v>
      </c>
      <c r="D737" s="143" t="s">
        <v>2504</v>
      </c>
      <c r="E737" s="143" t="s">
        <v>2504</v>
      </c>
      <c r="F737" s="143" t="s">
        <v>2504</v>
      </c>
      <c r="G737" s="143" t="s">
        <v>2504</v>
      </c>
      <c r="H737" s="143" t="s">
        <v>2504</v>
      </c>
      <c r="I737" s="143" t="s">
        <v>2504</v>
      </c>
      <c r="J737" s="143" t="s">
        <v>1575</v>
      </c>
      <c r="K737" s="143" t="s">
        <v>2504</v>
      </c>
      <c r="L737" s="143" t="s">
        <v>2504</v>
      </c>
      <c r="M737" s="143" t="s">
        <v>2504</v>
      </c>
      <c r="N737" s="143" t="s">
        <v>2504</v>
      </c>
      <c r="O737" s="143" t="s">
        <v>2504</v>
      </c>
      <c r="P737" s="143" t="s">
        <v>2504</v>
      </c>
      <c r="Q737" s="148" t="s">
        <v>1576</v>
      </c>
      <c r="R737" s="148" t="s">
        <v>1025</v>
      </c>
      <c r="S737" s="148" t="s">
        <v>1121</v>
      </c>
      <c r="T737" s="149">
        <v>200</v>
      </c>
      <c r="U737" s="148" t="s">
        <v>591</v>
      </c>
      <c r="V737" s="150">
        <v>20860.72</v>
      </c>
      <c r="W737" s="151">
        <f>V737*16</f>
        <v>333771.52000000002</v>
      </c>
    </row>
    <row r="738" spans="1:23" ht="15" customHeight="1" x14ac:dyDescent="0.25">
      <c r="A738" s="148">
        <v>10609</v>
      </c>
      <c r="B738" s="148" t="s">
        <v>1577</v>
      </c>
      <c r="C738" s="143" t="s">
        <v>2504</v>
      </c>
      <c r="D738" s="143" t="s">
        <v>2504</v>
      </c>
      <c r="E738" s="143" t="s">
        <v>2504</v>
      </c>
      <c r="F738" s="143" t="s">
        <v>2504</v>
      </c>
      <c r="G738" s="143" t="s">
        <v>2504</v>
      </c>
      <c r="H738" s="143" t="s">
        <v>2504</v>
      </c>
      <c r="I738" s="143" t="s">
        <v>2504</v>
      </c>
      <c r="J738" s="143" t="s">
        <v>1577</v>
      </c>
      <c r="K738" s="143" t="s">
        <v>2504</v>
      </c>
      <c r="L738" s="143" t="s">
        <v>2504</v>
      </c>
      <c r="M738" s="143" t="s">
        <v>2504</v>
      </c>
      <c r="N738" s="143" t="s">
        <v>2504</v>
      </c>
      <c r="O738" s="143" t="s">
        <v>2504</v>
      </c>
      <c r="P738" s="143" t="s">
        <v>2504</v>
      </c>
      <c r="Q738" s="148" t="s">
        <v>1578</v>
      </c>
      <c r="R738" s="148" t="s">
        <v>1025</v>
      </c>
      <c r="S738" s="148" t="s">
        <v>1121</v>
      </c>
      <c r="T738" s="149">
        <v>200</v>
      </c>
      <c r="U738" s="148" t="s">
        <v>591</v>
      </c>
      <c r="V738" s="150">
        <v>20861.060000000001</v>
      </c>
      <c r="W738" s="151">
        <f>V738*4</f>
        <v>83444.240000000005</v>
      </c>
    </row>
    <row r="739" spans="1:23" ht="15" customHeight="1" x14ac:dyDescent="0.25">
      <c r="A739" s="148">
        <v>10610</v>
      </c>
      <c r="B739" s="148" t="s">
        <v>1579</v>
      </c>
      <c r="C739" s="143" t="s">
        <v>2504</v>
      </c>
      <c r="D739" s="143" t="s">
        <v>2504</v>
      </c>
      <c r="E739" s="143" t="s">
        <v>2504</v>
      </c>
      <c r="F739" s="143" t="s">
        <v>2504</v>
      </c>
      <c r="G739" s="143" t="s">
        <v>2504</v>
      </c>
      <c r="H739" s="143" t="s">
        <v>2504</v>
      </c>
      <c r="I739" s="143" t="s">
        <v>2504</v>
      </c>
      <c r="J739" s="143" t="s">
        <v>1579</v>
      </c>
      <c r="K739" s="143" t="s">
        <v>2504</v>
      </c>
      <c r="L739" s="143" t="s">
        <v>2504</v>
      </c>
      <c r="M739" s="143" t="s">
        <v>2504</v>
      </c>
      <c r="N739" s="143" t="s">
        <v>2504</v>
      </c>
      <c r="O739" s="143" t="s">
        <v>2504</v>
      </c>
      <c r="P739" s="143" t="s">
        <v>2504</v>
      </c>
      <c r="Q739" s="148" t="s">
        <v>1580</v>
      </c>
      <c r="R739" s="148" t="s">
        <v>1025</v>
      </c>
      <c r="S739" s="148" t="s">
        <v>1121</v>
      </c>
      <c r="T739" s="149">
        <v>200</v>
      </c>
      <c r="U739" s="148" t="s">
        <v>591</v>
      </c>
      <c r="V739" s="150">
        <v>20910.060000000001</v>
      </c>
      <c r="W739" s="151">
        <v>2088.8000000000002</v>
      </c>
    </row>
    <row r="740" spans="1:23" ht="15" customHeight="1" x14ac:dyDescent="0.25">
      <c r="A740" s="148">
        <v>10611</v>
      </c>
      <c r="B740" s="148" t="s">
        <v>1581</v>
      </c>
      <c r="C740" s="143" t="s">
        <v>2504</v>
      </c>
      <c r="D740" s="143" t="s">
        <v>2504</v>
      </c>
      <c r="E740" s="143" t="s">
        <v>2504</v>
      </c>
      <c r="F740" s="143" t="s">
        <v>2504</v>
      </c>
      <c r="G740" s="143" t="s">
        <v>2504</v>
      </c>
      <c r="H740" s="143" t="s">
        <v>2504</v>
      </c>
      <c r="I740" s="143" t="s">
        <v>2504</v>
      </c>
      <c r="J740" s="143" t="s">
        <v>1581</v>
      </c>
      <c r="K740" s="143" t="s">
        <v>2504</v>
      </c>
      <c r="L740" s="143" t="s">
        <v>2504</v>
      </c>
      <c r="M740" s="143" t="s">
        <v>2504</v>
      </c>
      <c r="N740" s="143" t="s">
        <v>2504</v>
      </c>
      <c r="O740" s="143" t="s">
        <v>2504</v>
      </c>
      <c r="P740" s="143" t="s">
        <v>2504</v>
      </c>
      <c r="Q740" s="148" t="s">
        <v>1582</v>
      </c>
      <c r="R740" s="148" t="s">
        <v>1025</v>
      </c>
      <c r="S740" s="148" t="s">
        <v>1121</v>
      </c>
      <c r="T740" s="149">
        <v>200</v>
      </c>
      <c r="U740" s="148" t="s">
        <v>591</v>
      </c>
      <c r="V740" s="150">
        <v>20875.78</v>
      </c>
      <c r="W740" s="151">
        <v>21962.01</v>
      </c>
    </row>
    <row r="741" spans="1:23" ht="15" customHeight="1" x14ac:dyDescent="0.25">
      <c r="A741" s="148">
        <v>10318</v>
      </c>
      <c r="B741" s="148" t="s">
        <v>1271</v>
      </c>
      <c r="C741" s="143" t="s">
        <v>2504</v>
      </c>
      <c r="D741" s="143" t="s">
        <v>2504</v>
      </c>
      <c r="E741" s="143" t="s">
        <v>2504</v>
      </c>
      <c r="F741" s="143" t="s">
        <v>2504</v>
      </c>
      <c r="G741" s="143" t="s">
        <v>2504</v>
      </c>
      <c r="H741" s="143" t="s">
        <v>2504</v>
      </c>
      <c r="I741" s="143" t="s">
        <v>2504</v>
      </c>
      <c r="J741" s="143" t="s">
        <v>1271</v>
      </c>
      <c r="K741" s="143" t="s">
        <v>2504</v>
      </c>
      <c r="L741" s="143" t="s">
        <v>2504</v>
      </c>
      <c r="M741" s="143" t="s">
        <v>2504</v>
      </c>
      <c r="N741" s="143" t="s">
        <v>2504</v>
      </c>
      <c r="O741" s="143" t="s">
        <v>2504</v>
      </c>
      <c r="P741" s="143" t="s">
        <v>2504</v>
      </c>
      <c r="Q741" s="148" t="s">
        <v>1272</v>
      </c>
      <c r="R741" s="148" t="s">
        <v>1025</v>
      </c>
      <c r="S741" s="148" t="s">
        <v>1139</v>
      </c>
      <c r="T741" s="149">
        <v>19</v>
      </c>
      <c r="U741" s="148" t="s">
        <v>591</v>
      </c>
      <c r="V741" s="150">
        <v>1985.19</v>
      </c>
      <c r="W741" s="151">
        <f>V741*1000</f>
        <v>1985190</v>
      </c>
    </row>
    <row r="742" spans="1:23" ht="15" customHeight="1" x14ac:dyDescent="0.25">
      <c r="A742" s="148">
        <v>10319</v>
      </c>
      <c r="B742" s="148" t="s">
        <v>1273</v>
      </c>
      <c r="C742" s="143" t="s">
        <v>2504</v>
      </c>
      <c r="D742" s="143" t="s">
        <v>2504</v>
      </c>
      <c r="E742" s="143" t="s">
        <v>2504</v>
      </c>
      <c r="F742" s="143" t="s">
        <v>2504</v>
      </c>
      <c r="G742" s="143" t="s">
        <v>2504</v>
      </c>
      <c r="H742" s="143" t="s">
        <v>2504</v>
      </c>
      <c r="I742" s="143" t="s">
        <v>2504</v>
      </c>
      <c r="J742" s="143" t="s">
        <v>1273</v>
      </c>
      <c r="K742" s="143" t="s">
        <v>2504</v>
      </c>
      <c r="L742" s="143" t="s">
        <v>2504</v>
      </c>
      <c r="M742" s="143" t="s">
        <v>2504</v>
      </c>
      <c r="N742" s="143" t="s">
        <v>2504</v>
      </c>
      <c r="O742" s="143" t="s">
        <v>2504</v>
      </c>
      <c r="P742" s="143" t="s">
        <v>2504</v>
      </c>
      <c r="Q742" s="148" t="s">
        <v>1274</v>
      </c>
      <c r="R742" s="148" t="s">
        <v>1025</v>
      </c>
      <c r="S742" s="148" t="s">
        <v>1139</v>
      </c>
      <c r="T742" s="149">
        <v>19</v>
      </c>
      <c r="U742" s="148" t="s">
        <v>591</v>
      </c>
      <c r="V742" s="150">
        <v>2060.83</v>
      </c>
      <c r="W742" s="151">
        <f>V742*16</f>
        <v>32973.279999999999</v>
      </c>
    </row>
    <row r="743" spans="1:23" ht="15" customHeight="1" x14ac:dyDescent="0.25">
      <c r="A743" s="148">
        <v>10320</v>
      </c>
      <c r="B743" s="148" t="s">
        <v>1275</v>
      </c>
      <c r="C743" s="143" t="s">
        <v>2504</v>
      </c>
      <c r="D743" s="143" t="s">
        <v>2504</v>
      </c>
      <c r="E743" s="143" t="s">
        <v>2504</v>
      </c>
      <c r="F743" s="143" t="s">
        <v>2504</v>
      </c>
      <c r="G743" s="143" t="s">
        <v>2504</v>
      </c>
      <c r="H743" s="143" t="s">
        <v>2504</v>
      </c>
      <c r="I743" s="143" t="s">
        <v>2504</v>
      </c>
      <c r="J743" s="143" t="s">
        <v>1275</v>
      </c>
      <c r="K743" s="143" t="s">
        <v>2504</v>
      </c>
      <c r="L743" s="143" t="s">
        <v>2504</v>
      </c>
      <c r="M743" s="143" t="s">
        <v>2504</v>
      </c>
      <c r="N743" s="143" t="s">
        <v>2504</v>
      </c>
      <c r="O743" s="143" t="s">
        <v>2504</v>
      </c>
      <c r="P743" s="143" t="s">
        <v>2504</v>
      </c>
      <c r="Q743" s="148" t="s">
        <v>1276</v>
      </c>
      <c r="R743" s="148" t="s">
        <v>1025</v>
      </c>
      <c r="S743" s="148" t="s">
        <v>1139</v>
      </c>
      <c r="T743" s="149">
        <v>19</v>
      </c>
      <c r="U743" s="148" t="s">
        <v>591</v>
      </c>
      <c r="V743" s="150">
        <v>2075.19</v>
      </c>
      <c r="W743" s="151">
        <f>V743*4</f>
        <v>8300.76</v>
      </c>
    </row>
    <row r="744" spans="1:23" ht="15" customHeight="1" x14ac:dyDescent="0.25">
      <c r="A744" s="148">
        <v>10321</v>
      </c>
      <c r="B744" s="148" t="s">
        <v>1277</v>
      </c>
      <c r="C744" s="143" t="s">
        <v>2504</v>
      </c>
      <c r="D744" s="143" t="s">
        <v>2504</v>
      </c>
      <c r="E744" s="143" t="s">
        <v>2504</v>
      </c>
      <c r="F744" s="143" t="s">
        <v>2504</v>
      </c>
      <c r="G744" s="143" t="s">
        <v>2504</v>
      </c>
      <c r="H744" s="143" t="s">
        <v>2504</v>
      </c>
      <c r="I744" s="143" t="s">
        <v>2504</v>
      </c>
      <c r="J744" s="143" t="s">
        <v>1277</v>
      </c>
      <c r="K744" s="143" t="s">
        <v>2504</v>
      </c>
      <c r="L744" s="143" t="s">
        <v>2504</v>
      </c>
      <c r="M744" s="143" t="s">
        <v>2504</v>
      </c>
      <c r="N744" s="143" t="s">
        <v>2504</v>
      </c>
      <c r="O744" s="143" t="s">
        <v>2504</v>
      </c>
      <c r="P744" s="143" t="s">
        <v>2504</v>
      </c>
      <c r="Q744" s="148" t="s">
        <v>1278</v>
      </c>
      <c r="R744" s="148" t="s">
        <v>1025</v>
      </c>
      <c r="S744" s="148" t="s">
        <v>1139</v>
      </c>
      <c r="T744" s="149">
        <v>19</v>
      </c>
      <c r="U744" s="148" t="s">
        <v>591</v>
      </c>
      <c r="V744" s="150">
        <v>2084.96</v>
      </c>
      <c r="W744" s="151">
        <v>2104.1999999999998</v>
      </c>
    </row>
    <row r="745" spans="1:23" ht="15" customHeight="1" x14ac:dyDescent="0.25">
      <c r="A745" s="148">
        <v>10618</v>
      </c>
      <c r="B745" s="148" t="s">
        <v>1595</v>
      </c>
      <c r="C745" s="143" t="s">
        <v>2504</v>
      </c>
      <c r="D745" s="143" t="s">
        <v>2504</v>
      </c>
      <c r="E745" s="143" t="s">
        <v>2504</v>
      </c>
      <c r="F745" s="143" t="s">
        <v>2504</v>
      </c>
      <c r="G745" s="143" t="s">
        <v>2504</v>
      </c>
      <c r="H745" s="143" t="s">
        <v>2504</v>
      </c>
      <c r="I745" s="143" t="s">
        <v>2504</v>
      </c>
      <c r="J745" s="143" t="s">
        <v>1595</v>
      </c>
      <c r="K745" s="143" t="s">
        <v>2504</v>
      </c>
      <c r="L745" s="143" t="s">
        <v>2504</v>
      </c>
      <c r="M745" s="143" t="s">
        <v>2504</v>
      </c>
      <c r="N745" s="143" t="s">
        <v>2504</v>
      </c>
      <c r="O745" s="143" t="s">
        <v>2504</v>
      </c>
      <c r="P745" s="143" t="s">
        <v>2504</v>
      </c>
      <c r="Q745" s="148" t="s">
        <v>1596</v>
      </c>
      <c r="R745" s="148" t="s">
        <v>1025</v>
      </c>
      <c r="S745" s="148" t="s">
        <v>1139</v>
      </c>
      <c r="T745" s="149">
        <v>200</v>
      </c>
      <c r="U745" s="148" t="s">
        <v>591</v>
      </c>
      <c r="V745" s="150">
        <v>20807.38</v>
      </c>
      <c r="W745" s="151">
        <v>22124.03</v>
      </c>
    </row>
    <row r="746" spans="1:23" ht="15" customHeight="1" x14ac:dyDescent="0.25">
      <c r="A746" s="148">
        <v>10619</v>
      </c>
      <c r="B746" s="148" t="s">
        <v>1597</v>
      </c>
      <c r="C746" s="143" t="s">
        <v>2504</v>
      </c>
      <c r="D746" s="143" t="s">
        <v>2504</v>
      </c>
      <c r="E746" s="143" t="s">
        <v>2504</v>
      </c>
      <c r="F746" s="143" t="s">
        <v>2504</v>
      </c>
      <c r="G746" s="143" t="s">
        <v>2504</v>
      </c>
      <c r="H746" s="143" t="s">
        <v>2504</v>
      </c>
      <c r="I746" s="143" t="s">
        <v>2504</v>
      </c>
      <c r="J746" s="143" t="s">
        <v>1597</v>
      </c>
      <c r="K746" s="143" t="s">
        <v>2504</v>
      </c>
      <c r="L746" s="143" t="s">
        <v>2504</v>
      </c>
      <c r="M746" s="143" t="s">
        <v>2504</v>
      </c>
      <c r="N746" s="143" t="s">
        <v>2504</v>
      </c>
      <c r="O746" s="143" t="s">
        <v>2504</v>
      </c>
      <c r="P746" s="143" t="s">
        <v>2504</v>
      </c>
      <c r="Q746" s="148" t="s">
        <v>1598</v>
      </c>
      <c r="R746" s="148" t="s">
        <v>1025</v>
      </c>
      <c r="S746" s="148" t="s">
        <v>1139</v>
      </c>
      <c r="T746" s="149">
        <v>200</v>
      </c>
      <c r="U746" s="148" t="s">
        <v>591</v>
      </c>
      <c r="V746" s="150">
        <v>21603.83</v>
      </c>
      <c r="W746" s="151">
        <f>V746*1000</f>
        <v>21603830</v>
      </c>
    </row>
    <row r="747" spans="1:23" ht="15" customHeight="1" x14ac:dyDescent="0.25">
      <c r="A747" s="148">
        <v>10620</v>
      </c>
      <c r="B747" s="148" t="s">
        <v>1599</v>
      </c>
      <c r="C747" s="143" t="s">
        <v>2504</v>
      </c>
      <c r="D747" s="143" t="s">
        <v>2504</v>
      </c>
      <c r="E747" s="143" t="s">
        <v>2504</v>
      </c>
      <c r="F747" s="143" t="s">
        <v>2504</v>
      </c>
      <c r="G747" s="143" t="s">
        <v>2504</v>
      </c>
      <c r="H747" s="143" t="s">
        <v>2504</v>
      </c>
      <c r="I747" s="143" t="s">
        <v>2504</v>
      </c>
      <c r="J747" s="143" t="s">
        <v>1599</v>
      </c>
      <c r="K747" s="143" t="s">
        <v>2504</v>
      </c>
      <c r="L747" s="143" t="s">
        <v>2504</v>
      </c>
      <c r="M747" s="143" t="s">
        <v>2504</v>
      </c>
      <c r="N747" s="143" t="s">
        <v>2504</v>
      </c>
      <c r="O747" s="143" t="s">
        <v>2504</v>
      </c>
      <c r="P747" s="143" t="s">
        <v>2504</v>
      </c>
      <c r="Q747" s="148" t="s">
        <v>1600</v>
      </c>
      <c r="R747" s="148" t="s">
        <v>1025</v>
      </c>
      <c r="S747" s="148" t="s">
        <v>1139</v>
      </c>
      <c r="T747" s="149">
        <v>200</v>
      </c>
      <c r="U747" s="148" t="s">
        <v>591</v>
      </c>
      <c r="V747" s="150">
        <v>21755.07</v>
      </c>
      <c r="W747" s="151">
        <f>V747*16</f>
        <v>348081.12</v>
      </c>
    </row>
    <row r="748" spans="1:23" ht="15" customHeight="1" x14ac:dyDescent="0.25">
      <c r="A748" s="148">
        <v>10621</v>
      </c>
      <c r="B748" s="148" t="s">
        <v>1601</v>
      </c>
      <c r="C748" s="143" t="s">
        <v>2504</v>
      </c>
      <c r="D748" s="143" t="s">
        <v>2504</v>
      </c>
      <c r="E748" s="143" t="s">
        <v>2504</v>
      </c>
      <c r="F748" s="143" t="s">
        <v>2504</v>
      </c>
      <c r="G748" s="143" t="s">
        <v>2504</v>
      </c>
      <c r="H748" s="143" t="s">
        <v>2504</v>
      </c>
      <c r="I748" s="143" t="s">
        <v>2504</v>
      </c>
      <c r="J748" s="143" t="s">
        <v>1601</v>
      </c>
      <c r="K748" s="143" t="s">
        <v>2504</v>
      </c>
      <c r="L748" s="143" t="s">
        <v>2504</v>
      </c>
      <c r="M748" s="143" t="s">
        <v>2504</v>
      </c>
      <c r="N748" s="143" t="s">
        <v>2504</v>
      </c>
      <c r="O748" s="143" t="s">
        <v>2504</v>
      </c>
      <c r="P748" s="143" t="s">
        <v>2504</v>
      </c>
      <c r="Q748" s="148" t="s">
        <v>1602</v>
      </c>
      <c r="R748" s="148" t="s">
        <v>1025</v>
      </c>
      <c r="S748" s="148" t="s">
        <v>1139</v>
      </c>
      <c r="T748" s="149">
        <v>200</v>
      </c>
      <c r="U748" s="148" t="s">
        <v>591</v>
      </c>
      <c r="V748" s="150">
        <v>21857.87</v>
      </c>
      <c r="W748" s="151">
        <f>V748*4</f>
        <v>87431.48</v>
      </c>
    </row>
    <row r="749" spans="1:23" ht="15" customHeight="1" x14ac:dyDescent="0.25">
      <c r="A749" s="148">
        <v>10312</v>
      </c>
      <c r="B749" s="148" t="s">
        <v>1259</v>
      </c>
      <c r="C749" s="143" t="s">
        <v>2504</v>
      </c>
      <c r="D749" s="143" t="s">
        <v>2504</v>
      </c>
      <c r="E749" s="143" t="s">
        <v>2504</v>
      </c>
      <c r="F749" s="143" t="s">
        <v>2504</v>
      </c>
      <c r="G749" s="143" t="s">
        <v>2504</v>
      </c>
      <c r="H749" s="143" t="s">
        <v>2504</v>
      </c>
      <c r="I749" s="143" t="s">
        <v>2504</v>
      </c>
      <c r="J749" s="143" t="s">
        <v>1259</v>
      </c>
      <c r="K749" s="143" t="s">
        <v>2504</v>
      </c>
      <c r="L749" s="143" t="s">
        <v>2504</v>
      </c>
      <c r="M749" s="143" t="s">
        <v>2504</v>
      </c>
      <c r="N749" s="143" t="s">
        <v>2504</v>
      </c>
      <c r="O749" s="143" t="s">
        <v>2504</v>
      </c>
      <c r="P749" s="143" t="s">
        <v>2504</v>
      </c>
      <c r="Q749" s="148" t="s">
        <v>1260</v>
      </c>
      <c r="R749" s="148" t="s">
        <v>1025</v>
      </c>
      <c r="S749" s="148" t="s">
        <v>1134</v>
      </c>
      <c r="T749" s="149">
        <v>19</v>
      </c>
      <c r="U749" s="148" t="s">
        <v>591</v>
      </c>
      <c r="V749" s="150">
        <v>2099.7399999999998</v>
      </c>
      <c r="W749" s="151">
        <v>2104.9699999999998</v>
      </c>
    </row>
    <row r="750" spans="1:23" ht="15" customHeight="1" x14ac:dyDescent="0.25">
      <c r="A750" s="148">
        <v>10313</v>
      </c>
      <c r="B750" s="148" t="s">
        <v>1261</v>
      </c>
      <c r="C750" s="143" t="s">
        <v>2504</v>
      </c>
      <c r="D750" s="143" t="s">
        <v>2504</v>
      </c>
      <c r="E750" s="143" t="s">
        <v>2504</v>
      </c>
      <c r="F750" s="143" t="s">
        <v>2504</v>
      </c>
      <c r="G750" s="143" t="s">
        <v>2504</v>
      </c>
      <c r="H750" s="143" t="s">
        <v>2504</v>
      </c>
      <c r="I750" s="143" t="s">
        <v>2504</v>
      </c>
      <c r="J750" s="143" t="s">
        <v>1261</v>
      </c>
      <c r="K750" s="143" t="s">
        <v>2504</v>
      </c>
      <c r="L750" s="143" t="s">
        <v>2504</v>
      </c>
      <c r="M750" s="143" t="s">
        <v>2504</v>
      </c>
      <c r="N750" s="143" t="s">
        <v>2504</v>
      </c>
      <c r="O750" s="143" t="s">
        <v>2504</v>
      </c>
      <c r="P750" s="143" t="s">
        <v>2504</v>
      </c>
      <c r="Q750" s="148" t="s">
        <v>1262</v>
      </c>
      <c r="R750" s="148" t="s">
        <v>1025</v>
      </c>
      <c r="S750" s="148" t="s">
        <v>1134</v>
      </c>
      <c r="T750" s="149">
        <v>19</v>
      </c>
      <c r="U750" s="148" t="s">
        <v>591</v>
      </c>
      <c r="V750" s="150">
        <v>2086.9</v>
      </c>
      <c r="W750" s="151">
        <v>22132.32</v>
      </c>
    </row>
    <row r="751" spans="1:23" ht="15" customHeight="1" x14ac:dyDescent="0.25">
      <c r="A751" s="148">
        <v>10314</v>
      </c>
      <c r="B751" s="148" t="s">
        <v>1263</v>
      </c>
      <c r="C751" s="143" t="s">
        <v>2504</v>
      </c>
      <c r="D751" s="143" t="s">
        <v>2504</v>
      </c>
      <c r="E751" s="143" t="s">
        <v>2504</v>
      </c>
      <c r="F751" s="143" t="s">
        <v>2504</v>
      </c>
      <c r="G751" s="143" t="s">
        <v>2504</v>
      </c>
      <c r="H751" s="143" t="s">
        <v>2504</v>
      </c>
      <c r="I751" s="143" t="s">
        <v>2504</v>
      </c>
      <c r="J751" s="143" t="s">
        <v>1263</v>
      </c>
      <c r="K751" s="143" t="s">
        <v>2504</v>
      </c>
      <c r="L751" s="143" t="s">
        <v>2504</v>
      </c>
      <c r="M751" s="143" t="s">
        <v>2504</v>
      </c>
      <c r="N751" s="143" t="s">
        <v>2504</v>
      </c>
      <c r="O751" s="143" t="s">
        <v>2504</v>
      </c>
      <c r="P751" s="143" t="s">
        <v>2504</v>
      </c>
      <c r="Q751" s="148" t="s">
        <v>1264</v>
      </c>
      <c r="R751" s="148" t="s">
        <v>1025</v>
      </c>
      <c r="S751" s="148" t="s">
        <v>1134</v>
      </c>
      <c r="T751" s="149">
        <v>19</v>
      </c>
      <c r="U751" s="148" t="s">
        <v>591</v>
      </c>
      <c r="V751" s="150">
        <v>2204.12</v>
      </c>
      <c r="W751" s="151">
        <f>V751*1000</f>
        <v>2204120</v>
      </c>
    </row>
    <row r="752" spans="1:23" ht="15" customHeight="1" x14ac:dyDescent="0.25">
      <c r="A752" s="148">
        <v>10315</v>
      </c>
      <c r="B752" s="148" t="s">
        <v>1265</v>
      </c>
      <c r="C752" s="143" t="s">
        <v>2504</v>
      </c>
      <c r="D752" s="143" t="s">
        <v>2504</v>
      </c>
      <c r="E752" s="143" t="s">
        <v>2504</v>
      </c>
      <c r="F752" s="143" t="s">
        <v>2504</v>
      </c>
      <c r="G752" s="143" t="s">
        <v>2504</v>
      </c>
      <c r="H752" s="143" t="s">
        <v>2504</v>
      </c>
      <c r="I752" s="143" t="s">
        <v>2504</v>
      </c>
      <c r="J752" s="143" t="s">
        <v>1265</v>
      </c>
      <c r="K752" s="143" t="s">
        <v>2504</v>
      </c>
      <c r="L752" s="143" t="s">
        <v>2504</v>
      </c>
      <c r="M752" s="143" t="s">
        <v>2504</v>
      </c>
      <c r="N752" s="143" t="s">
        <v>2504</v>
      </c>
      <c r="O752" s="143" t="s">
        <v>2504</v>
      </c>
      <c r="P752" s="143" t="s">
        <v>2504</v>
      </c>
      <c r="Q752" s="148" t="s">
        <v>1266</v>
      </c>
      <c r="R752" s="148" t="s">
        <v>1025</v>
      </c>
      <c r="S752" s="148" t="s">
        <v>1134</v>
      </c>
      <c r="T752" s="149">
        <v>19</v>
      </c>
      <c r="U752" s="148" t="s">
        <v>591</v>
      </c>
      <c r="V752" s="150">
        <v>2326.5100000000002</v>
      </c>
      <c r="W752" s="151">
        <f>V752*4</f>
        <v>9306.0400000000009</v>
      </c>
    </row>
    <row r="753" spans="1:23" ht="15" customHeight="1" x14ac:dyDescent="0.25">
      <c r="A753" s="148">
        <v>10612</v>
      </c>
      <c r="B753" s="148" t="s">
        <v>1583</v>
      </c>
      <c r="C753" s="143" t="s">
        <v>2504</v>
      </c>
      <c r="D753" s="143" t="s">
        <v>2504</v>
      </c>
      <c r="E753" s="143" t="s">
        <v>2504</v>
      </c>
      <c r="F753" s="143" t="s">
        <v>2504</v>
      </c>
      <c r="G753" s="143" t="s">
        <v>2504</v>
      </c>
      <c r="H753" s="143" t="s">
        <v>2504</v>
      </c>
      <c r="I753" s="143" t="s">
        <v>2504</v>
      </c>
      <c r="J753" s="143" t="s">
        <v>1583</v>
      </c>
      <c r="K753" s="143" t="s">
        <v>2504</v>
      </c>
      <c r="L753" s="143" t="s">
        <v>2504</v>
      </c>
      <c r="M753" s="143" t="s">
        <v>2504</v>
      </c>
      <c r="N753" s="143" t="s">
        <v>2504</v>
      </c>
      <c r="O753" s="143" t="s">
        <v>2504</v>
      </c>
      <c r="P753" s="143" t="s">
        <v>2504</v>
      </c>
      <c r="Q753" s="148" t="s">
        <v>1584</v>
      </c>
      <c r="R753" s="148" t="s">
        <v>1025</v>
      </c>
      <c r="S753" s="148" t="s">
        <v>1134</v>
      </c>
      <c r="T753" s="149">
        <v>200</v>
      </c>
      <c r="U753" s="148" t="s">
        <v>591</v>
      </c>
      <c r="V753" s="150">
        <v>22013.56</v>
      </c>
      <c r="W753" s="151">
        <v>17765.03</v>
      </c>
    </row>
    <row r="754" spans="1:23" ht="15" customHeight="1" x14ac:dyDescent="0.25">
      <c r="A754" s="148">
        <v>10613</v>
      </c>
      <c r="B754" s="148" t="s">
        <v>1585</v>
      </c>
      <c r="C754" s="143" t="s">
        <v>2504</v>
      </c>
      <c r="D754" s="143" t="s">
        <v>2504</v>
      </c>
      <c r="E754" s="143" t="s">
        <v>2504</v>
      </c>
      <c r="F754" s="143" t="s">
        <v>2504</v>
      </c>
      <c r="G754" s="143" t="s">
        <v>2504</v>
      </c>
      <c r="H754" s="143" t="s">
        <v>2504</v>
      </c>
      <c r="I754" s="143" t="s">
        <v>2504</v>
      </c>
      <c r="J754" s="143" t="s">
        <v>1585</v>
      </c>
      <c r="K754" s="143" t="s">
        <v>2504</v>
      </c>
      <c r="L754" s="143" t="s">
        <v>2504</v>
      </c>
      <c r="M754" s="143" t="s">
        <v>2504</v>
      </c>
      <c r="N754" s="143" t="s">
        <v>2504</v>
      </c>
      <c r="O754" s="143" t="s">
        <v>2504</v>
      </c>
      <c r="P754" s="143" t="s">
        <v>2504</v>
      </c>
      <c r="Q754" s="148" t="s">
        <v>1586</v>
      </c>
      <c r="R754" s="148" t="s">
        <v>1025</v>
      </c>
      <c r="S754" s="148" t="s">
        <v>1134</v>
      </c>
      <c r="T754" s="149">
        <v>200</v>
      </c>
      <c r="U754" s="148" t="s">
        <v>591</v>
      </c>
      <c r="V754" s="150">
        <v>21878.26</v>
      </c>
      <c r="W754" s="151">
        <f>V754*1000</f>
        <v>21878260</v>
      </c>
    </row>
    <row r="755" spans="1:23" ht="15" customHeight="1" x14ac:dyDescent="0.25">
      <c r="A755" s="148">
        <v>10614</v>
      </c>
      <c r="B755" s="148" t="s">
        <v>1587</v>
      </c>
      <c r="C755" s="143" t="s">
        <v>2504</v>
      </c>
      <c r="D755" s="143" t="s">
        <v>2504</v>
      </c>
      <c r="E755" s="143" t="s">
        <v>2504</v>
      </c>
      <c r="F755" s="143" t="s">
        <v>2504</v>
      </c>
      <c r="G755" s="143" t="s">
        <v>2504</v>
      </c>
      <c r="H755" s="143" t="s">
        <v>2504</v>
      </c>
      <c r="I755" s="143" t="s">
        <v>2504</v>
      </c>
      <c r="J755" s="143" t="s">
        <v>1587</v>
      </c>
      <c r="K755" s="143" t="s">
        <v>2504</v>
      </c>
      <c r="L755" s="143" t="s">
        <v>2504</v>
      </c>
      <c r="M755" s="143" t="s">
        <v>2504</v>
      </c>
      <c r="N755" s="143" t="s">
        <v>2504</v>
      </c>
      <c r="O755" s="143" t="s">
        <v>2504</v>
      </c>
      <c r="P755" s="143" t="s">
        <v>2504</v>
      </c>
      <c r="Q755" s="148" t="s">
        <v>1588</v>
      </c>
      <c r="R755" s="148" t="s">
        <v>1025</v>
      </c>
      <c r="S755" s="148" t="s">
        <v>1134</v>
      </c>
      <c r="T755" s="149">
        <v>200</v>
      </c>
      <c r="U755" s="148" t="s">
        <v>591</v>
      </c>
      <c r="V755" s="150">
        <v>23112.23</v>
      </c>
      <c r="W755" s="151">
        <f>V755*16</f>
        <v>369795.68</v>
      </c>
    </row>
    <row r="756" spans="1:23" ht="15" customHeight="1" x14ac:dyDescent="0.25">
      <c r="A756" s="148">
        <v>10369</v>
      </c>
      <c r="B756" s="148" t="s">
        <v>1372</v>
      </c>
      <c r="C756" s="143" t="s">
        <v>2504</v>
      </c>
      <c r="D756" s="143" t="s">
        <v>2504</v>
      </c>
      <c r="E756" s="143" t="s">
        <v>2504</v>
      </c>
      <c r="F756" s="143" t="s">
        <v>2504</v>
      </c>
      <c r="G756" s="143" t="s">
        <v>2504</v>
      </c>
      <c r="H756" s="143" t="s">
        <v>2504</v>
      </c>
      <c r="I756" s="143" t="s">
        <v>2504</v>
      </c>
      <c r="J756" s="143" t="s">
        <v>1372</v>
      </c>
      <c r="K756" s="143" t="s">
        <v>2504</v>
      </c>
      <c r="L756" s="143" t="s">
        <v>2504</v>
      </c>
      <c r="M756" s="143" t="s">
        <v>2504</v>
      </c>
      <c r="N756" s="143" t="s">
        <v>2504</v>
      </c>
      <c r="O756" s="143" t="s">
        <v>2504</v>
      </c>
      <c r="P756" s="143" t="s">
        <v>2504</v>
      </c>
      <c r="Q756" s="148" t="s">
        <v>1373</v>
      </c>
      <c r="R756" s="148" t="s">
        <v>1025</v>
      </c>
      <c r="S756" s="148" t="s">
        <v>1374</v>
      </c>
      <c r="T756" s="149">
        <v>19</v>
      </c>
      <c r="U756" s="148" t="s">
        <v>591</v>
      </c>
      <c r="V756" s="150">
        <v>1992.84</v>
      </c>
      <c r="W756" s="151">
        <f>V756*4</f>
        <v>7971.36</v>
      </c>
    </row>
    <row r="757" spans="1:23" ht="15" customHeight="1" x14ac:dyDescent="0.25">
      <c r="A757" s="148">
        <v>10370</v>
      </c>
      <c r="B757" s="148" t="s">
        <v>1375</v>
      </c>
      <c r="C757" s="143" t="s">
        <v>2504</v>
      </c>
      <c r="D757" s="143" t="s">
        <v>2504</v>
      </c>
      <c r="E757" s="143" t="s">
        <v>2504</v>
      </c>
      <c r="F757" s="143" t="s">
        <v>2504</v>
      </c>
      <c r="G757" s="143" t="s">
        <v>2504</v>
      </c>
      <c r="H757" s="143" t="s">
        <v>2504</v>
      </c>
      <c r="I757" s="143" t="s">
        <v>2504</v>
      </c>
      <c r="J757" s="143" t="s">
        <v>1375</v>
      </c>
      <c r="K757" s="143" t="s">
        <v>2504</v>
      </c>
      <c r="L757" s="143" t="s">
        <v>2504</v>
      </c>
      <c r="M757" s="143" t="s">
        <v>2504</v>
      </c>
      <c r="N757" s="143" t="s">
        <v>2504</v>
      </c>
      <c r="O757" s="143" t="s">
        <v>2504</v>
      </c>
      <c r="P757" s="143" t="s">
        <v>2504</v>
      </c>
      <c r="Q757" s="148" t="s">
        <v>1376</v>
      </c>
      <c r="R757" s="148" t="s">
        <v>1025</v>
      </c>
      <c r="S757" s="148" t="s">
        <v>1374</v>
      </c>
      <c r="T757" s="149">
        <v>19</v>
      </c>
      <c r="U757" s="148" t="s">
        <v>591</v>
      </c>
      <c r="V757" s="150">
        <v>2078.0300000000002</v>
      </c>
      <c r="W757" s="151">
        <v>1361.22</v>
      </c>
    </row>
    <row r="758" spans="1:23" ht="15" customHeight="1" x14ac:dyDescent="0.25">
      <c r="A758" s="148">
        <v>10371</v>
      </c>
      <c r="B758" s="148" t="s">
        <v>1377</v>
      </c>
      <c r="C758" s="143" t="s">
        <v>2504</v>
      </c>
      <c r="D758" s="143" t="s">
        <v>2504</v>
      </c>
      <c r="E758" s="143" t="s">
        <v>2504</v>
      </c>
      <c r="F758" s="143" t="s">
        <v>2504</v>
      </c>
      <c r="G758" s="143" t="s">
        <v>2504</v>
      </c>
      <c r="H758" s="143" t="s">
        <v>2504</v>
      </c>
      <c r="I758" s="143" t="s">
        <v>2504</v>
      </c>
      <c r="J758" s="143" t="s">
        <v>1377</v>
      </c>
      <c r="K758" s="143" t="s">
        <v>2504</v>
      </c>
      <c r="L758" s="143" t="s">
        <v>2504</v>
      </c>
      <c r="M758" s="143" t="s">
        <v>2504</v>
      </c>
      <c r="N758" s="143" t="s">
        <v>2504</v>
      </c>
      <c r="O758" s="143" t="s">
        <v>2504</v>
      </c>
      <c r="P758" s="143" t="s">
        <v>2504</v>
      </c>
      <c r="Q758" s="148" t="s">
        <v>1378</v>
      </c>
      <c r="R758" s="148" t="s">
        <v>1025</v>
      </c>
      <c r="S758" s="148" t="s">
        <v>1374</v>
      </c>
      <c r="T758" s="149">
        <v>19</v>
      </c>
      <c r="U758" s="148" t="s">
        <v>591</v>
      </c>
      <c r="V758" s="150">
        <v>2222.61</v>
      </c>
      <c r="W758" s="151">
        <v>13801.68</v>
      </c>
    </row>
    <row r="759" spans="1:23" ht="15" customHeight="1" x14ac:dyDescent="0.25">
      <c r="A759" s="148">
        <v>10372</v>
      </c>
      <c r="B759" s="148" t="s">
        <v>1379</v>
      </c>
      <c r="C759" s="143" t="s">
        <v>2504</v>
      </c>
      <c r="D759" s="143" t="s">
        <v>2504</v>
      </c>
      <c r="E759" s="143" t="s">
        <v>2504</v>
      </c>
      <c r="F759" s="143" t="s">
        <v>2504</v>
      </c>
      <c r="G759" s="143" t="s">
        <v>2504</v>
      </c>
      <c r="H759" s="143" t="s">
        <v>2504</v>
      </c>
      <c r="I759" s="143" t="s">
        <v>2504</v>
      </c>
      <c r="J759" s="143" t="s">
        <v>1379</v>
      </c>
      <c r="K759" s="143" t="s">
        <v>2504</v>
      </c>
      <c r="L759" s="143" t="s">
        <v>2504</v>
      </c>
      <c r="M759" s="143" t="s">
        <v>2504</v>
      </c>
      <c r="N759" s="143" t="s">
        <v>2504</v>
      </c>
      <c r="O759" s="143" t="s">
        <v>2504</v>
      </c>
      <c r="P759" s="143" t="s">
        <v>2504</v>
      </c>
      <c r="Q759" s="148" t="s">
        <v>1380</v>
      </c>
      <c r="R759" s="148" t="s">
        <v>1025</v>
      </c>
      <c r="S759" s="148" t="s">
        <v>1374</v>
      </c>
      <c r="T759" s="149">
        <v>19</v>
      </c>
      <c r="U759" s="148" t="s">
        <v>591</v>
      </c>
      <c r="V759" s="150">
        <v>2345.37</v>
      </c>
      <c r="W759" s="151">
        <f>V759*15</f>
        <v>35180.549999999996</v>
      </c>
    </row>
    <row r="760" spans="1:23" ht="15" customHeight="1" x14ac:dyDescent="0.25">
      <c r="A760" s="148">
        <v>10669</v>
      </c>
      <c r="B760" s="148" t="s">
        <v>1681</v>
      </c>
      <c r="C760" s="143" t="s">
        <v>2504</v>
      </c>
      <c r="D760" s="143" t="s">
        <v>2504</v>
      </c>
      <c r="E760" s="143" t="s">
        <v>2504</v>
      </c>
      <c r="F760" s="143" t="s">
        <v>2504</v>
      </c>
      <c r="G760" s="143" t="s">
        <v>2504</v>
      </c>
      <c r="H760" s="143" t="s">
        <v>2504</v>
      </c>
      <c r="I760" s="143" t="s">
        <v>2504</v>
      </c>
      <c r="J760" s="143" t="s">
        <v>1681</v>
      </c>
      <c r="K760" s="143" t="s">
        <v>2504</v>
      </c>
      <c r="L760" s="143" t="s">
        <v>2504</v>
      </c>
      <c r="M760" s="143" t="s">
        <v>2504</v>
      </c>
      <c r="N760" s="143" t="s">
        <v>2504</v>
      </c>
      <c r="O760" s="143" t="s">
        <v>2504</v>
      </c>
      <c r="P760" s="143" t="s">
        <v>2504</v>
      </c>
      <c r="Q760" s="148" t="s">
        <v>1682</v>
      </c>
      <c r="R760" s="148" t="s">
        <v>1025</v>
      </c>
      <c r="S760" s="148" t="s">
        <v>1374</v>
      </c>
      <c r="T760" s="149">
        <v>200</v>
      </c>
      <c r="U760" s="148" t="s">
        <v>591</v>
      </c>
      <c r="V760" s="150">
        <v>20888.259999999998</v>
      </c>
      <c r="W760" s="151">
        <v>2668.96</v>
      </c>
    </row>
    <row r="761" spans="1:23" ht="15" customHeight="1" x14ac:dyDescent="0.25">
      <c r="A761" s="148">
        <v>10670</v>
      </c>
      <c r="B761" s="148" t="s">
        <v>1683</v>
      </c>
      <c r="C761" s="143" t="s">
        <v>2504</v>
      </c>
      <c r="D761" s="143" t="s">
        <v>2504</v>
      </c>
      <c r="E761" s="143" t="s">
        <v>2504</v>
      </c>
      <c r="F761" s="143" t="s">
        <v>2504</v>
      </c>
      <c r="G761" s="143" t="s">
        <v>2504</v>
      </c>
      <c r="H761" s="143" t="s">
        <v>2504</v>
      </c>
      <c r="I761" s="143" t="s">
        <v>2504</v>
      </c>
      <c r="J761" s="143" t="s">
        <v>1683</v>
      </c>
      <c r="K761" s="143" t="s">
        <v>2504</v>
      </c>
      <c r="L761" s="143" t="s">
        <v>2504</v>
      </c>
      <c r="M761" s="143" t="s">
        <v>2504</v>
      </c>
      <c r="N761" s="143" t="s">
        <v>2504</v>
      </c>
      <c r="O761" s="143" t="s">
        <v>2504</v>
      </c>
      <c r="P761" s="143" t="s">
        <v>2504</v>
      </c>
      <c r="Q761" s="148" t="s">
        <v>1684</v>
      </c>
      <c r="R761" s="148" t="s">
        <v>1025</v>
      </c>
      <c r="S761" s="148" t="s">
        <v>1374</v>
      </c>
      <c r="T761" s="149">
        <v>200</v>
      </c>
      <c r="U761" s="148" t="s">
        <v>591</v>
      </c>
      <c r="V761" s="150">
        <v>21784.97</v>
      </c>
      <c r="W761" s="151">
        <v>27621.47</v>
      </c>
    </row>
    <row r="762" spans="1:23" ht="15" customHeight="1" x14ac:dyDescent="0.25">
      <c r="A762" s="148">
        <v>10671</v>
      </c>
      <c r="B762" s="148" t="s">
        <v>1685</v>
      </c>
      <c r="C762" s="143" t="s">
        <v>2504</v>
      </c>
      <c r="D762" s="143" t="s">
        <v>2504</v>
      </c>
      <c r="E762" s="143" t="s">
        <v>2504</v>
      </c>
      <c r="F762" s="143" t="s">
        <v>2504</v>
      </c>
      <c r="G762" s="143" t="s">
        <v>2504</v>
      </c>
      <c r="H762" s="143" t="s">
        <v>2504</v>
      </c>
      <c r="I762" s="143" t="s">
        <v>2504</v>
      </c>
      <c r="J762" s="143" t="s">
        <v>1685</v>
      </c>
      <c r="K762" s="143" t="s">
        <v>2504</v>
      </c>
      <c r="L762" s="143" t="s">
        <v>2504</v>
      </c>
      <c r="M762" s="143" t="s">
        <v>2504</v>
      </c>
      <c r="N762" s="143" t="s">
        <v>2504</v>
      </c>
      <c r="O762" s="143" t="s">
        <v>2504</v>
      </c>
      <c r="P762" s="143" t="s">
        <v>2504</v>
      </c>
      <c r="Q762" s="148" t="s">
        <v>1686</v>
      </c>
      <c r="R762" s="148" t="s">
        <v>1025</v>
      </c>
      <c r="S762" s="148" t="s">
        <v>1374</v>
      </c>
      <c r="T762" s="149">
        <v>200</v>
      </c>
      <c r="U762" s="148" t="s">
        <v>591</v>
      </c>
      <c r="V762" s="150">
        <v>23306.79</v>
      </c>
      <c r="W762" s="151">
        <f>V762*15</f>
        <v>349601.85000000003</v>
      </c>
    </row>
    <row r="763" spans="1:23" ht="15" customHeight="1" x14ac:dyDescent="0.25">
      <c r="A763" s="148">
        <v>10378</v>
      </c>
      <c r="B763" s="148" t="s">
        <v>1392</v>
      </c>
      <c r="C763" s="143" t="s">
        <v>2504</v>
      </c>
      <c r="D763" s="143" t="s">
        <v>2504</v>
      </c>
      <c r="E763" s="143" t="s">
        <v>2504</v>
      </c>
      <c r="F763" s="143" t="s">
        <v>2504</v>
      </c>
      <c r="G763" s="143" t="s">
        <v>2504</v>
      </c>
      <c r="H763" s="143" t="s">
        <v>2504</v>
      </c>
      <c r="I763" s="143" t="s">
        <v>2504</v>
      </c>
      <c r="J763" s="143" t="s">
        <v>1392</v>
      </c>
      <c r="K763" s="143" t="s">
        <v>2504</v>
      </c>
      <c r="L763" s="143" t="s">
        <v>2504</v>
      </c>
      <c r="M763" s="143" t="s">
        <v>2504</v>
      </c>
      <c r="N763" s="143" t="s">
        <v>2504</v>
      </c>
      <c r="O763" s="143" t="s">
        <v>2504</v>
      </c>
      <c r="P763" s="143" t="s">
        <v>2504</v>
      </c>
      <c r="Q763" s="148" t="s">
        <v>1393</v>
      </c>
      <c r="R763" s="148" t="s">
        <v>1025</v>
      </c>
      <c r="S763" s="148" t="s">
        <v>1171</v>
      </c>
      <c r="T763" s="149">
        <v>19</v>
      </c>
      <c r="U763" s="148" t="s">
        <v>591</v>
      </c>
      <c r="V763" s="150">
        <v>2069.04</v>
      </c>
      <c r="W763" s="151">
        <v>3065.86</v>
      </c>
    </row>
    <row r="764" spans="1:23" ht="15" customHeight="1" x14ac:dyDescent="0.25">
      <c r="A764" s="148">
        <v>10379</v>
      </c>
      <c r="B764" s="148" t="s">
        <v>1394</v>
      </c>
      <c r="C764" s="143" t="s">
        <v>2504</v>
      </c>
      <c r="D764" s="143" t="s">
        <v>2504</v>
      </c>
      <c r="E764" s="143" t="s">
        <v>2504</v>
      </c>
      <c r="F764" s="143" t="s">
        <v>2504</v>
      </c>
      <c r="G764" s="143" t="s">
        <v>2504</v>
      </c>
      <c r="H764" s="143" t="s">
        <v>2504</v>
      </c>
      <c r="I764" s="143" t="s">
        <v>2504</v>
      </c>
      <c r="J764" s="143" t="s">
        <v>1394</v>
      </c>
      <c r="K764" s="143" t="s">
        <v>2504</v>
      </c>
      <c r="L764" s="143" t="s">
        <v>2504</v>
      </c>
      <c r="M764" s="143" t="s">
        <v>2504</v>
      </c>
      <c r="N764" s="143" t="s">
        <v>2504</v>
      </c>
      <c r="O764" s="143" t="s">
        <v>2504</v>
      </c>
      <c r="P764" s="143" t="s">
        <v>2504</v>
      </c>
      <c r="Q764" s="148" t="s">
        <v>1395</v>
      </c>
      <c r="R764" s="148" t="s">
        <v>1025</v>
      </c>
      <c r="S764" s="148" t="s">
        <v>1171</v>
      </c>
      <c r="T764" s="149">
        <v>19</v>
      </c>
      <c r="U764" s="148" t="s">
        <v>591</v>
      </c>
      <c r="V764" s="150">
        <v>2204.4499999999998</v>
      </c>
      <c r="W764" s="151">
        <v>32126.68</v>
      </c>
    </row>
    <row r="765" spans="1:23" ht="15" customHeight="1" x14ac:dyDescent="0.25">
      <c r="A765" s="148">
        <v>10380</v>
      </c>
      <c r="B765" s="148" t="s">
        <v>1396</v>
      </c>
      <c r="C765" s="143" t="s">
        <v>2504</v>
      </c>
      <c r="D765" s="143" t="s">
        <v>2504</v>
      </c>
      <c r="E765" s="143" t="s">
        <v>2504</v>
      </c>
      <c r="F765" s="143" t="s">
        <v>2504</v>
      </c>
      <c r="G765" s="143" t="s">
        <v>2504</v>
      </c>
      <c r="H765" s="143" t="s">
        <v>2504</v>
      </c>
      <c r="I765" s="143" t="s">
        <v>2504</v>
      </c>
      <c r="J765" s="143" t="s">
        <v>1396</v>
      </c>
      <c r="K765" s="143" t="s">
        <v>2504</v>
      </c>
      <c r="L765" s="143" t="s">
        <v>2504</v>
      </c>
      <c r="M765" s="143" t="s">
        <v>2504</v>
      </c>
      <c r="N765" s="143" t="s">
        <v>2504</v>
      </c>
      <c r="O765" s="143" t="s">
        <v>2504</v>
      </c>
      <c r="P765" s="143" t="s">
        <v>2504</v>
      </c>
      <c r="Q765" s="148" t="s">
        <v>1397</v>
      </c>
      <c r="R765" s="148" t="s">
        <v>1025</v>
      </c>
      <c r="S765" s="148" t="s">
        <v>1171</v>
      </c>
      <c r="T765" s="149">
        <v>19</v>
      </c>
      <c r="U765" s="148" t="s">
        <v>591</v>
      </c>
      <c r="V765" s="150">
        <v>2334.14</v>
      </c>
      <c r="W765" s="151">
        <f>V765*15</f>
        <v>35012.1</v>
      </c>
    </row>
    <row r="766" spans="1:23" ht="15" customHeight="1" x14ac:dyDescent="0.25">
      <c r="A766" s="148">
        <v>10678</v>
      </c>
      <c r="B766" s="148" t="s">
        <v>1697</v>
      </c>
      <c r="C766" s="143" t="s">
        <v>2504</v>
      </c>
      <c r="D766" s="143" t="s">
        <v>2504</v>
      </c>
      <c r="E766" s="143" t="s">
        <v>2504</v>
      </c>
      <c r="F766" s="143" t="s">
        <v>2504</v>
      </c>
      <c r="G766" s="143" t="s">
        <v>2504</v>
      </c>
      <c r="H766" s="143" t="s">
        <v>2504</v>
      </c>
      <c r="I766" s="143" t="s">
        <v>2504</v>
      </c>
      <c r="J766" s="143" t="s">
        <v>1697</v>
      </c>
      <c r="K766" s="143" t="s">
        <v>2504</v>
      </c>
      <c r="L766" s="143" t="s">
        <v>2504</v>
      </c>
      <c r="M766" s="143" t="s">
        <v>2504</v>
      </c>
      <c r="N766" s="143" t="s">
        <v>2504</v>
      </c>
      <c r="O766" s="143" t="s">
        <v>2504</v>
      </c>
      <c r="P766" s="143" t="s">
        <v>2504</v>
      </c>
      <c r="Q766" s="148" t="s">
        <v>1698</v>
      </c>
      <c r="R766" s="148" t="s">
        <v>1025</v>
      </c>
      <c r="S766" s="148" t="s">
        <v>1171</v>
      </c>
      <c r="T766" s="149">
        <v>200</v>
      </c>
      <c r="U766" s="148" t="s">
        <v>591</v>
      </c>
      <c r="V766" s="150">
        <v>21683.83</v>
      </c>
      <c r="W766" s="151">
        <v>2936.23</v>
      </c>
    </row>
    <row r="767" spans="1:23" ht="15" customHeight="1" x14ac:dyDescent="0.25">
      <c r="A767" s="148">
        <v>10679</v>
      </c>
      <c r="B767" s="148" t="s">
        <v>1699</v>
      </c>
      <c r="C767" s="143" t="s">
        <v>2504</v>
      </c>
      <c r="D767" s="143" t="s">
        <v>2504</v>
      </c>
      <c r="E767" s="143" t="s">
        <v>2504</v>
      </c>
      <c r="F767" s="143" t="s">
        <v>2504</v>
      </c>
      <c r="G767" s="143" t="s">
        <v>2504</v>
      </c>
      <c r="H767" s="143" t="s">
        <v>2504</v>
      </c>
      <c r="I767" s="143" t="s">
        <v>2504</v>
      </c>
      <c r="J767" s="143" t="s">
        <v>1699</v>
      </c>
      <c r="K767" s="143" t="s">
        <v>2504</v>
      </c>
      <c r="L767" s="143" t="s">
        <v>2504</v>
      </c>
      <c r="M767" s="143" t="s">
        <v>2504</v>
      </c>
      <c r="N767" s="143" t="s">
        <v>2504</v>
      </c>
      <c r="O767" s="143" t="s">
        <v>2504</v>
      </c>
      <c r="P767" s="143" t="s">
        <v>2504</v>
      </c>
      <c r="Q767" s="148" t="s">
        <v>1700</v>
      </c>
      <c r="R767" s="148" t="s">
        <v>1025</v>
      </c>
      <c r="S767" s="148" t="s">
        <v>1171</v>
      </c>
      <c r="T767" s="149">
        <v>200</v>
      </c>
      <c r="U767" s="148" t="s">
        <v>591</v>
      </c>
      <c r="V767" s="150">
        <v>23115.71</v>
      </c>
      <c r="W767" s="151">
        <v>30295.17</v>
      </c>
    </row>
    <row r="768" spans="1:23" ht="15" customHeight="1" x14ac:dyDescent="0.25">
      <c r="A768" s="148">
        <v>10438</v>
      </c>
      <c r="B768" s="148" t="s">
        <v>1525</v>
      </c>
      <c r="C768" s="143" t="s">
        <v>2504</v>
      </c>
      <c r="D768" s="143" t="s">
        <v>2504</v>
      </c>
      <c r="E768" s="143" t="s">
        <v>2504</v>
      </c>
      <c r="F768" s="143" t="s">
        <v>2504</v>
      </c>
      <c r="G768" s="143" t="s">
        <v>2504</v>
      </c>
      <c r="H768" s="143" t="s">
        <v>2504</v>
      </c>
      <c r="I768" s="143" t="s">
        <v>2504</v>
      </c>
      <c r="J768" s="143" t="s">
        <v>2504</v>
      </c>
      <c r="K768" s="143" t="s">
        <v>1525</v>
      </c>
      <c r="L768" s="143" t="s">
        <v>2504</v>
      </c>
      <c r="M768" s="143" t="s">
        <v>2504</v>
      </c>
      <c r="N768" s="143" t="s">
        <v>2504</v>
      </c>
      <c r="O768" s="143" t="s">
        <v>2504</v>
      </c>
      <c r="P768" s="143" t="s">
        <v>2504</v>
      </c>
      <c r="Q768" s="148" t="s">
        <v>1526</v>
      </c>
      <c r="R768" s="148" t="s">
        <v>1025</v>
      </c>
      <c r="S768" s="148" t="s">
        <v>1527</v>
      </c>
      <c r="T768" s="149">
        <v>19</v>
      </c>
      <c r="U768" s="148" t="s">
        <v>591</v>
      </c>
      <c r="V768" s="150">
        <v>1822.07</v>
      </c>
      <c r="W768" s="151">
        <f>V768*15</f>
        <v>27331.05</v>
      </c>
    </row>
    <row r="769" spans="1:23" ht="15" customHeight="1" x14ac:dyDescent="0.25">
      <c r="A769" s="148">
        <v>10738</v>
      </c>
      <c r="B769" s="148" t="s">
        <v>1811</v>
      </c>
      <c r="C769" s="143" t="s">
        <v>2504</v>
      </c>
      <c r="D769" s="143" t="s">
        <v>2504</v>
      </c>
      <c r="E769" s="143" t="s">
        <v>2504</v>
      </c>
      <c r="F769" s="143" t="s">
        <v>2504</v>
      </c>
      <c r="G769" s="143" t="s">
        <v>2504</v>
      </c>
      <c r="H769" s="143" t="s">
        <v>2504</v>
      </c>
      <c r="I769" s="143" t="s">
        <v>2504</v>
      </c>
      <c r="J769" s="143" t="s">
        <v>2504</v>
      </c>
      <c r="K769" s="143" t="s">
        <v>1811</v>
      </c>
      <c r="L769" s="143" t="s">
        <v>2504</v>
      </c>
      <c r="M769" s="143" t="s">
        <v>2504</v>
      </c>
      <c r="N769" s="143" t="s">
        <v>2504</v>
      </c>
      <c r="O769" s="143" t="s">
        <v>2504</v>
      </c>
      <c r="P769" s="143" t="s">
        <v>2504</v>
      </c>
      <c r="Q769" s="148" t="s">
        <v>1812</v>
      </c>
      <c r="R769" s="148" t="s">
        <v>1025</v>
      </c>
      <c r="S769" s="148" t="s">
        <v>1527</v>
      </c>
      <c r="T769" s="149">
        <v>200</v>
      </c>
      <c r="U769" s="148" t="s">
        <v>935</v>
      </c>
      <c r="V769" s="150">
        <v>19069.61</v>
      </c>
      <c r="W769" s="151">
        <f>V769*4</f>
        <v>76278.44</v>
      </c>
    </row>
    <row r="770" spans="1:23" ht="15" customHeight="1" x14ac:dyDescent="0.25">
      <c r="A770" s="148">
        <v>10316</v>
      </c>
      <c r="B770" s="148" t="s">
        <v>1267</v>
      </c>
      <c r="C770" s="143" t="s">
        <v>2504</v>
      </c>
      <c r="D770" s="143" t="s">
        <v>2504</v>
      </c>
      <c r="E770" s="143" t="s">
        <v>2504</v>
      </c>
      <c r="F770" s="143" t="s">
        <v>2504</v>
      </c>
      <c r="G770" s="143" t="s">
        <v>2504</v>
      </c>
      <c r="H770" s="143" t="s">
        <v>2504</v>
      </c>
      <c r="I770" s="143" t="s">
        <v>2504</v>
      </c>
      <c r="J770" s="143" t="s">
        <v>2504</v>
      </c>
      <c r="K770" s="143" t="s">
        <v>1267</v>
      </c>
      <c r="L770" s="143" t="s">
        <v>2504</v>
      </c>
      <c r="M770" s="143" t="s">
        <v>2504</v>
      </c>
      <c r="N770" s="143" t="s">
        <v>2504</v>
      </c>
      <c r="O770" s="143" t="s">
        <v>2504</v>
      </c>
      <c r="P770" s="143" t="s">
        <v>2504</v>
      </c>
      <c r="Q770" s="148" t="s">
        <v>1268</v>
      </c>
      <c r="R770" s="148" t="s">
        <v>1025</v>
      </c>
      <c r="S770" s="148" t="s">
        <v>1134</v>
      </c>
      <c r="T770" s="149">
        <v>19</v>
      </c>
      <c r="U770" s="148" t="s">
        <v>591</v>
      </c>
      <c r="V770" s="150">
        <v>2579.52</v>
      </c>
      <c r="W770" s="151">
        <v>2391.6</v>
      </c>
    </row>
    <row r="771" spans="1:23" ht="15" customHeight="1" x14ac:dyDescent="0.25">
      <c r="A771" s="148">
        <v>10317</v>
      </c>
      <c r="B771" s="148" t="s">
        <v>1269</v>
      </c>
      <c r="C771" s="143" t="s">
        <v>2504</v>
      </c>
      <c r="D771" s="143" t="s">
        <v>2504</v>
      </c>
      <c r="E771" s="143" t="s">
        <v>2504</v>
      </c>
      <c r="F771" s="143" t="s">
        <v>2504</v>
      </c>
      <c r="G771" s="143" t="s">
        <v>2504</v>
      </c>
      <c r="H771" s="143" t="s">
        <v>2504</v>
      </c>
      <c r="I771" s="143" t="s">
        <v>2504</v>
      </c>
      <c r="J771" s="143" t="s">
        <v>2504</v>
      </c>
      <c r="K771" s="143" t="s">
        <v>1269</v>
      </c>
      <c r="L771" s="143" t="s">
        <v>2504</v>
      </c>
      <c r="M771" s="143" t="s">
        <v>2504</v>
      </c>
      <c r="N771" s="143" t="s">
        <v>2504</v>
      </c>
      <c r="O771" s="143" t="s">
        <v>2504</v>
      </c>
      <c r="P771" s="143" t="s">
        <v>2504</v>
      </c>
      <c r="Q771" s="148" t="s">
        <v>1270</v>
      </c>
      <c r="R771" s="148" t="s">
        <v>1025</v>
      </c>
      <c r="S771" s="148" t="s">
        <v>1134</v>
      </c>
      <c r="T771" s="149">
        <v>19</v>
      </c>
      <c r="U771" s="148" t="s">
        <v>591</v>
      </c>
      <c r="V771" s="150">
        <v>2803.94</v>
      </c>
      <c r="W771" s="151">
        <v>25250.05</v>
      </c>
    </row>
    <row r="772" spans="1:23" ht="15" customHeight="1" x14ac:dyDescent="0.25">
      <c r="A772" s="148">
        <v>10615</v>
      </c>
      <c r="B772" s="148" t="s">
        <v>1589</v>
      </c>
      <c r="C772" s="143" t="s">
        <v>2504</v>
      </c>
      <c r="D772" s="143" t="s">
        <v>2504</v>
      </c>
      <c r="E772" s="143" t="s">
        <v>2504</v>
      </c>
      <c r="F772" s="143" t="s">
        <v>2504</v>
      </c>
      <c r="G772" s="143" t="s">
        <v>2504</v>
      </c>
      <c r="H772" s="143" t="s">
        <v>2504</v>
      </c>
      <c r="I772" s="143" t="s">
        <v>2504</v>
      </c>
      <c r="J772" s="143" t="s">
        <v>2504</v>
      </c>
      <c r="K772" s="143" t="s">
        <v>1589</v>
      </c>
      <c r="L772" s="143" t="s">
        <v>2504</v>
      </c>
      <c r="M772" s="143" t="s">
        <v>2504</v>
      </c>
      <c r="N772" s="143" t="s">
        <v>2504</v>
      </c>
      <c r="O772" s="143" t="s">
        <v>2504</v>
      </c>
      <c r="P772" s="143" t="s">
        <v>2504</v>
      </c>
      <c r="Q772" s="148" t="s">
        <v>1590</v>
      </c>
      <c r="R772" s="148" t="s">
        <v>1025</v>
      </c>
      <c r="S772" s="148" t="s">
        <v>1134</v>
      </c>
      <c r="T772" s="149">
        <v>200</v>
      </c>
      <c r="U772" s="148" t="s">
        <v>591</v>
      </c>
      <c r="V772" s="150">
        <v>24400.54</v>
      </c>
      <c r="W772" s="151">
        <f>V772*15</f>
        <v>366008.10000000003</v>
      </c>
    </row>
    <row r="773" spans="1:23" ht="15" customHeight="1" x14ac:dyDescent="0.25">
      <c r="A773" s="148">
        <v>10616</v>
      </c>
      <c r="B773" s="148" t="s">
        <v>1591</v>
      </c>
      <c r="C773" s="143" t="s">
        <v>2504</v>
      </c>
      <c r="D773" s="143" t="s">
        <v>2504</v>
      </c>
      <c r="E773" s="143" t="s">
        <v>2504</v>
      </c>
      <c r="F773" s="143" t="s">
        <v>2504</v>
      </c>
      <c r="G773" s="143" t="s">
        <v>2504</v>
      </c>
      <c r="H773" s="143" t="s">
        <v>2504</v>
      </c>
      <c r="I773" s="143" t="s">
        <v>2504</v>
      </c>
      <c r="J773" s="143" t="s">
        <v>2504</v>
      </c>
      <c r="K773" s="143" t="s">
        <v>1591</v>
      </c>
      <c r="L773" s="143" t="s">
        <v>2504</v>
      </c>
      <c r="M773" s="143" t="s">
        <v>2504</v>
      </c>
      <c r="N773" s="143" t="s">
        <v>2504</v>
      </c>
      <c r="O773" s="143" t="s">
        <v>2504</v>
      </c>
      <c r="P773" s="143" t="s">
        <v>2504</v>
      </c>
      <c r="Q773" s="148" t="s">
        <v>1592</v>
      </c>
      <c r="R773" s="148" t="s">
        <v>1025</v>
      </c>
      <c r="S773" s="148" t="s">
        <v>1134</v>
      </c>
      <c r="T773" s="149">
        <v>200</v>
      </c>
      <c r="U773" s="148" t="s">
        <v>591</v>
      </c>
      <c r="V773" s="150">
        <v>27063.74</v>
      </c>
      <c r="W773" s="151">
        <f>V773*4</f>
        <v>108254.96</v>
      </c>
    </row>
    <row r="774" spans="1:23" ht="15" customHeight="1" x14ac:dyDescent="0.25">
      <c r="A774" s="148">
        <v>10617</v>
      </c>
      <c r="B774" s="148" t="s">
        <v>1593</v>
      </c>
      <c r="C774" s="143" t="s">
        <v>2504</v>
      </c>
      <c r="D774" s="143" t="s">
        <v>2504</v>
      </c>
      <c r="E774" s="143" t="s">
        <v>2504</v>
      </c>
      <c r="F774" s="143" t="s">
        <v>2504</v>
      </c>
      <c r="G774" s="143" t="s">
        <v>2504</v>
      </c>
      <c r="H774" s="143" t="s">
        <v>2504</v>
      </c>
      <c r="I774" s="143" t="s">
        <v>2504</v>
      </c>
      <c r="J774" s="143" t="s">
        <v>2504</v>
      </c>
      <c r="K774" s="143" t="s">
        <v>1593</v>
      </c>
      <c r="L774" s="143" t="s">
        <v>2504</v>
      </c>
      <c r="M774" s="143" t="s">
        <v>2504</v>
      </c>
      <c r="N774" s="143" t="s">
        <v>2504</v>
      </c>
      <c r="O774" s="143" t="s">
        <v>2504</v>
      </c>
      <c r="P774" s="143" t="s">
        <v>2504</v>
      </c>
      <c r="Q774" s="148" t="s">
        <v>1594</v>
      </c>
      <c r="R774" s="148" t="s">
        <v>1025</v>
      </c>
      <c r="S774" s="148" t="s">
        <v>1134</v>
      </c>
      <c r="T774" s="149">
        <v>200</v>
      </c>
      <c r="U774" s="148" t="s">
        <v>591</v>
      </c>
      <c r="V774" s="150">
        <v>29426.14</v>
      </c>
      <c r="W774" s="151">
        <f>V774*15</f>
        <v>441392.1</v>
      </c>
    </row>
    <row r="775" spans="1:23" ht="15" customHeight="1" x14ac:dyDescent="0.25">
      <c r="A775" s="148">
        <v>10322</v>
      </c>
      <c r="B775" s="148" t="s">
        <v>1279</v>
      </c>
      <c r="C775" s="143" t="s">
        <v>2504</v>
      </c>
      <c r="D775" s="143" t="s">
        <v>2504</v>
      </c>
      <c r="E775" s="143" t="s">
        <v>2504</v>
      </c>
      <c r="F775" s="143" t="s">
        <v>2504</v>
      </c>
      <c r="G775" s="143" t="s">
        <v>2504</v>
      </c>
      <c r="H775" s="143" t="s">
        <v>2504</v>
      </c>
      <c r="I775" s="143" t="s">
        <v>2504</v>
      </c>
      <c r="J775" s="143" t="s">
        <v>2504</v>
      </c>
      <c r="K775" s="143" t="s">
        <v>1279</v>
      </c>
      <c r="L775" s="143" t="s">
        <v>2504</v>
      </c>
      <c r="M775" s="143" t="s">
        <v>2504</v>
      </c>
      <c r="N775" s="143" t="s">
        <v>2504</v>
      </c>
      <c r="O775" s="143" t="s">
        <v>2504</v>
      </c>
      <c r="P775" s="143" t="s">
        <v>2504</v>
      </c>
      <c r="Q775" s="148" t="s">
        <v>1280</v>
      </c>
      <c r="R775" s="148" t="s">
        <v>1025</v>
      </c>
      <c r="S775" s="148" t="s">
        <v>1142</v>
      </c>
      <c r="T775" s="149">
        <v>19</v>
      </c>
      <c r="U775" s="148" t="s">
        <v>591</v>
      </c>
      <c r="V775" s="150">
        <v>3490.84</v>
      </c>
      <c r="W775" s="151">
        <f>V775*4</f>
        <v>13963.36</v>
      </c>
    </row>
    <row r="776" spans="1:23" ht="15" customHeight="1" x14ac:dyDescent="0.25">
      <c r="A776" s="148">
        <v>10323</v>
      </c>
      <c r="B776" s="148" t="s">
        <v>1281</v>
      </c>
      <c r="C776" s="143" t="s">
        <v>2504</v>
      </c>
      <c r="D776" s="143" t="s">
        <v>2504</v>
      </c>
      <c r="E776" s="143" t="s">
        <v>2504</v>
      </c>
      <c r="F776" s="143" t="s">
        <v>2504</v>
      </c>
      <c r="G776" s="143" t="s">
        <v>2504</v>
      </c>
      <c r="H776" s="143" t="s">
        <v>2504</v>
      </c>
      <c r="I776" s="143" t="s">
        <v>2504</v>
      </c>
      <c r="J776" s="143" t="s">
        <v>2504</v>
      </c>
      <c r="K776" s="143" t="s">
        <v>1281</v>
      </c>
      <c r="L776" s="143" t="s">
        <v>2504</v>
      </c>
      <c r="M776" s="143" t="s">
        <v>2504</v>
      </c>
      <c r="N776" s="143" t="s">
        <v>2504</v>
      </c>
      <c r="O776" s="143" t="s">
        <v>2504</v>
      </c>
      <c r="P776" s="143" t="s">
        <v>2504</v>
      </c>
      <c r="Q776" s="148" t="s">
        <v>1282</v>
      </c>
      <c r="R776" s="148" t="s">
        <v>1025</v>
      </c>
      <c r="S776" s="148" t="s">
        <v>1142</v>
      </c>
      <c r="T776" s="149">
        <v>19</v>
      </c>
      <c r="U776" s="148" t="s">
        <v>591</v>
      </c>
      <c r="V776" s="150">
        <v>3577.99</v>
      </c>
      <c r="W776" s="151">
        <v>21669.37</v>
      </c>
    </row>
    <row r="777" spans="1:23" ht="15" customHeight="1" x14ac:dyDescent="0.25">
      <c r="A777" s="148">
        <v>10324</v>
      </c>
      <c r="B777" s="148" t="s">
        <v>1283</v>
      </c>
      <c r="C777" s="143" t="s">
        <v>2504</v>
      </c>
      <c r="D777" s="143" t="s">
        <v>2504</v>
      </c>
      <c r="E777" s="143" t="s">
        <v>2504</v>
      </c>
      <c r="F777" s="143" t="s">
        <v>2504</v>
      </c>
      <c r="G777" s="143" t="s">
        <v>2504</v>
      </c>
      <c r="H777" s="143" t="s">
        <v>2504</v>
      </c>
      <c r="I777" s="143" t="s">
        <v>2504</v>
      </c>
      <c r="J777" s="143" t="s">
        <v>2504</v>
      </c>
      <c r="K777" s="143" t="s">
        <v>1283</v>
      </c>
      <c r="L777" s="143" t="s">
        <v>2504</v>
      </c>
      <c r="M777" s="143" t="s">
        <v>2504</v>
      </c>
      <c r="N777" s="143" t="s">
        <v>2504</v>
      </c>
      <c r="O777" s="143" t="s">
        <v>2504</v>
      </c>
      <c r="P777" s="143" t="s">
        <v>2504</v>
      </c>
      <c r="Q777" s="148" t="s">
        <v>1284</v>
      </c>
      <c r="R777" s="148" t="s">
        <v>1025</v>
      </c>
      <c r="S777" s="148" t="s">
        <v>1142</v>
      </c>
      <c r="T777" s="149">
        <v>19</v>
      </c>
      <c r="U777" s="148" t="s">
        <v>591</v>
      </c>
      <c r="V777" s="150">
        <v>3900.27</v>
      </c>
      <c r="W777" s="151">
        <f>V777*15</f>
        <v>58504.05</v>
      </c>
    </row>
    <row r="778" spans="1:23" ht="15" customHeight="1" x14ac:dyDescent="0.25">
      <c r="A778" s="148">
        <v>10622</v>
      </c>
      <c r="B778" s="148" t="s">
        <v>1603</v>
      </c>
      <c r="C778" s="143" t="s">
        <v>2504</v>
      </c>
      <c r="D778" s="143" t="s">
        <v>2504</v>
      </c>
      <c r="E778" s="143" t="s">
        <v>2504</v>
      </c>
      <c r="F778" s="143" t="s">
        <v>2504</v>
      </c>
      <c r="G778" s="143" t="s">
        <v>2504</v>
      </c>
      <c r="H778" s="143" t="s">
        <v>2504</v>
      </c>
      <c r="I778" s="143" t="s">
        <v>2504</v>
      </c>
      <c r="J778" s="143" t="s">
        <v>2504</v>
      </c>
      <c r="K778" s="143" t="s">
        <v>1603</v>
      </c>
      <c r="L778" s="143" t="s">
        <v>2504</v>
      </c>
      <c r="M778" s="143" t="s">
        <v>2504</v>
      </c>
      <c r="N778" s="143" t="s">
        <v>2504</v>
      </c>
      <c r="O778" s="143" t="s">
        <v>2504</v>
      </c>
      <c r="P778" s="143" t="s">
        <v>2504</v>
      </c>
      <c r="Q778" s="148" t="s">
        <v>1604</v>
      </c>
      <c r="R778" s="148" t="s">
        <v>1025</v>
      </c>
      <c r="S778" s="148" t="s">
        <v>1142</v>
      </c>
      <c r="T778" s="149">
        <v>200</v>
      </c>
      <c r="U778" s="148" t="s">
        <v>591</v>
      </c>
      <c r="V778" s="150">
        <v>36656.58</v>
      </c>
      <c r="W778" s="151">
        <f>V778*4</f>
        <v>146626.32</v>
      </c>
    </row>
    <row r="779" spans="1:23" ht="15" customHeight="1" x14ac:dyDescent="0.25">
      <c r="A779" s="148">
        <v>10623</v>
      </c>
      <c r="B779" s="148" t="s">
        <v>1605</v>
      </c>
      <c r="C779" s="143" t="s">
        <v>2504</v>
      </c>
      <c r="D779" s="143" t="s">
        <v>2504</v>
      </c>
      <c r="E779" s="143" t="s">
        <v>2504</v>
      </c>
      <c r="F779" s="143" t="s">
        <v>2504</v>
      </c>
      <c r="G779" s="143" t="s">
        <v>2504</v>
      </c>
      <c r="H779" s="143" t="s">
        <v>2504</v>
      </c>
      <c r="I779" s="143" t="s">
        <v>2504</v>
      </c>
      <c r="J779" s="143" t="s">
        <v>2504</v>
      </c>
      <c r="K779" s="143" t="s">
        <v>1605</v>
      </c>
      <c r="L779" s="143" t="s">
        <v>2504</v>
      </c>
      <c r="M779" s="143" t="s">
        <v>2504</v>
      </c>
      <c r="N779" s="143" t="s">
        <v>2504</v>
      </c>
      <c r="O779" s="143" t="s">
        <v>2504</v>
      </c>
      <c r="P779" s="143" t="s">
        <v>2504</v>
      </c>
      <c r="Q779" s="148" t="s">
        <v>1606</v>
      </c>
      <c r="R779" s="148" t="s">
        <v>1025</v>
      </c>
      <c r="S779" s="148" t="s">
        <v>1142</v>
      </c>
      <c r="T779" s="149">
        <v>200</v>
      </c>
      <c r="U779" s="148" t="s">
        <v>591</v>
      </c>
      <c r="V779" s="150">
        <v>37574.019999999997</v>
      </c>
      <c r="W779" s="151">
        <v>1985.51</v>
      </c>
    </row>
    <row r="780" spans="1:23" ht="15" customHeight="1" x14ac:dyDescent="0.25">
      <c r="A780" s="148">
        <v>10624</v>
      </c>
      <c r="B780" s="148" t="s">
        <v>1607</v>
      </c>
      <c r="C780" s="143" t="s">
        <v>2504</v>
      </c>
      <c r="D780" s="143" t="s">
        <v>2504</v>
      </c>
      <c r="E780" s="143" t="s">
        <v>2504</v>
      </c>
      <c r="F780" s="143" t="s">
        <v>2504</v>
      </c>
      <c r="G780" s="143" t="s">
        <v>2504</v>
      </c>
      <c r="H780" s="143" t="s">
        <v>2504</v>
      </c>
      <c r="I780" s="143" t="s">
        <v>2504</v>
      </c>
      <c r="J780" s="143" t="s">
        <v>2504</v>
      </c>
      <c r="K780" s="143" t="s">
        <v>1607</v>
      </c>
      <c r="L780" s="143" t="s">
        <v>2504</v>
      </c>
      <c r="M780" s="143" t="s">
        <v>2504</v>
      </c>
      <c r="N780" s="143" t="s">
        <v>2504</v>
      </c>
      <c r="O780" s="143" t="s">
        <v>2504</v>
      </c>
      <c r="P780" s="143" t="s">
        <v>2504</v>
      </c>
      <c r="Q780" s="148" t="s">
        <v>1608</v>
      </c>
      <c r="R780" s="148" t="s">
        <v>1025</v>
      </c>
      <c r="S780" s="148" t="s">
        <v>1142</v>
      </c>
      <c r="T780" s="149">
        <v>200</v>
      </c>
      <c r="U780" s="148" t="s">
        <v>591</v>
      </c>
      <c r="V780" s="150">
        <v>40966.21</v>
      </c>
      <c r="W780" s="151">
        <f>V780*4</f>
        <v>163864.84</v>
      </c>
    </row>
    <row r="781" spans="1:23" ht="15" customHeight="1" x14ac:dyDescent="0.25">
      <c r="A781" s="148">
        <v>10325</v>
      </c>
      <c r="B781" s="148" t="s">
        <v>1285</v>
      </c>
      <c r="C781" s="143" t="s">
        <v>2504</v>
      </c>
      <c r="D781" s="143" t="s">
        <v>2504</v>
      </c>
      <c r="E781" s="143" t="s">
        <v>2504</v>
      </c>
      <c r="F781" s="143" t="s">
        <v>2504</v>
      </c>
      <c r="G781" s="143" t="s">
        <v>2504</v>
      </c>
      <c r="H781" s="143" t="s">
        <v>2504</v>
      </c>
      <c r="I781" s="143" t="s">
        <v>2504</v>
      </c>
      <c r="J781" s="143" t="s">
        <v>2504</v>
      </c>
      <c r="K781" s="143" t="s">
        <v>1285</v>
      </c>
      <c r="L781" s="143" t="s">
        <v>2504</v>
      </c>
      <c r="M781" s="143" t="s">
        <v>2504</v>
      </c>
      <c r="N781" s="143" t="s">
        <v>2504</v>
      </c>
      <c r="O781" s="143" t="s">
        <v>2504</v>
      </c>
      <c r="P781" s="143" t="s">
        <v>2504</v>
      </c>
      <c r="Q781" s="148" t="s">
        <v>1286</v>
      </c>
      <c r="R781" s="148" t="s">
        <v>1025</v>
      </c>
      <c r="S781" s="148" t="s">
        <v>1287</v>
      </c>
      <c r="T781" s="149">
        <v>19</v>
      </c>
      <c r="U781" s="148" t="s">
        <v>591</v>
      </c>
      <c r="V781" s="150">
        <v>3453.49</v>
      </c>
      <c r="W781" s="151">
        <v>2415.38</v>
      </c>
    </row>
    <row r="782" spans="1:23" ht="15" customHeight="1" x14ac:dyDescent="0.25">
      <c r="A782" s="148">
        <v>10625</v>
      </c>
      <c r="B782" s="148" t="s">
        <v>1609</v>
      </c>
      <c r="C782" s="143" t="s">
        <v>2504</v>
      </c>
      <c r="D782" s="143" t="s">
        <v>2504</v>
      </c>
      <c r="E782" s="143" t="s">
        <v>2504</v>
      </c>
      <c r="F782" s="143" t="s">
        <v>2504</v>
      </c>
      <c r="G782" s="143" t="s">
        <v>2504</v>
      </c>
      <c r="H782" s="143" t="s">
        <v>2504</v>
      </c>
      <c r="I782" s="143" t="s">
        <v>2504</v>
      </c>
      <c r="J782" s="143" t="s">
        <v>2504</v>
      </c>
      <c r="K782" s="143" t="s">
        <v>1609</v>
      </c>
      <c r="L782" s="143" t="s">
        <v>2504</v>
      </c>
      <c r="M782" s="143" t="s">
        <v>2504</v>
      </c>
      <c r="N782" s="143" t="s">
        <v>2504</v>
      </c>
      <c r="O782" s="143" t="s">
        <v>2504</v>
      </c>
      <c r="P782" s="143" t="s">
        <v>2504</v>
      </c>
      <c r="Q782" s="148" t="s">
        <v>1610</v>
      </c>
      <c r="R782" s="148" t="s">
        <v>1025</v>
      </c>
      <c r="S782" s="148" t="s">
        <v>1287</v>
      </c>
      <c r="T782" s="149">
        <v>200</v>
      </c>
      <c r="U782" s="148" t="s">
        <v>591</v>
      </c>
      <c r="V782" s="150">
        <v>36266.31</v>
      </c>
      <c r="W782" s="151">
        <v>25496.400000000001</v>
      </c>
    </row>
    <row r="783" spans="1:23" ht="15" customHeight="1" x14ac:dyDescent="0.25">
      <c r="A783" s="148">
        <v>10433</v>
      </c>
      <c r="B783" s="148" t="s">
        <v>1514</v>
      </c>
      <c r="C783" s="143" t="s">
        <v>2504</v>
      </c>
      <c r="D783" s="143" t="s">
        <v>2504</v>
      </c>
      <c r="E783" s="143" t="s">
        <v>2504</v>
      </c>
      <c r="F783" s="143" t="s">
        <v>2504</v>
      </c>
      <c r="G783" s="143" t="s">
        <v>2504</v>
      </c>
      <c r="H783" s="143" t="s">
        <v>2504</v>
      </c>
      <c r="I783" s="143" t="s">
        <v>2504</v>
      </c>
      <c r="J783" s="143" t="s">
        <v>2504</v>
      </c>
      <c r="K783" s="143" t="s">
        <v>1514</v>
      </c>
      <c r="L783" s="143" t="s">
        <v>2504</v>
      </c>
      <c r="M783" s="143" t="s">
        <v>2504</v>
      </c>
      <c r="N783" s="143" t="s">
        <v>2504</v>
      </c>
      <c r="O783" s="143" t="s">
        <v>2504</v>
      </c>
      <c r="P783" s="143" t="s">
        <v>2504</v>
      </c>
      <c r="Q783" s="148" t="s">
        <v>1515</v>
      </c>
      <c r="R783" s="148" t="s">
        <v>1025</v>
      </c>
      <c r="S783" s="148" t="s">
        <v>1516</v>
      </c>
      <c r="T783" s="149">
        <v>19</v>
      </c>
      <c r="U783" s="148" t="s">
        <v>591</v>
      </c>
      <c r="V783" s="150">
        <v>2579.59</v>
      </c>
      <c r="W783" s="151">
        <f>V783*16</f>
        <v>41273.440000000002</v>
      </c>
    </row>
    <row r="784" spans="1:23" ht="15" customHeight="1" x14ac:dyDescent="0.25">
      <c r="A784" s="148">
        <v>10733</v>
      </c>
      <c r="B784" s="148" t="s">
        <v>1801</v>
      </c>
      <c r="C784" s="143" t="s">
        <v>2504</v>
      </c>
      <c r="D784" s="143" t="s">
        <v>2504</v>
      </c>
      <c r="E784" s="143" t="s">
        <v>2504</v>
      </c>
      <c r="F784" s="143" t="s">
        <v>2504</v>
      </c>
      <c r="G784" s="143" t="s">
        <v>2504</v>
      </c>
      <c r="H784" s="143" t="s">
        <v>2504</v>
      </c>
      <c r="I784" s="143" t="s">
        <v>2504</v>
      </c>
      <c r="J784" s="143" t="s">
        <v>2504</v>
      </c>
      <c r="K784" s="143" t="s">
        <v>1801</v>
      </c>
      <c r="L784" s="143" t="s">
        <v>2504</v>
      </c>
      <c r="M784" s="143" t="s">
        <v>2504</v>
      </c>
      <c r="N784" s="143" t="s">
        <v>2504</v>
      </c>
      <c r="O784" s="143" t="s">
        <v>2504</v>
      </c>
      <c r="P784" s="143" t="s">
        <v>2504</v>
      </c>
      <c r="Q784" s="148" t="s">
        <v>1802</v>
      </c>
      <c r="R784" s="148" t="s">
        <v>1025</v>
      </c>
      <c r="S784" s="148" t="s">
        <v>1516</v>
      </c>
      <c r="T784" s="149">
        <v>200</v>
      </c>
      <c r="U784" s="148" t="s">
        <v>591</v>
      </c>
      <c r="V784" s="150">
        <v>20094.66</v>
      </c>
      <c r="W784" s="151">
        <f>V784*16</f>
        <v>321514.56</v>
      </c>
    </row>
    <row r="785" spans="1:23" ht="15" customHeight="1" x14ac:dyDescent="0.25">
      <c r="A785" s="148">
        <v>10399</v>
      </c>
      <c r="B785" s="148" t="s">
        <v>1436</v>
      </c>
      <c r="C785" s="143" t="s">
        <v>2504</v>
      </c>
      <c r="D785" s="143" t="s">
        <v>2504</v>
      </c>
      <c r="E785" s="143" t="s">
        <v>2504</v>
      </c>
      <c r="F785" s="143" t="s">
        <v>2504</v>
      </c>
      <c r="G785" s="143" t="s">
        <v>2504</v>
      </c>
      <c r="H785" s="143" t="s">
        <v>2504</v>
      </c>
      <c r="I785" s="143" t="s">
        <v>2504</v>
      </c>
      <c r="J785" s="143" t="s">
        <v>2504</v>
      </c>
      <c r="K785" s="143" t="s">
        <v>1436</v>
      </c>
      <c r="L785" s="143" t="s">
        <v>2504</v>
      </c>
      <c r="M785" s="143" t="s">
        <v>2504</v>
      </c>
      <c r="N785" s="143" t="s">
        <v>2504</v>
      </c>
      <c r="O785" s="143" t="s">
        <v>2504</v>
      </c>
      <c r="P785" s="143" t="s">
        <v>2504</v>
      </c>
      <c r="Q785" s="148" t="s">
        <v>1437</v>
      </c>
      <c r="R785" s="148" t="s">
        <v>1025</v>
      </c>
      <c r="S785" s="148" t="s">
        <v>1438</v>
      </c>
      <c r="T785" s="149">
        <v>19</v>
      </c>
      <c r="U785" s="148" t="s">
        <v>591</v>
      </c>
      <c r="V785" s="150">
        <v>8049.96</v>
      </c>
      <c r="W785" s="151">
        <f>V785*16</f>
        <v>128799.36</v>
      </c>
    </row>
    <row r="786" spans="1:23" ht="15" customHeight="1" x14ac:dyDescent="0.25">
      <c r="A786" s="148">
        <v>10400</v>
      </c>
      <c r="B786" s="148" t="s">
        <v>1439</v>
      </c>
      <c r="C786" s="143" t="s">
        <v>2504</v>
      </c>
      <c r="D786" s="143" t="s">
        <v>2504</v>
      </c>
      <c r="E786" s="143" t="s">
        <v>2504</v>
      </c>
      <c r="F786" s="143" t="s">
        <v>2504</v>
      </c>
      <c r="G786" s="143" t="s">
        <v>2504</v>
      </c>
      <c r="H786" s="143" t="s">
        <v>2504</v>
      </c>
      <c r="I786" s="143" t="s">
        <v>2504</v>
      </c>
      <c r="J786" s="143" t="s">
        <v>2504</v>
      </c>
      <c r="K786" s="143" t="s">
        <v>1439</v>
      </c>
      <c r="L786" s="143" t="s">
        <v>2504</v>
      </c>
      <c r="M786" s="143" t="s">
        <v>2504</v>
      </c>
      <c r="N786" s="143" t="s">
        <v>2504</v>
      </c>
      <c r="O786" s="143" t="s">
        <v>2504</v>
      </c>
      <c r="P786" s="143" t="s">
        <v>2504</v>
      </c>
      <c r="Q786" s="148" t="s">
        <v>1440</v>
      </c>
      <c r="R786" s="148" t="s">
        <v>1025</v>
      </c>
      <c r="S786" s="148" t="s">
        <v>1438</v>
      </c>
      <c r="T786" s="149">
        <v>19</v>
      </c>
      <c r="U786" s="148" t="s">
        <v>591</v>
      </c>
      <c r="V786" s="150">
        <v>8466.24</v>
      </c>
      <c r="W786" s="151">
        <f>V786*4</f>
        <v>33864.959999999999</v>
      </c>
    </row>
    <row r="787" spans="1:23" ht="15" customHeight="1" x14ac:dyDescent="0.25">
      <c r="A787" s="148">
        <v>10401</v>
      </c>
      <c r="B787" s="148" t="s">
        <v>1441</v>
      </c>
      <c r="C787" s="143" t="s">
        <v>2504</v>
      </c>
      <c r="D787" s="143" t="s">
        <v>2504</v>
      </c>
      <c r="E787" s="143" t="s">
        <v>2504</v>
      </c>
      <c r="F787" s="143" t="s">
        <v>2504</v>
      </c>
      <c r="G787" s="143" t="s">
        <v>2504</v>
      </c>
      <c r="H787" s="143" t="s">
        <v>2504</v>
      </c>
      <c r="I787" s="143" t="s">
        <v>2504</v>
      </c>
      <c r="J787" s="143" t="s">
        <v>2504</v>
      </c>
      <c r="K787" s="143" t="s">
        <v>1441</v>
      </c>
      <c r="L787" s="143" t="s">
        <v>2504</v>
      </c>
      <c r="M787" s="143" t="s">
        <v>2504</v>
      </c>
      <c r="N787" s="143" t="s">
        <v>2504</v>
      </c>
      <c r="O787" s="143" t="s">
        <v>2504</v>
      </c>
      <c r="P787" s="143" t="s">
        <v>2504</v>
      </c>
      <c r="Q787" s="148" t="s">
        <v>1442</v>
      </c>
      <c r="R787" s="148" t="s">
        <v>1025</v>
      </c>
      <c r="S787" s="148" t="s">
        <v>1438</v>
      </c>
      <c r="T787" s="149">
        <v>19</v>
      </c>
      <c r="U787" s="148" t="s">
        <v>591</v>
      </c>
      <c r="V787" s="150">
        <v>8836.25</v>
      </c>
      <c r="W787" s="151">
        <f>V787*4</f>
        <v>35345</v>
      </c>
    </row>
    <row r="788" spans="1:23" ht="15" customHeight="1" x14ac:dyDescent="0.25">
      <c r="A788" s="148">
        <v>10699</v>
      </c>
      <c r="B788" s="148" t="s">
        <v>1735</v>
      </c>
      <c r="C788" s="143" t="s">
        <v>2504</v>
      </c>
      <c r="D788" s="143" t="s">
        <v>2504</v>
      </c>
      <c r="E788" s="143" t="s">
        <v>2504</v>
      </c>
      <c r="F788" s="143" t="s">
        <v>2504</v>
      </c>
      <c r="G788" s="143" t="s">
        <v>2504</v>
      </c>
      <c r="H788" s="143" t="s">
        <v>2504</v>
      </c>
      <c r="I788" s="143" t="s">
        <v>2504</v>
      </c>
      <c r="J788" s="143" t="s">
        <v>2504</v>
      </c>
      <c r="K788" s="143" t="s">
        <v>1735</v>
      </c>
      <c r="L788" s="143" t="s">
        <v>2504</v>
      </c>
      <c r="M788" s="143" t="s">
        <v>2504</v>
      </c>
      <c r="N788" s="143" t="s">
        <v>2504</v>
      </c>
      <c r="O788" s="143" t="s">
        <v>2504</v>
      </c>
      <c r="P788" s="143" t="s">
        <v>2504</v>
      </c>
      <c r="Q788" s="148" t="s">
        <v>1736</v>
      </c>
      <c r="R788" s="148" t="s">
        <v>1025</v>
      </c>
      <c r="S788" s="148" t="s">
        <v>1438</v>
      </c>
      <c r="T788" s="149">
        <v>200</v>
      </c>
      <c r="U788" s="148" t="s">
        <v>591</v>
      </c>
      <c r="V788" s="150">
        <v>84647.33</v>
      </c>
      <c r="W788" s="151">
        <f>V788*4</f>
        <v>338589.32</v>
      </c>
    </row>
    <row r="789" spans="1:23" ht="15" customHeight="1" x14ac:dyDescent="0.25">
      <c r="A789" s="148">
        <v>10395</v>
      </c>
      <c r="B789" s="148" t="s">
        <v>1427</v>
      </c>
      <c r="C789" s="143" t="s">
        <v>2504</v>
      </c>
      <c r="D789" s="143" t="s">
        <v>2504</v>
      </c>
      <c r="E789" s="143" t="s">
        <v>2504</v>
      </c>
      <c r="F789" s="143" t="s">
        <v>2504</v>
      </c>
      <c r="G789" s="143" t="s">
        <v>2504</v>
      </c>
      <c r="H789" s="143" t="s">
        <v>2504</v>
      </c>
      <c r="I789" s="143" t="s">
        <v>2504</v>
      </c>
      <c r="J789" s="143" t="s">
        <v>2504</v>
      </c>
      <c r="K789" s="143" t="s">
        <v>1427</v>
      </c>
      <c r="L789" s="143" t="s">
        <v>2504</v>
      </c>
      <c r="M789" s="143" t="s">
        <v>2504</v>
      </c>
      <c r="N789" s="143" t="s">
        <v>2504</v>
      </c>
      <c r="O789" s="143" t="s">
        <v>2504</v>
      </c>
      <c r="P789" s="143" t="s">
        <v>2504</v>
      </c>
      <c r="Q789" s="148" t="s">
        <v>1428</v>
      </c>
      <c r="R789" s="148" t="s">
        <v>1025</v>
      </c>
      <c r="S789" s="148" t="s">
        <v>1429</v>
      </c>
      <c r="T789" s="149">
        <v>19</v>
      </c>
      <c r="U789" s="148" t="s">
        <v>591</v>
      </c>
      <c r="V789" s="150">
        <v>2048.08</v>
      </c>
      <c r="W789" s="151">
        <f>V789*15</f>
        <v>30721.199999999997</v>
      </c>
    </row>
    <row r="790" spans="1:23" ht="15" customHeight="1" x14ac:dyDescent="0.25">
      <c r="A790" s="148">
        <v>10396</v>
      </c>
      <c r="B790" s="148" t="s">
        <v>1430</v>
      </c>
      <c r="C790" s="143" t="s">
        <v>2504</v>
      </c>
      <c r="D790" s="143" t="s">
        <v>2504</v>
      </c>
      <c r="E790" s="143" t="s">
        <v>2504</v>
      </c>
      <c r="F790" s="143" t="s">
        <v>2504</v>
      </c>
      <c r="G790" s="143" t="s">
        <v>2504</v>
      </c>
      <c r="H790" s="143" t="s">
        <v>2504</v>
      </c>
      <c r="I790" s="143" t="s">
        <v>2504</v>
      </c>
      <c r="J790" s="143" t="s">
        <v>2504</v>
      </c>
      <c r="K790" s="143" t="s">
        <v>1430</v>
      </c>
      <c r="L790" s="143" t="s">
        <v>2504</v>
      </c>
      <c r="M790" s="143" t="s">
        <v>2504</v>
      </c>
      <c r="N790" s="143" t="s">
        <v>2504</v>
      </c>
      <c r="O790" s="143" t="s">
        <v>2504</v>
      </c>
      <c r="P790" s="143" t="s">
        <v>2504</v>
      </c>
      <c r="Q790" s="148" t="s">
        <v>1431</v>
      </c>
      <c r="R790" s="148" t="s">
        <v>1025</v>
      </c>
      <c r="S790" s="148" t="s">
        <v>1429</v>
      </c>
      <c r="T790" s="149">
        <v>19</v>
      </c>
      <c r="U790" s="148" t="s">
        <v>591</v>
      </c>
      <c r="V790" s="150">
        <v>2187.4299999999998</v>
      </c>
      <c r="W790" s="151">
        <f>V790*4</f>
        <v>8749.7199999999993</v>
      </c>
    </row>
    <row r="791" spans="1:23" ht="15" customHeight="1" x14ac:dyDescent="0.25">
      <c r="A791" s="148">
        <v>10397</v>
      </c>
      <c r="B791" s="148" t="s">
        <v>1432</v>
      </c>
      <c r="C791" s="143" t="s">
        <v>2504</v>
      </c>
      <c r="D791" s="143" t="s">
        <v>2504</v>
      </c>
      <c r="E791" s="143" t="s">
        <v>2504</v>
      </c>
      <c r="F791" s="143" t="s">
        <v>2504</v>
      </c>
      <c r="G791" s="143" t="s">
        <v>2504</v>
      </c>
      <c r="H791" s="143" t="s">
        <v>2504</v>
      </c>
      <c r="I791" s="143" t="s">
        <v>2504</v>
      </c>
      <c r="J791" s="143" t="s">
        <v>2504</v>
      </c>
      <c r="K791" s="143" t="s">
        <v>1432</v>
      </c>
      <c r="L791" s="143" t="s">
        <v>2504</v>
      </c>
      <c r="M791" s="143" t="s">
        <v>2504</v>
      </c>
      <c r="N791" s="143" t="s">
        <v>2504</v>
      </c>
      <c r="O791" s="143" t="s">
        <v>2504</v>
      </c>
      <c r="P791" s="143" t="s">
        <v>2504</v>
      </c>
      <c r="Q791" s="148" t="s">
        <v>1433</v>
      </c>
      <c r="R791" s="148" t="s">
        <v>1025</v>
      </c>
      <c r="S791" s="148" t="s">
        <v>1429</v>
      </c>
      <c r="T791" s="149">
        <v>19</v>
      </c>
      <c r="U791" s="148" t="s">
        <v>591</v>
      </c>
      <c r="V791" s="150">
        <v>2310.5300000000002</v>
      </c>
      <c r="W791" s="151">
        <f>V791*4</f>
        <v>9242.1200000000008</v>
      </c>
    </row>
    <row r="792" spans="1:23" ht="15" customHeight="1" x14ac:dyDescent="0.25">
      <c r="A792" s="148">
        <v>10398</v>
      </c>
      <c r="B792" s="148" t="s">
        <v>1434</v>
      </c>
      <c r="C792" s="143" t="s">
        <v>2504</v>
      </c>
      <c r="D792" s="143" t="s">
        <v>2504</v>
      </c>
      <c r="E792" s="143" t="s">
        <v>2504</v>
      </c>
      <c r="F792" s="143" t="s">
        <v>2504</v>
      </c>
      <c r="G792" s="143" t="s">
        <v>2504</v>
      </c>
      <c r="H792" s="143" t="s">
        <v>2504</v>
      </c>
      <c r="I792" s="143" t="s">
        <v>2504</v>
      </c>
      <c r="J792" s="143" t="s">
        <v>2504</v>
      </c>
      <c r="K792" s="143" t="s">
        <v>1434</v>
      </c>
      <c r="L792" s="143" t="s">
        <v>2504</v>
      </c>
      <c r="M792" s="143" t="s">
        <v>2504</v>
      </c>
      <c r="N792" s="143" t="s">
        <v>2504</v>
      </c>
      <c r="O792" s="143" t="s">
        <v>2504</v>
      </c>
      <c r="P792" s="143" t="s">
        <v>2504</v>
      </c>
      <c r="Q792" s="148" t="s">
        <v>1435</v>
      </c>
      <c r="R792" s="148" t="s">
        <v>1025</v>
      </c>
      <c r="S792" s="148" t="s">
        <v>1429</v>
      </c>
      <c r="T792" s="149">
        <v>19</v>
      </c>
      <c r="U792" s="148" t="s">
        <v>591</v>
      </c>
      <c r="V792" s="150">
        <v>2284.12</v>
      </c>
      <c r="W792" s="151">
        <f>V792*15</f>
        <v>34261.799999999996</v>
      </c>
    </row>
    <row r="793" spans="1:23" ht="15" customHeight="1" x14ac:dyDescent="0.25">
      <c r="A793" s="148">
        <v>10695</v>
      </c>
      <c r="B793" s="148" t="s">
        <v>1727</v>
      </c>
      <c r="C793" s="143" t="s">
        <v>2504</v>
      </c>
      <c r="D793" s="143" t="s">
        <v>2504</v>
      </c>
      <c r="E793" s="143" t="s">
        <v>2504</v>
      </c>
      <c r="F793" s="143" t="s">
        <v>2504</v>
      </c>
      <c r="G793" s="143" t="s">
        <v>2504</v>
      </c>
      <c r="H793" s="143" t="s">
        <v>2504</v>
      </c>
      <c r="I793" s="143" t="s">
        <v>2504</v>
      </c>
      <c r="J793" s="143" t="s">
        <v>2504</v>
      </c>
      <c r="K793" s="143" t="s">
        <v>1727</v>
      </c>
      <c r="L793" s="143" t="s">
        <v>2504</v>
      </c>
      <c r="M793" s="143" t="s">
        <v>2504</v>
      </c>
      <c r="N793" s="143" t="s">
        <v>2504</v>
      </c>
      <c r="O793" s="143" t="s">
        <v>2504</v>
      </c>
      <c r="P793" s="143" t="s">
        <v>2504</v>
      </c>
      <c r="Q793" s="148" t="s">
        <v>1728</v>
      </c>
      <c r="R793" s="148" t="s">
        <v>1025</v>
      </c>
      <c r="S793" s="148" t="s">
        <v>1429</v>
      </c>
      <c r="T793" s="149">
        <v>200</v>
      </c>
      <c r="U793" s="148" t="s">
        <v>591</v>
      </c>
      <c r="V793" s="150">
        <v>21469.64</v>
      </c>
      <c r="W793" s="151">
        <f>V793*15</f>
        <v>322044.59999999998</v>
      </c>
    </row>
    <row r="794" spans="1:23" ht="15" customHeight="1" x14ac:dyDescent="0.25">
      <c r="A794" s="148">
        <v>10696</v>
      </c>
      <c r="B794" s="148" t="s">
        <v>1729</v>
      </c>
      <c r="C794" s="143" t="s">
        <v>2504</v>
      </c>
      <c r="D794" s="143" t="s">
        <v>2504</v>
      </c>
      <c r="E794" s="143" t="s">
        <v>2504</v>
      </c>
      <c r="F794" s="143" t="s">
        <v>2504</v>
      </c>
      <c r="G794" s="143" t="s">
        <v>2504</v>
      </c>
      <c r="H794" s="143" t="s">
        <v>2504</v>
      </c>
      <c r="I794" s="143" t="s">
        <v>2504</v>
      </c>
      <c r="J794" s="143" t="s">
        <v>2504</v>
      </c>
      <c r="K794" s="143" t="s">
        <v>1729</v>
      </c>
      <c r="L794" s="143" t="s">
        <v>2504</v>
      </c>
      <c r="M794" s="143" t="s">
        <v>2504</v>
      </c>
      <c r="N794" s="143" t="s">
        <v>2504</v>
      </c>
      <c r="O794" s="143" t="s">
        <v>2504</v>
      </c>
      <c r="P794" s="143" t="s">
        <v>2504</v>
      </c>
      <c r="Q794" s="148" t="s">
        <v>1730</v>
      </c>
      <c r="R794" s="148" t="s">
        <v>1025</v>
      </c>
      <c r="S794" s="148" t="s">
        <v>1429</v>
      </c>
      <c r="T794" s="149">
        <v>200</v>
      </c>
      <c r="U794" s="148" t="s">
        <v>591</v>
      </c>
      <c r="V794" s="150">
        <v>22931.34</v>
      </c>
      <c r="W794" s="151">
        <f>V794*15</f>
        <v>343970.1</v>
      </c>
    </row>
    <row r="795" spans="1:23" ht="15" customHeight="1" x14ac:dyDescent="0.25">
      <c r="A795" s="148">
        <v>10697</v>
      </c>
      <c r="B795" s="148" t="s">
        <v>1731</v>
      </c>
      <c r="C795" s="143" t="s">
        <v>2504</v>
      </c>
      <c r="D795" s="143" t="s">
        <v>2504</v>
      </c>
      <c r="E795" s="143" t="s">
        <v>2504</v>
      </c>
      <c r="F795" s="143" t="s">
        <v>2504</v>
      </c>
      <c r="G795" s="143" t="s">
        <v>2504</v>
      </c>
      <c r="H795" s="143" t="s">
        <v>2504</v>
      </c>
      <c r="I795" s="143" t="s">
        <v>2504</v>
      </c>
      <c r="J795" s="143" t="s">
        <v>2504</v>
      </c>
      <c r="K795" s="143" t="s">
        <v>1731</v>
      </c>
      <c r="L795" s="143" t="s">
        <v>2504</v>
      </c>
      <c r="M795" s="143" t="s">
        <v>2504</v>
      </c>
      <c r="N795" s="143" t="s">
        <v>2504</v>
      </c>
      <c r="O795" s="143" t="s">
        <v>2504</v>
      </c>
      <c r="P795" s="143" t="s">
        <v>2504</v>
      </c>
      <c r="Q795" s="148" t="s">
        <v>1732</v>
      </c>
      <c r="R795" s="148" t="s">
        <v>1025</v>
      </c>
      <c r="S795" s="148" t="s">
        <v>1429</v>
      </c>
      <c r="T795" s="149">
        <v>200</v>
      </c>
      <c r="U795" s="148" t="s">
        <v>591</v>
      </c>
      <c r="V795" s="150">
        <v>24211.37</v>
      </c>
      <c r="W795" s="151">
        <f>V795*15</f>
        <v>363170.55</v>
      </c>
    </row>
    <row r="796" spans="1:23" ht="15" customHeight="1" x14ac:dyDescent="0.25">
      <c r="A796" s="148">
        <v>10698</v>
      </c>
      <c r="B796" s="148" t="s">
        <v>1733</v>
      </c>
      <c r="C796" s="143" t="s">
        <v>2504</v>
      </c>
      <c r="D796" s="143" t="s">
        <v>2504</v>
      </c>
      <c r="E796" s="143" t="s">
        <v>2504</v>
      </c>
      <c r="F796" s="143" t="s">
        <v>2504</v>
      </c>
      <c r="G796" s="143" t="s">
        <v>2504</v>
      </c>
      <c r="H796" s="143" t="s">
        <v>2504</v>
      </c>
      <c r="I796" s="143" t="s">
        <v>2504</v>
      </c>
      <c r="J796" s="143" t="s">
        <v>2504</v>
      </c>
      <c r="K796" s="143" t="s">
        <v>1733</v>
      </c>
      <c r="L796" s="143" t="s">
        <v>2504</v>
      </c>
      <c r="M796" s="143" t="s">
        <v>2504</v>
      </c>
      <c r="N796" s="143" t="s">
        <v>2504</v>
      </c>
      <c r="O796" s="143" t="s">
        <v>2504</v>
      </c>
      <c r="P796" s="143" t="s">
        <v>2504</v>
      </c>
      <c r="Q796" s="148" t="s">
        <v>1734</v>
      </c>
      <c r="R796" s="148" t="s">
        <v>1025</v>
      </c>
      <c r="S796" s="148" t="s">
        <v>1429</v>
      </c>
      <c r="T796" s="149">
        <v>200</v>
      </c>
      <c r="U796" s="148" t="s">
        <v>591</v>
      </c>
      <c r="V796" s="150">
        <v>23954.39</v>
      </c>
      <c r="W796" s="151">
        <v>24141.11</v>
      </c>
    </row>
    <row r="797" spans="1:23" ht="15" customHeight="1" x14ac:dyDescent="0.25">
      <c r="A797" s="148">
        <v>10436</v>
      </c>
      <c r="B797" s="148" t="s">
        <v>1521</v>
      </c>
      <c r="C797" s="143" t="s">
        <v>2504</v>
      </c>
      <c r="D797" s="143" t="s">
        <v>2504</v>
      </c>
      <c r="E797" s="143" t="s">
        <v>2504</v>
      </c>
      <c r="F797" s="143" t="s">
        <v>2504</v>
      </c>
      <c r="G797" s="143" t="s">
        <v>2504</v>
      </c>
      <c r="H797" s="143" t="s">
        <v>2504</v>
      </c>
      <c r="I797" s="143" t="s">
        <v>2504</v>
      </c>
      <c r="J797" s="143" t="s">
        <v>2504</v>
      </c>
      <c r="K797" s="143" t="s">
        <v>1521</v>
      </c>
      <c r="L797" s="143" t="s">
        <v>2504</v>
      </c>
      <c r="M797" s="143" t="s">
        <v>2504</v>
      </c>
      <c r="N797" s="143" t="s">
        <v>2504</v>
      </c>
      <c r="O797" s="143" t="s">
        <v>2504</v>
      </c>
      <c r="P797" s="143" t="s">
        <v>2504</v>
      </c>
      <c r="Q797" s="148" t="s">
        <v>1522</v>
      </c>
      <c r="R797" s="148" t="s">
        <v>1025</v>
      </c>
      <c r="S797" s="148" t="s">
        <v>1201</v>
      </c>
      <c r="T797" s="149">
        <v>19</v>
      </c>
      <c r="U797" s="148" t="s">
        <v>591</v>
      </c>
      <c r="V797" s="150">
        <v>2499.11</v>
      </c>
      <c r="W797" s="151">
        <v>2741.03</v>
      </c>
    </row>
    <row r="798" spans="1:23" ht="15" customHeight="1" x14ac:dyDescent="0.25">
      <c r="A798" s="148">
        <v>10437</v>
      </c>
      <c r="B798" s="148" t="s">
        <v>1523</v>
      </c>
      <c r="C798" s="143" t="s">
        <v>2504</v>
      </c>
      <c r="D798" s="143" t="s">
        <v>2504</v>
      </c>
      <c r="E798" s="143" t="s">
        <v>2504</v>
      </c>
      <c r="F798" s="143" t="s">
        <v>2504</v>
      </c>
      <c r="G798" s="143" t="s">
        <v>2504</v>
      </c>
      <c r="H798" s="143" t="s">
        <v>2504</v>
      </c>
      <c r="I798" s="143" t="s">
        <v>2504</v>
      </c>
      <c r="J798" s="143" t="s">
        <v>2504</v>
      </c>
      <c r="K798" s="143" t="s">
        <v>1523</v>
      </c>
      <c r="L798" s="143" t="s">
        <v>2504</v>
      </c>
      <c r="M798" s="143" t="s">
        <v>2504</v>
      </c>
      <c r="N798" s="143" t="s">
        <v>2504</v>
      </c>
      <c r="O798" s="143" t="s">
        <v>2504</v>
      </c>
      <c r="P798" s="143" t="s">
        <v>2504</v>
      </c>
      <c r="Q798" s="148" t="s">
        <v>1524</v>
      </c>
      <c r="R798" s="148" t="s">
        <v>1025</v>
      </c>
      <c r="S798" s="148" t="s">
        <v>1201</v>
      </c>
      <c r="T798" s="149">
        <v>19</v>
      </c>
      <c r="U798" s="148" t="s">
        <v>591</v>
      </c>
      <c r="V798" s="150">
        <v>2506.5300000000002</v>
      </c>
      <c r="W798" s="151">
        <v>28937.119999999999</v>
      </c>
    </row>
    <row r="799" spans="1:23" ht="15" customHeight="1" x14ac:dyDescent="0.25">
      <c r="A799" s="148">
        <v>10736</v>
      </c>
      <c r="B799" s="148" t="s">
        <v>1807</v>
      </c>
      <c r="C799" s="143" t="s">
        <v>2504</v>
      </c>
      <c r="D799" s="143" t="s">
        <v>2504</v>
      </c>
      <c r="E799" s="143" t="s">
        <v>2504</v>
      </c>
      <c r="F799" s="143" t="s">
        <v>2504</v>
      </c>
      <c r="G799" s="143" t="s">
        <v>2504</v>
      </c>
      <c r="H799" s="143" t="s">
        <v>2504</v>
      </c>
      <c r="I799" s="143" t="s">
        <v>2504</v>
      </c>
      <c r="J799" s="143" t="s">
        <v>2504</v>
      </c>
      <c r="K799" s="143" t="s">
        <v>1807</v>
      </c>
      <c r="L799" s="143" t="s">
        <v>2504</v>
      </c>
      <c r="M799" s="143" t="s">
        <v>2504</v>
      </c>
      <c r="N799" s="143" t="s">
        <v>2504</v>
      </c>
      <c r="O799" s="143" t="s">
        <v>2504</v>
      </c>
      <c r="P799" s="143" t="s">
        <v>2504</v>
      </c>
      <c r="Q799" s="148" t="s">
        <v>1808</v>
      </c>
      <c r="R799" s="148" t="s">
        <v>1025</v>
      </c>
      <c r="S799" s="148" t="s">
        <v>1201</v>
      </c>
      <c r="T799" s="149">
        <v>200</v>
      </c>
      <c r="U799" s="148" t="s">
        <v>591</v>
      </c>
      <c r="V799" s="150">
        <v>26217.25</v>
      </c>
      <c r="W799" s="151">
        <v>2741.03</v>
      </c>
    </row>
    <row r="800" spans="1:23" ht="15" customHeight="1" x14ac:dyDescent="0.25">
      <c r="A800" s="148">
        <v>10737</v>
      </c>
      <c r="B800" s="148" t="s">
        <v>1809</v>
      </c>
      <c r="C800" s="143" t="s">
        <v>2504</v>
      </c>
      <c r="D800" s="143" t="s">
        <v>2504</v>
      </c>
      <c r="E800" s="143" t="s">
        <v>2504</v>
      </c>
      <c r="F800" s="143" t="s">
        <v>2504</v>
      </c>
      <c r="G800" s="143" t="s">
        <v>2504</v>
      </c>
      <c r="H800" s="143" t="s">
        <v>2504</v>
      </c>
      <c r="I800" s="143" t="s">
        <v>2504</v>
      </c>
      <c r="J800" s="143" t="s">
        <v>2504</v>
      </c>
      <c r="K800" s="143" t="s">
        <v>1809</v>
      </c>
      <c r="L800" s="143" t="s">
        <v>2504</v>
      </c>
      <c r="M800" s="143" t="s">
        <v>2504</v>
      </c>
      <c r="N800" s="143" t="s">
        <v>2504</v>
      </c>
      <c r="O800" s="143" t="s">
        <v>2504</v>
      </c>
      <c r="P800" s="143" t="s">
        <v>2504</v>
      </c>
      <c r="Q800" s="148" t="s">
        <v>1810</v>
      </c>
      <c r="R800" s="148" t="s">
        <v>1025</v>
      </c>
      <c r="S800" s="148" t="s">
        <v>1201</v>
      </c>
      <c r="T800" s="149">
        <v>200</v>
      </c>
      <c r="U800" s="148" t="s">
        <v>591</v>
      </c>
      <c r="V800" s="150">
        <v>26295.46</v>
      </c>
      <c r="W800" s="151">
        <v>2127.5700000000002</v>
      </c>
    </row>
    <row r="801" spans="1:23" ht="15" customHeight="1" x14ac:dyDescent="0.25">
      <c r="A801" s="148">
        <v>10427</v>
      </c>
      <c r="B801" s="148" t="s">
        <v>1500</v>
      </c>
      <c r="C801" s="143" t="s">
        <v>2504</v>
      </c>
      <c r="D801" s="143" t="s">
        <v>2504</v>
      </c>
      <c r="E801" s="143" t="s">
        <v>2504</v>
      </c>
      <c r="F801" s="143" t="s">
        <v>2504</v>
      </c>
      <c r="G801" s="143" t="s">
        <v>2504</v>
      </c>
      <c r="H801" s="143" t="s">
        <v>2504</v>
      </c>
      <c r="I801" s="143" t="s">
        <v>2504</v>
      </c>
      <c r="J801" s="143" t="s">
        <v>2504</v>
      </c>
      <c r="K801" s="143" t="s">
        <v>1500</v>
      </c>
      <c r="L801" s="143" t="s">
        <v>2504</v>
      </c>
      <c r="M801" s="143" t="s">
        <v>2504</v>
      </c>
      <c r="N801" s="143" t="s">
        <v>2504</v>
      </c>
      <c r="O801" s="143" t="s">
        <v>2504</v>
      </c>
      <c r="P801" s="143" t="s">
        <v>2504</v>
      </c>
      <c r="Q801" s="148" t="s">
        <v>1501</v>
      </c>
      <c r="R801" s="148" t="s">
        <v>1025</v>
      </c>
      <c r="S801" s="148" t="s">
        <v>1502</v>
      </c>
      <c r="T801" s="149">
        <v>19</v>
      </c>
      <c r="U801" s="148" t="s">
        <v>935</v>
      </c>
      <c r="V801" s="150">
        <v>3783.38</v>
      </c>
      <c r="W801" s="151">
        <v>22412.27</v>
      </c>
    </row>
    <row r="802" spans="1:23" ht="15" customHeight="1" x14ac:dyDescent="0.25">
      <c r="A802" s="148">
        <v>10727</v>
      </c>
      <c r="B802" s="148" t="s">
        <v>1787</v>
      </c>
      <c r="C802" s="143" t="s">
        <v>2504</v>
      </c>
      <c r="D802" s="143" t="s">
        <v>2504</v>
      </c>
      <c r="E802" s="143" t="s">
        <v>2504</v>
      </c>
      <c r="F802" s="143" t="s">
        <v>2504</v>
      </c>
      <c r="G802" s="143" t="s">
        <v>2504</v>
      </c>
      <c r="H802" s="143" t="s">
        <v>2504</v>
      </c>
      <c r="I802" s="143" t="s">
        <v>2504</v>
      </c>
      <c r="J802" s="143" t="s">
        <v>2504</v>
      </c>
      <c r="K802" s="143" t="s">
        <v>1787</v>
      </c>
      <c r="L802" s="143" t="s">
        <v>2504</v>
      </c>
      <c r="M802" s="143" t="s">
        <v>2504</v>
      </c>
      <c r="N802" s="143" t="s">
        <v>2504</v>
      </c>
      <c r="O802" s="143" t="s">
        <v>2504</v>
      </c>
      <c r="P802" s="143" t="s">
        <v>2504</v>
      </c>
      <c r="Q802" s="148" t="s">
        <v>1788</v>
      </c>
      <c r="R802" s="148" t="s">
        <v>1025</v>
      </c>
      <c r="S802" s="148" t="s">
        <v>1502</v>
      </c>
      <c r="T802" s="149">
        <v>200</v>
      </c>
      <c r="U802" s="148" t="s">
        <v>591</v>
      </c>
      <c r="V802" s="150">
        <v>39735.97</v>
      </c>
      <c r="W802" s="151">
        <v>2291.37</v>
      </c>
    </row>
    <row r="803" spans="1:23" ht="15" customHeight="1" x14ac:dyDescent="0.25">
      <c r="A803" s="148">
        <v>10404</v>
      </c>
      <c r="B803" s="148" t="s">
        <v>1448</v>
      </c>
      <c r="C803" s="143" t="s">
        <v>2504</v>
      </c>
      <c r="D803" s="143" t="s">
        <v>2504</v>
      </c>
      <c r="E803" s="143" t="s">
        <v>2504</v>
      </c>
      <c r="F803" s="143" t="s">
        <v>2504</v>
      </c>
      <c r="G803" s="143" t="s">
        <v>2504</v>
      </c>
      <c r="H803" s="143" t="s">
        <v>2504</v>
      </c>
      <c r="I803" s="143" t="s">
        <v>2504</v>
      </c>
      <c r="J803" s="143" t="s">
        <v>2504</v>
      </c>
      <c r="K803" s="143" t="s">
        <v>1448</v>
      </c>
      <c r="L803" s="143" t="s">
        <v>2504</v>
      </c>
      <c r="M803" s="143" t="s">
        <v>2504</v>
      </c>
      <c r="N803" s="143" t="s">
        <v>2504</v>
      </c>
      <c r="O803" s="143" t="s">
        <v>2504</v>
      </c>
      <c r="P803" s="143" t="s">
        <v>2504</v>
      </c>
      <c r="Q803" s="148" t="s">
        <v>1449</v>
      </c>
      <c r="R803" s="148" t="s">
        <v>1025</v>
      </c>
      <c r="S803" s="148" t="s">
        <v>1450</v>
      </c>
      <c r="T803" s="149">
        <v>19</v>
      </c>
      <c r="U803" s="148" t="s">
        <v>591</v>
      </c>
      <c r="V803" s="150">
        <v>6425.58</v>
      </c>
      <c r="W803" s="151">
        <v>24001.62</v>
      </c>
    </row>
    <row r="804" spans="1:23" ht="15" customHeight="1" x14ac:dyDescent="0.25">
      <c r="A804" s="148">
        <v>10405</v>
      </c>
      <c r="B804" s="148" t="s">
        <v>1451</v>
      </c>
      <c r="C804" s="143" t="s">
        <v>2504</v>
      </c>
      <c r="D804" s="143" t="s">
        <v>2504</v>
      </c>
      <c r="E804" s="143" t="s">
        <v>2504</v>
      </c>
      <c r="F804" s="143" t="s">
        <v>2504</v>
      </c>
      <c r="G804" s="143" t="s">
        <v>2504</v>
      </c>
      <c r="H804" s="143" t="s">
        <v>2504</v>
      </c>
      <c r="I804" s="143" t="s">
        <v>2504</v>
      </c>
      <c r="J804" s="143" t="s">
        <v>2504</v>
      </c>
      <c r="K804" s="143" t="s">
        <v>1451</v>
      </c>
      <c r="L804" s="143" t="s">
        <v>2504</v>
      </c>
      <c r="M804" s="143" t="s">
        <v>2504</v>
      </c>
      <c r="N804" s="143" t="s">
        <v>2504</v>
      </c>
      <c r="O804" s="143" t="s">
        <v>2504</v>
      </c>
      <c r="P804" s="143" t="s">
        <v>2504</v>
      </c>
      <c r="Q804" s="148" t="s">
        <v>1452</v>
      </c>
      <c r="R804" s="148" t="s">
        <v>1025</v>
      </c>
      <c r="S804" s="148" t="s">
        <v>1450</v>
      </c>
      <c r="T804" s="149">
        <v>19</v>
      </c>
      <c r="U804" s="148" t="s">
        <v>591</v>
      </c>
      <c r="V804" s="150">
        <v>7153.91</v>
      </c>
      <c r="W804" s="151">
        <f>V804*1000</f>
        <v>7153910</v>
      </c>
    </row>
    <row r="805" spans="1:23" ht="15" customHeight="1" x14ac:dyDescent="0.25">
      <c r="A805" s="148">
        <v>10406</v>
      </c>
      <c r="B805" s="148" t="s">
        <v>1453</v>
      </c>
      <c r="C805" s="143" t="s">
        <v>2504</v>
      </c>
      <c r="D805" s="143" t="s">
        <v>2504</v>
      </c>
      <c r="E805" s="143" t="s">
        <v>2504</v>
      </c>
      <c r="F805" s="143" t="s">
        <v>2504</v>
      </c>
      <c r="G805" s="143" t="s">
        <v>2504</v>
      </c>
      <c r="H805" s="143" t="s">
        <v>2504</v>
      </c>
      <c r="I805" s="143" t="s">
        <v>2504</v>
      </c>
      <c r="J805" s="143" t="s">
        <v>2504</v>
      </c>
      <c r="K805" s="143" t="s">
        <v>1453</v>
      </c>
      <c r="L805" s="143" t="s">
        <v>2504</v>
      </c>
      <c r="M805" s="143" t="s">
        <v>2504</v>
      </c>
      <c r="N805" s="143" t="s">
        <v>2504</v>
      </c>
      <c r="O805" s="143" t="s">
        <v>2504</v>
      </c>
      <c r="P805" s="143" t="s">
        <v>2504</v>
      </c>
      <c r="Q805" s="148" t="s">
        <v>1454</v>
      </c>
      <c r="R805" s="148" t="s">
        <v>1025</v>
      </c>
      <c r="S805" s="148" t="s">
        <v>1450</v>
      </c>
      <c r="T805" s="149">
        <v>19</v>
      </c>
      <c r="U805" s="148" t="s">
        <v>591</v>
      </c>
      <c r="V805" s="150">
        <v>7648.86</v>
      </c>
      <c r="W805" s="151">
        <f>V805*16</f>
        <v>122381.75999999999</v>
      </c>
    </row>
    <row r="806" spans="1:23" ht="15" customHeight="1" x14ac:dyDescent="0.25">
      <c r="A806" s="148">
        <v>10704</v>
      </c>
      <c r="B806" s="148" t="s">
        <v>1743</v>
      </c>
      <c r="C806" s="143" t="s">
        <v>2504</v>
      </c>
      <c r="D806" s="143" t="s">
        <v>2504</v>
      </c>
      <c r="E806" s="143" t="s">
        <v>2504</v>
      </c>
      <c r="F806" s="143" t="s">
        <v>2504</v>
      </c>
      <c r="G806" s="143" t="s">
        <v>2504</v>
      </c>
      <c r="H806" s="143" t="s">
        <v>2504</v>
      </c>
      <c r="I806" s="143" t="s">
        <v>2504</v>
      </c>
      <c r="J806" s="143" t="s">
        <v>2504</v>
      </c>
      <c r="K806" s="143" t="s">
        <v>1743</v>
      </c>
      <c r="L806" s="143" t="s">
        <v>2504</v>
      </c>
      <c r="M806" s="143" t="s">
        <v>2504</v>
      </c>
      <c r="N806" s="143" t="s">
        <v>2504</v>
      </c>
      <c r="O806" s="143" t="s">
        <v>2504</v>
      </c>
      <c r="P806" s="143" t="s">
        <v>2504</v>
      </c>
      <c r="Q806" s="148" t="s">
        <v>1744</v>
      </c>
      <c r="R806" s="148" t="s">
        <v>1025</v>
      </c>
      <c r="S806" s="148" t="s">
        <v>1450</v>
      </c>
      <c r="T806" s="149">
        <v>200</v>
      </c>
      <c r="U806" s="148" t="s">
        <v>591</v>
      </c>
      <c r="V806" s="150">
        <v>67543.56</v>
      </c>
      <c r="W806" s="151">
        <f>V806*4</f>
        <v>270174.24</v>
      </c>
    </row>
    <row r="807" spans="1:23" ht="15" customHeight="1" x14ac:dyDescent="0.25">
      <c r="A807" s="148">
        <v>10705</v>
      </c>
      <c r="B807" s="148" t="s">
        <v>1745</v>
      </c>
      <c r="C807" s="143" t="s">
        <v>2504</v>
      </c>
      <c r="D807" s="143" t="s">
        <v>2504</v>
      </c>
      <c r="E807" s="143" t="s">
        <v>2504</v>
      </c>
      <c r="F807" s="143" t="s">
        <v>2504</v>
      </c>
      <c r="G807" s="143" t="s">
        <v>2504</v>
      </c>
      <c r="H807" s="143" t="s">
        <v>2504</v>
      </c>
      <c r="I807" s="143" t="s">
        <v>2504</v>
      </c>
      <c r="J807" s="143" t="s">
        <v>2504</v>
      </c>
      <c r="K807" s="143" t="s">
        <v>1745</v>
      </c>
      <c r="L807" s="143" t="s">
        <v>2504</v>
      </c>
      <c r="M807" s="143" t="s">
        <v>2504</v>
      </c>
      <c r="N807" s="143" t="s">
        <v>2504</v>
      </c>
      <c r="O807" s="143" t="s">
        <v>2504</v>
      </c>
      <c r="P807" s="143" t="s">
        <v>2504</v>
      </c>
      <c r="Q807" s="148" t="s">
        <v>1746</v>
      </c>
      <c r="R807" s="148" t="s">
        <v>1025</v>
      </c>
      <c r="S807" s="148" t="s">
        <v>1450</v>
      </c>
      <c r="T807" s="149">
        <v>200</v>
      </c>
      <c r="U807" s="148" t="s">
        <v>591</v>
      </c>
      <c r="V807" s="150">
        <v>68242.649999999994</v>
      </c>
      <c r="W807" s="151">
        <f>V807*16</f>
        <v>1091882.3999999999</v>
      </c>
    </row>
    <row r="808" spans="1:23" ht="15" customHeight="1" x14ac:dyDescent="0.25">
      <c r="A808" s="148">
        <v>10429</v>
      </c>
      <c r="B808" s="148" t="s">
        <v>1503</v>
      </c>
      <c r="C808" s="143" t="s">
        <v>2504</v>
      </c>
      <c r="D808" s="143" t="s">
        <v>2504</v>
      </c>
      <c r="E808" s="143" t="s">
        <v>2504</v>
      </c>
      <c r="F808" s="143" t="s">
        <v>2504</v>
      </c>
      <c r="G808" s="143" t="s">
        <v>2504</v>
      </c>
      <c r="H808" s="143" t="s">
        <v>2504</v>
      </c>
      <c r="I808" s="143" t="s">
        <v>2504</v>
      </c>
      <c r="J808" s="143" t="s">
        <v>2504</v>
      </c>
      <c r="K808" s="143" t="s">
        <v>1503</v>
      </c>
      <c r="L808" s="143" t="s">
        <v>2504</v>
      </c>
      <c r="M808" s="143" t="s">
        <v>2504</v>
      </c>
      <c r="N808" s="143" t="s">
        <v>2504</v>
      </c>
      <c r="O808" s="143" t="s">
        <v>2504</v>
      </c>
      <c r="P808" s="143" t="s">
        <v>2504</v>
      </c>
      <c r="Q808" s="148" t="s">
        <v>1504</v>
      </c>
      <c r="R808" s="148" t="s">
        <v>1025</v>
      </c>
      <c r="S808" s="148" t="s">
        <v>1505</v>
      </c>
      <c r="T808" s="149">
        <v>19</v>
      </c>
      <c r="U808" s="148" t="s">
        <v>596</v>
      </c>
      <c r="V808" s="150">
        <v>2026.12</v>
      </c>
      <c r="W808" s="151">
        <f>V808*4</f>
        <v>8104.48</v>
      </c>
    </row>
    <row r="809" spans="1:23" ht="15" customHeight="1" x14ac:dyDescent="0.25">
      <c r="A809" s="148">
        <v>10729</v>
      </c>
      <c r="B809" s="148" t="s">
        <v>1792</v>
      </c>
      <c r="C809" s="143" t="s">
        <v>2504</v>
      </c>
      <c r="D809" s="143" t="s">
        <v>2504</v>
      </c>
      <c r="E809" s="143" t="s">
        <v>2504</v>
      </c>
      <c r="F809" s="143" t="s">
        <v>2504</v>
      </c>
      <c r="G809" s="143" t="s">
        <v>2504</v>
      </c>
      <c r="H809" s="143" t="s">
        <v>2504</v>
      </c>
      <c r="I809" s="143" t="s">
        <v>2504</v>
      </c>
      <c r="J809" s="143" t="s">
        <v>2504</v>
      </c>
      <c r="K809" s="143" t="s">
        <v>1792</v>
      </c>
      <c r="L809" s="143" t="s">
        <v>2504</v>
      </c>
      <c r="M809" s="143" t="s">
        <v>2504</v>
      </c>
      <c r="N809" s="143" t="s">
        <v>2504</v>
      </c>
      <c r="O809" s="143" t="s">
        <v>2504</v>
      </c>
      <c r="P809" s="143" t="s">
        <v>2504</v>
      </c>
      <c r="Q809" s="148" t="s">
        <v>1793</v>
      </c>
      <c r="R809" s="148" t="s">
        <v>1025</v>
      </c>
      <c r="S809" s="148" t="s">
        <v>1505</v>
      </c>
      <c r="T809" s="149">
        <v>200</v>
      </c>
      <c r="U809" s="148" t="s">
        <v>591</v>
      </c>
      <c r="V809" s="150">
        <v>21220.39</v>
      </c>
      <c r="W809" s="151">
        <f>V809*16</f>
        <v>339526.24</v>
      </c>
    </row>
    <row r="810" spans="1:23" ht="15" customHeight="1" x14ac:dyDescent="0.25">
      <c r="A810" s="148">
        <v>10335</v>
      </c>
      <c r="B810" s="148" t="s">
        <v>1306</v>
      </c>
      <c r="C810" s="143" t="s">
        <v>2504</v>
      </c>
      <c r="D810" s="143" t="s">
        <v>2504</v>
      </c>
      <c r="E810" s="143" t="s">
        <v>2504</v>
      </c>
      <c r="F810" s="143" t="s">
        <v>2504</v>
      </c>
      <c r="G810" s="143" t="s">
        <v>2504</v>
      </c>
      <c r="H810" s="143" t="s">
        <v>2504</v>
      </c>
      <c r="I810" s="143" t="s">
        <v>2504</v>
      </c>
      <c r="J810" s="143" t="s">
        <v>2504</v>
      </c>
      <c r="K810" s="143" t="s">
        <v>2504</v>
      </c>
      <c r="L810" s="143" t="s">
        <v>1306</v>
      </c>
      <c r="M810" s="143" t="s">
        <v>2504</v>
      </c>
      <c r="N810" s="143" t="s">
        <v>2504</v>
      </c>
      <c r="O810" s="143" t="s">
        <v>2504</v>
      </c>
      <c r="P810" s="143" t="s">
        <v>2504</v>
      </c>
      <c r="Q810" s="148" t="s">
        <v>1307</v>
      </c>
      <c r="R810" s="148" t="s">
        <v>1025</v>
      </c>
      <c r="S810" s="148" t="s">
        <v>1150</v>
      </c>
      <c r="T810" s="149">
        <v>19</v>
      </c>
      <c r="U810" s="148" t="s">
        <v>591</v>
      </c>
      <c r="V810" s="150">
        <v>1928.44</v>
      </c>
      <c r="W810" s="151">
        <f>V810*4</f>
        <v>7713.76</v>
      </c>
    </row>
    <row r="811" spans="1:23" ht="15" customHeight="1" x14ac:dyDescent="0.25">
      <c r="A811" s="148">
        <v>10336</v>
      </c>
      <c r="B811" s="148" t="s">
        <v>1308</v>
      </c>
      <c r="C811" s="143" t="s">
        <v>2504</v>
      </c>
      <c r="D811" s="143" t="s">
        <v>2504</v>
      </c>
      <c r="E811" s="143" t="s">
        <v>2504</v>
      </c>
      <c r="F811" s="143" t="s">
        <v>2504</v>
      </c>
      <c r="G811" s="143" t="s">
        <v>2504</v>
      </c>
      <c r="H811" s="143" t="s">
        <v>2504</v>
      </c>
      <c r="I811" s="143" t="s">
        <v>2504</v>
      </c>
      <c r="J811" s="143" t="s">
        <v>2504</v>
      </c>
      <c r="K811" s="143" t="s">
        <v>2504</v>
      </c>
      <c r="L811" s="143" t="s">
        <v>1308</v>
      </c>
      <c r="M811" s="143" t="s">
        <v>2504</v>
      </c>
      <c r="N811" s="143" t="s">
        <v>2504</v>
      </c>
      <c r="O811" s="143" t="s">
        <v>2504</v>
      </c>
      <c r="P811" s="143" t="s">
        <v>2504</v>
      </c>
      <c r="Q811" s="148" t="s">
        <v>1309</v>
      </c>
      <c r="R811" s="148" t="s">
        <v>1025</v>
      </c>
      <c r="S811" s="148" t="s">
        <v>1150</v>
      </c>
      <c r="T811" s="149">
        <v>19</v>
      </c>
      <c r="U811" s="148" t="s">
        <v>591</v>
      </c>
      <c r="V811" s="150">
        <v>1997.33</v>
      </c>
      <c r="W811" s="151">
        <f>V811*6</f>
        <v>11983.98</v>
      </c>
    </row>
    <row r="812" spans="1:23" ht="15" customHeight="1" x14ac:dyDescent="0.25">
      <c r="A812" s="148">
        <v>10337</v>
      </c>
      <c r="B812" s="148" t="s">
        <v>1310</v>
      </c>
      <c r="C812" s="143" t="s">
        <v>2504</v>
      </c>
      <c r="D812" s="143" t="s">
        <v>2504</v>
      </c>
      <c r="E812" s="143" t="s">
        <v>2504</v>
      </c>
      <c r="F812" s="143" t="s">
        <v>2504</v>
      </c>
      <c r="G812" s="143" t="s">
        <v>2504</v>
      </c>
      <c r="H812" s="143" t="s">
        <v>2504</v>
      </c>
      <c r="I812" s="143" t="s">
        <v>2504</v>
      </c>
      <c r="J812" s="143" t="s">
        <v>2504</v>
      </c>
      <c r="K812" s="143" t="s">
        <v>2504</v>
      </c>
      <c r="L812" s="143" t="s">
        <v>1310</v>
      </c>
      <c r="M812" s="143" t="s">
        <v>2504</v>
      </c>
      <c r="N812" s="143" t="s">
        <v>2504</v>
      </c>
      <c r="O812" s="143" t="s">
        <v>2504</v>
      </c>
      <c r="P812" s="143" t="s">
        <v>2504</v>
      </c>
      <c r="Q812" s="148" t="s">
        <v>1311</v>
      </c>
      <c r="R812" s="148" t="s">
        <v>1025</v>
      </c>
      <c r="S812" s="148" t="s">
        <v>1150</v>
      </c>
      <c r="T812" s="149">
        <v>19</v>
      </c>
      <c r="U812" s="148" t="s">
        <v>591</v>
      </c>
      <c r="V812" s="150">
        <v>2016.77</v>
      </c>
      <c r="W812" s="151">
        <f>V812*6</f>
        <v>12100.619999999999</v>
      </c>
    </row>
    <row r="813" spans="1:23" ht="15" customHeight="1" x14ac:dyDescent="0.25">
      <c r="A813" s="148">
        <v>10338</v>
      </c>
      <c r="B813" s="148" t="s">
        <v>1312</v>
      </c>
      <c r="C813" s="143" t="s">
        <v>2504</v>
      </c>
      <c r="D813" s="143" t="s">
        <v>2504</v>
      </c>
      <c r="E813" s="143" t="s">
        <v>2504</v>
      </c>
      <c r="F813" s="143" t="s">
        <v>2504</v>
      </c>
      <c r="G813" s="143" t="s">
        <v>2504</v>
      </c>
      <c r="H813" s="143" t="s">
        <v>2504</v>
      </c>
      <c r="I813" s="143" t="s">
        <v>2504</v>
      </c>
      <c r="J813" s="143" t="s">
        <v>2504</v>
      </c>
      <c r="K813" s="143" t="s">
        <v>2504</v>
      </c>
      <c r="L813" s="143" t="s">
        <v>1312</v>
      </c>
      <c r="M813" s="143" t="s">
        <v>2504</v>
      </c>
      <c r="N813" s="143" t="s">
        <v>2504</v>
      </c>
      <c r="O813" s="143" t="s">
        <v>2504</v>
      </c>
      <c r="P813" s="143" t="s">
        <v>2504</v>
      </c>
      <c r="Q813" s="148" t="s">
        <v>1313</v>
      </c>
      <c r="R813" s="148" t="s">
        <v>1025</v>
      </c>
      <c r="S813" s="148" t="s">
        <v>1150</v>
      </c>
      <c r="T813" s="149">
        <v>19</v>
      </c>
      <c r="U813" s="148" t="s">
        <v>591</v>
      </c>
      <c r="V813" s="150">
        <v>2026.46</v>
      </c>
      <c r="W813" s="151">
        <f>V813*6</f>
        <v>12158.76</v>
      </c>
    </row>
    <row r="814" spans="1:23" ht="15" customHeight="1" x14ac:dyDescent="0.25">
      <c r="A814" s="148">
        <v>10339</v>
      </c>
      <c r="B814" s="148" t="s">
        <v>1314</v>
      </c>
      <c r="C814" s="143" t="s">
        <v>2504</v>
      </c>
      <c r="D814" s="143" t="s">
        <v>2504</v>
      </c>
      <c r="E814" s="143" t="s">
        <v>2504</v>
      </c>
      <c r="F814" s="143" t="s">
        <v>2504</v>
      </c>
      <c r="G814" s="143" t="s">
        <v>2504</v>
      </c>
      <c r="H814" s="143" t="s">
        <v>2504</v>
      </c>
      <c r="I814" s="143" t="s">
        <v>2504</v>
      </c>
      <c r="J814" s="143" t="s">
        <v>2504</v>
      </c>
      <c r="K814" s="143" t="s">
        <v>2504</v>
      </c>
      <c r="L814" s="143" t="s">
        <v>1314</v>
      </c>
      <c r="M814" s="143" t="s">
        <v>2504</v>
      </c>
      <c r="N814" s="143" t="s">
        <v>2504</v>
      </c>
      <c r="O814" s="143" t="s">
        <v>2504</v>
      </c>
      <c r="P814" s="143" t="s">
        <v>2504</v>
      </c>
      <c r="Q814" s="148" t="s">
        <v>1315</v>
      </c>
      <c r="R814" s="148" t="s">
        <v>1025</v>
      </c>
      <c r="S814" s="148" t="s">
        <v>1150</v>
      </c>
      <c r="T814" s="149">
        <v>19</v>
      </c>
      <c r="U814" s="148" t="s">
        <v>591</v>
      </c>
      <c r="V814" s="150">
        <v>2024.55</v>
      </c>
      <c r="W814" s="151">
        <f>V814*1000</f>
        <v>2024550</v>
      </c>
    </row>
    <row r="815" spans="1:23" ht="15" customHeight="1" x14ac:dyDescent="0.25">
      <c r="A815" s="148">
        <v>10340</v>
      </c>
      <c r="B815" s="148" t="s">
        <v>1316</v>
      </c>
      <c r="C815" s="143" t="s">
        <v>2504</v>
      </c>
      <c r="D815" s="143" t="s">
        <v>2504</v>
      </c>
      <c r="E815" s="143" t="s">
        <v>2504</v>
      </c>
      <c r="F815" s="143" t="s">
        <v>2504</v>
      </c>
      <c r="G815" s="143" t="s">
        <v>2504</v>
      </c>
      <c r="H815" s="143" t="s">
        <v>2504</v>
      </c>
      <c r="I815" s="143" t="s">
        <v>2504</v>
      </c>
      <c r="J815" s="143" t="s">
        <v>2504</v>
      </c>
      <c r="K815" s="143" t="s">
        <v>2504</v>
      </c>
      <c r="L815" s="143" t="s">
        <v>1316</v>
      </c>
      <c r="M815" s="143" t="s">
        <v>2504</v>
      </c>
      <c r="N815" s="143" t="s">
        <v>2504</v>
      </c>
      <c r="O815" s="143" t="s">
        <v>2504</v>
      </c>
      <c r="P815" s="143" t="s">
        <v>2504</v>
      </c>
      <c r="Q815" s="148" t="s">
        <v>1317</v>
      </c>
      <c r="R815" s="148" t="s">
        <v>1025</v>
      </c>
      <c r="S815" s="148" t="s">
        <v>1150</v>
      </c>
      <c r="T815" s="149">
        <v>19</v>
      </c>
      <c r="U815" s="148" t="s">
        <v>591</v>
      </c>
      <c r="V815" s="150">
        <v>2029.62</v>
      </c>
      <c r="W815" s="151">
        <v>817.17</v>
      </c>
    </row>
    <row r="816" spans="1:23" ht="15" customHeight="1" x14ac:dyDescent="0.25">
      <c r="A816" s="148">
        <v>10341</v>
      </c>
      <c r="B816" s="148" t="s">
        <v>1318</v>
      </c>
      <c r="C816" s="143" t="s">
        <v>2504</v>
      </c>
      <c r="D816" s="143" t="s">
        <v>2504</v>
      </c>
      <c r="E816" s="143" t="s">
        <v>2504</v>
      </c>
      <c r="F816" s="143" t="s">
        <v>2504</v>
      </c>
      <c r="G816" s="143" t="s">
        <v>2504</v>
      </c>
      <c r="H816" s="143" t="s">
        <v>2504</v>
      </c>
      <c r="I816" s="143" t="s">
        <v>2504</v>
      </c>
      <c r="J816" s="143" t="s">
        <v>2504</v>
      </c>
      <c r="K816" s="143" t="s">
        <v>2504</v>
      </c>
      <c r="L816" s="143" t="s">
        <v>1318</v>
      </c>
      <c r="M816" s="143" t="s">
        <v>2504</v>
      </c>
      <c r="N816" s="143" t="s">
        <v>2504</v>
      </c>
      <c r="O816" s="143" t="s">
        <v>2504</v>
      </c>
      <c r="P816" s="143" t="s">
        <v>2504</v>
      </c>
      <c r="Q816" s="148" t="s">
        <v>1319</v>
      </c>
      <c r="R816" s="148" t="s">
        <v>1025</v>
      </c>
      <c r="S816" s="148" t="s">
        <v>1150</v>
      </c>
      <c r="T816" s="149">
        <v>19</v>
      </c>
      <c r="U816" s="148" t="s">
        <v>591</v>
      </c>
      <c r="V816" s="150">
        <v>2040.07</v>
      </c>
      <c r="W816" s="151">
        <v>8707.76</v>
      </c>
    </row>
    <row r="817" spans="1:23" ht="15" customHeight="1" x14ac:dyDescent="0.25">
      <c r="A817" s="148">
        <v>10635</v>
      </c>
      <c r="B817" s="148" t="s">
        <v>1627</v>
      </c>
      <c r="C817" s="143" t="s">
        <v>2504</v>
      </c>
      <c r="D817" s="143" t="s">
        <v>2504</v>
      </c>
      <c r="E817" s="143" t="s">
        <v>2504</v>
      </c>
      <c r="F817" s="143" t="s">
        <v>2504</v>
      </c>
      <c r="G817" s="143" t="s">
        <v>2504</v>
      </c>
      <c r="H817" s="143" t="s">
        <v>2504</v>
      </c>
      <c r="I817" s="143" t="s">
        <v>2504</v>
      </c>
      <c r="J817" s="143" t="s">
        <v>2504</v>
      </c>
      <c r="K817" s="143" t="s">
        <v>2504</v>
      </c>
      <c r="L817" s="143" t="s">
        <v>1627</v>
      </c>
      <c r="M817" s="143" t="s">
        <v>2504</v>
      </c>
      <c r="N817" s="143" t="s">
        <v>2504</v>
      </c>
      <c r="O817" s="143" t="s">
        <v>2504</v>
      </c>
      <c r="P817" s="143" t="s">
        <v>2504</v>
      </c>
      <c r="Q817" s="148" t="s">
        <v>1628</v>
      </c>
      <c r="R817" s="148" t="s">
        <v>1025</v>
      </c>
      <c r="S817" s="148" t="s">
        <v>1150</v>
      </c>
      <c r="T817" s="149">
        <v>200</v>
      </c>
      <c r="U817" s="148" t="s">
        <v>591</v>
      </c>
      <c r="V817" s="150">
        <v>20213.09</v>
      </c>
      <c r="W817" s="151">
        <f>V817*1000</f>
        <v>20213090</v>
      </c>
    </row>
    <row r="818" spans="1:23" ht="15" customHeight="1" x14ac:dyDescent="0.25">
      <c r="A818" s="148">
        <v>10637</v>
      </c>
      <c r="B818" s="148" t="s">
        <v>1629</v>
      </c>
      <c r="C818" s="143" t="s">
        <v>2504</v>
      </c>
      <c r="D818" s="143" t="s">
        <v>2504</v>
      </c>
      <c r="E818" s="143" t="s">
        <v>2504</v>
      </c>
      <c r="F818" s="143" t="s">
        <v>2504</v>
      </c>
      <c r="G818" s="143" t="s">
        <v>2504</v>
      </c>
      <c r="H818" s="143" t="s">
        <v>2504</v>
      </c>
      <c r="I818" s="143" t="s">
        <v>2504</v>
      </c>
      <c r="J818" s="143" t="s">
        <v>2504</v>
      </c>
      <c r="K818" s="143" t="s">
        <v>2504</v>
      </c>
      <c r="L818" s="143" t="s">
        <v>1629</v>
      </c>
      <c r="M818" s="143" t="s">
        <v>2504</v>
      </c>
      <c r="N818" s="143" t="s">
        <v>2504</v>
      </c>
      <c r="O818" s="143" t="s">
        <v>2504</v>
      </c>
      <c r="P818" s="143" t="s">
        <v>2504</v>
      </c>
      <c r="Q818" s="148" t="s">
        <v>1630</v>
      </c>
      <c r="R818" s="148" t="s">
        <v>1025</v>
      </c>
      <c r="S818" s="148" t="s">
        <v>1150</v>
      </c>
      <c r="T818" s="149">
        <v>200</v>
      </c>
      <c r="U818" s="148" t="s">
        <v>591</v>
      </c>
      <c r="V818" s="150">
        <v>21142.85</v>
      </c>
      <c r="W818" s="151">
        <v>23851.86</v>
      </c>
    </row>
    <row r="819" spans="1:23" ht="15" customHeight="1" x14ac:dyDescent="0.25">
      <c r="A819" s="148">
        <v>10638</v>
      </c>
      <c r="B819" s="148" t="s">
        <v>1631</v>
      </c>
      <c r="C819" s="143" t="s">
        <v>2504</v>
      </c>
      <c r="D819" s="143" t="s">
        <v>2504</v>
      </c>
      <c r="E819" s="143" t="s">
        <v>2504</v>
      </c>
      <c r="F819" s="143" t="s">
        <v>2504</v>
      </c>
      <c r="G819" s="143" t="s">
        <v>2504</v>
      </c>
      <c r="H819" s="143" t="s">
        <v>2504</v>
      </c>
      <c r="I819" s="143" t="s">
        <v>2504</v>
      </c>
      <c r="J819" s="143" t="s">
        <v>2504</v>
      </c>
      <c r="K819" s="143" t="s">
        <v>2504</v>
      </c>
      <c r="L819" s="143" t="s">
        <v>1631</v>
      </c>
      <c r="M819" s="143" t="s">
        <v>2504</v>
      </c>
      <c r="N819" s="143" t="s">
        <v>2504</v>
      </c>
      <c r="O819" s="143" t="s">
        <v>2504</v>
      </c>
      <c r="P819" s="143" t="s">
        <v>2504</v>
      </c>
      <c r="Q819" s="148" t="s">
        <v>1632</v>
      </c>
      <c r="R819" s="148" t="s">
        <v>1025</v>
      </c>
      <c r="S819" s="148" t="s">
        <v>1150</v>
      </c>
      <c r="T819" s="149">
        <v>200</v>
      </c>
      <c r="U819" s="148" t="s">
        <v>591</v>
      </c>
      <c r="V819" s="150">
        <v>21244.93</v>
      </c>
      <c r="W819" s="151">
        <f>V819*16</f>
        <v>339918.88</v>
      </c>
    </row>
    <row r="820" spans="1:23" ht="15" customHeight="1" x14ac:dyDescent="0.25">
      <c r="A820" s="148">
        <v>10639</v>
      </c>
      <c r="B820" s="148" t="s">
        <v>1633</v>
      </c>
      <c r="C820" s="143" t="s">
        <v>2504</v>
      </c>
      <c r="D820" s="143" t="s">
        <v>2504</v>
      </c>
      <c r="E820" s="143" t="s">
        <v>2504</v>
      </c>
      <c r="F820" s="143" t="s">
        <v>2504</v>
      </c>
      <c r="G820" s="143" t="s">
        <v>2504</v>
      </c>
      <c r="H820" s="143" t="s">
        <v>2504</v>
      </c>
      <c r="I820" s="143" t="s">
        <v>2504</v>
      </c>
      <c r="J820" s="143" t="s">
        <v>2504</v>
      </c>
      <c r="K820" s="143" t="s">
        <v>2504</v>
      </c>
      <c r="L820" s="143" t="s">
        <v>1633</v>
      </c>
      <c r="M820" s="143" t="s">
        <v>2504</v>
      </c>
      <c r="N820" s="143" t="s">
        <v>2504</v>
      </c>
      <c r="O820" s="143" t="s">
        <v>2504</v>
      </c>
      <c r="P820" s="143" t="s">
        <v>2504</v>
      </c>
      <c r="Q820" s="148" t="s">
        <v>1634</v>
      </c>
      <c r="R820" s="148" t="s">
        <v>1025</v>
      </c>
      <c r="S820" s="148" t="s">
        <v>1150</v>
      </c>
      <c r="T820" s="149">
        <v>200</v>
      </c>
      <c r="U820" s="148" t="s">
        <v>591</v>
      </c>
      <c r="V820" s="150">
        <v>21224.7</v>
      </c>
      <c r="W820" s="151">
        <f t="shared" ref="W820:W843" si="3">V820*4</f>
        <v>84898.8</v>
      </c>
    </row>
    <row r="821" spans="1:23" ht="15" customHeight="1" x14ac:dyDescent="0.25">
      <c r="A821" s="148">
        <v>10640</v>
      </c>
      <c r="B821" s="148" t="s">
        <v>1635</v>
      </c>
      <c r="C821" s="143" t="s">
        <v>2504</v>
      </c>
      <c r="D821" s="143" t="s">
        <v>2504</v>
      </c>
      <c r="E821" s="143" t="s">
        <v>2504</v>
      </c>
      <c r="F821" s="143" t="s">
        <v>2504</v>
      </c>
      <c r="G821" s="143" t="s">
        <v>2504</v>
      </c>
      <c r="H821" s="143" t="s">
        <v>2504</v>
      </c>
      <c r="I821" s="143" t="s">
        <v>2504</v>
      </c>
      <c r="J821" s="143" t="s">
        <v>2504</v>
      </c>
      <c r="K821" s="143" t="s">
        <v>2504</v>
      </c>
      <c r="L821" s="143" t="s">
        <v>1635</v>
      </c>
      <c r="M821" s="143" t="s">
        <v>2504</v>
      </c>
      <c r="N821" s="143" t="s">
        <v>2504</v>
      </c>
      <c r="O821" s="143" t="s">
        <v>2504</v>
      </c>
      <c r="P821" s="143" t="s">
        <v>2504</v>
      </c>
      <c r="Q821" s="148" t="s">
        <v>1636</v>
      </c>
      <c r="R821" s="148" t="s">
        <v>1025</v>
      </c>
      <c r="S821" s="148" t="s">
        <v>1150</v>
      </c>
      <c r="T821" s="149">
        <v>200</v>
      </c>
      <c r="U821" s="148" t="s">
        <v>591</v>
      </c>
      <c r="V821" s="150">
        <v>21257.279999999999</v>
      </c>
      <c r="W821" s="151">
        <f t="shared" si="3"/>
        <v>85029.119999999995</v>
      </c>
    </row>
    <row r="822" spans="1:23" ht="15" customHeight="1" x14ac:dyDescent="0.25">
      <c r="A822" s="148">
        <v>10701</v>
      </c>
      <c r="B822" s="148" t="s">
        <v>1737</v>
      </c>
      <c r="C822" s="143" t="s">
        <v>2504</v>
      </c>
      <c r="D822" s="143" t="s">
        <v>2504</v>
      </c>
      <c r="E822" s="143" t="s">
        <v>2504</v>
      </c>
      <c r="F822" s="143" t="s">
        <v>2504</v>
      </c>
      <c r="G822" s="143" t="s">
        <v>2504</v>
      </c>
      <c r="H822" s="143" t="s">
        <v>2504</v>
      </c>
      <c r="I822" s="143" t="s">
        <v>2504</v>
      </c>
      <c r="J822" s="143" t="s">
        <v>2504</v>
      </c>
      <c r="K822" s="143" t="s">
        <v>2504</v>
      </c>
      <c r="L822" s="143" t="s">
        <v>1737</v>
      </c>
      <c r="M822" s="143" t="s">
        <v>2504</v>
      </c>
      <c r="N822" s="143" t="s">
        <v>2504</v>
      </c>
      <c r="O822" s="143" t="s">
        <v>2504</v>
      </c>
      <c r="P822" s="143" t="s">
        <v>2504</v>
      </c>
      <c r="Q822" s="148" t="s">
        <v>1738</v>
      </c>
      <c r="R822" s="148" t="s">
        <v>1025</v>
      </c>
      <c r="S822" s="148" t="s">
        <v>1438</v>
      </c>
      <c r="T822" s="149">
        <v>200</v>
      </c>
      <c r="U822" s="148" t="s">
        <v>591</v>
      </c>
      <c r="V822" s="150">
        <v>92924.12</v>
      </c>
      <c r="W822" s="151">
        <f t="shared" si="3"/>
        <v>371696.48</v>
      </c>
    </row>
    <row r="823" spans="1:23" ht="15" customHeight="1" x14ac:dyDescent="0.25">
      <c r="A823" s="148">
        <v>10402</v>
      </c>
      <c r="B823" s="148" t="s">
        <v>1443</v>
      </c>
      <c r="C823" s="143" t="s">
        <v>2504</v>
      </c>
      <c r="D823" s="143" t="s">
        <v>2504</v>
      </c>
      <c r="E823" s="143" t="s">
        <v>2504</v>
      </c>
      <c r="F823" s="143" t="s">
        <v>2504</v>
      </c>
      <c r="G823" s="143" t="s">
        <v>2504</v>
      </c>
      <c r="H823" s="143" t="s">
        <v>2504</v>
      </c>
      <c r="I823" s="143" t="s">
        <v>2504</v>
      </c>
      <c r="J823" s="143" t="s">
        <v>2504</v>
      </c>
      <c r="K823" s="143" t="s">
        <v>2504</v>
      </c>
      <c r="L823" s="143" t="s">
        <v>1443</v>
      </c>
      <c r="M823" s="143" t="s">
        <v>2504</v>
      </c>
      <c r="N823" s="143" t="s">
        <v>2504</v>
      </c>
      <c r="O823" s="143" t="s">
        <v>2504</v>
      </c>
      <c r="P823" s="143" t="s">
        <v>2504</v>
      </c>
      <c r="Q823" s="148" t="s">
        <v>1444</v>
      </c>
      <c r="R823" s="148" t="s">
        <v>1025</v>
      </c>
      <c r="S823" s="148" t="s">
        <v>1445</v>
      </c>
      <c r="T823" s="149">
        <v>19</v>
      </c>
      <c r="U823" s="148" t="s">
        <v>591</v>
      </c>
      <c r="V823" s="150">
        <v>10422.09</v>
      </c>
      <c r="W823" s="151">
        <f t="shared" si="3"/>
        <v>41688.36</v>
      </c>
    </row>
    <row r="824" spans="1:23" ht="15" customHeight="1" x14ac:dyDescent="0.25">
      <c r="A824" s="148">
        <v>10403</v>
      </c>
      <c r="B824" s="148" t="s">
        <v>1446</v>
      </c>
      <c r="C824" s="143" t="s">
        <v>2504</v>
      </c>
      <c r="D824" s="143" t="s">
        <v>2504</v>
      </c>
      <c r="E824" s="143" t="s">
        <v>2504</v>
      </c>
      <c r="F824" s="143" t="s">
        <v>2504</v>
      </c>
      <c r="G824" s="143" t="s">
        <v>2504</v>
      </c>
      <c r="H824" s="143" t="s">
        <v>2504</v>
      </c>
      <c r="I824" s="143" t="s">
        <v>2504</v>
      </c>
      <c r="J824" s="143" t="s">
        <v>2504</v>
      </c>
      <c r="K824" s="143" t="s">
        <v>2504</v>
      </c>
      <c r="L824" s="143" t="s">
        <v>1446</v>
      </c>
      <c r="M824" s="143" t="s">
        <v>2504</v>
      </c>
      <c r="N824" s="143" t="s">
        <v>2504</v>
      </c>
      <c r="O824" s="143" t="s">
        <v>2504</v>
      </c>
      <c r="P824" s="143" t="s">
        <v>2504</v>
      </c>
      <c r="Q824" s="148" t="s">
        <v>1447</v>
      </c>
      <c r="R824" s="148" t="s">
        <v>1025</v>
      </c>
      <c r="S824" s="148" t="s">
        <v>1445</v>
      </c>
      <c r="T824" s="149">
        <v>19</v>
      </c>
      <c r="U824" s="148" t="s">
        <v>591</v>
      </c>
      <c r="V824" s="150">
        <v>9443.4699999999993</v>
      </c>
      <c r="W824" s="151">
        <f t="shared" si="3"/>
        <v>37773.879999999997</v>
      </c>
    </row>
    <row r="825" spans="1:23" ht="15" customHeight="1" x14ac:dyDescent="0.25">
      <c r="A825" s="148">
        <v>10702</v>
      </c>
      <c r="B825" s="148" t="s">
        <v>1739</v>
      </c>
      <c r="C825" s="143" t="s">
        <v>2504</v>
      </c>
      <c r="D825" s="143" t="s">
        <v>2504</v>
      </c>
      <c r="E825" s="143" t="s">
        <v>2504</v>
      </c>
      <c r="F825" s="143" t="s">
        <v>2504</v>
      </c>
      <c r="G825" s="143" t="s">
        <v>2504</v>
      </c>
      <c r="H825" s="143" t="s">
        <v>2504</v>
      </c>
      <c r="I825" s="143" t="s">
        <v>2504</v>
      </c>
      <c r="J825" s="143" t="s">
        <v>2504</v>
      </c>
      <c r="K825" s="143" t="s">
        <v>2504</v>
      </c>
      <c r="L825" s="143" t="s">
        <v>1739</v>
      </c>
      <c r="M825" s="143" t="s">
        <v>2504</v>
      </c>
      <c r="N825" s="143" t="s">
        <v>2504</v>
      </c>
      <c r="O825" s="143" t="s">
        <v>2504</v>
      </c>
      <c r="P825" s="143" t="s">
        <v>2504</v>
      </c>
      <c r="Q825" s="148" t="s">
        <v>1740</v>
      </c>
      <c r="R825" s="148" t="s">
        <v>1025</v>
      </c>
      <c r="S825" s="148" t="s">
        <v>1445</v>
      </c>
      <c r="T825" s="149">
        <v>200</v>
      </c>
      <c r="U825" s="148" t="s">
        <v>591</v>
      </c>
      <c r="V825" s="150">
        <v>109617.16</v>
      </c>
      <c r="W825" s="151">
        <f t="shared" si="3"/>
        <v>438468.64</v>
      </c>
    </row>
    <row r="826" spans="1:23" ht="15" customHeight="1" x14ac:dyDescent="0.25">
      <c r="A826" s="148">
        <v>10703</v>
      </c>
      <c r="B826" s="148" t="s">
        <v>1741</v>
      </c>
      <c r="C826" s="143" t="s">
        <v>2504</v>
      </c>
      <c r="D826" s="143" t="s">
        <v>2504</v>
      </c>
      <c r="E826" s="143" t="s">
        <v>2504</v>
      </c>
      <c r="F826" s="143" t="s">
        <v>2504</v>
      </c>
      <c r="G826" s="143" t="s">
        <v>2504</v>
      </c>
      <c r="H826" s="143" t="s">
        <v>2504</v>
      </c>
      <c r="I826" s="143" t="s">
        <v>2504</v>
      </c>
      <c r="J826" s="143" t="s">
        <v>2504</v>
      </c>
      <c r="K826" s="143" t="s">
        <v>2504</v>
      </c>
      <c r="L826" s="143" t="s">
        <v>1741</v>
      </c>
      <c r="M826" s="143" t="s">
        <v>2504</v>
      </c>
      <c r="N826" s="143" t="s">
        <v>2504</v>
      </c>
      <c r="O826" s="143" t="s">
        <v>2504</v>
      </c>
      <c r="P826" s="143" t="s">
        <v>2504</v>
      </c>
      <c r="Q826" s="148" t="s">
        <v>1742</v>
      </c>
      <c r="R826" s="148" t="s">
        <v>1025</v>
      </c>
      <c r="S826" s="148" t="s">
        <v>1445</v>
      </c>
      <c r="T826" s="149">
        <v>200</v>
      </c>
      <c r="U826" s="148" t="s">
        <v>591</v>
      </c>
      <c r="V826" s="150">
        <v>99315.9</v>
      </c>
      <c r="W826" s="151">
        <f t="shared" si="3"/>
        <v>397263.6</v>
      </c>
    </row>
    <row r="827" spans="1:23" ht="15" customHeight="1" x14ac:dyDescent="0.25">
      <c r="A827" s="148">
        <v>10381</v>
      </c>
      <c r="B827" s="148" t="s">
        <v>1398</v>
      </c>
      <c r="C827" s="143" t="s">
        <v>2504</v>
      </c>
      <c r="D827" s="143" t="s">
        <v>2504</v>
      </c>
      <c r="E827" s="143" t="s">
        <v>2504</v>
      </c>
      <c r="F827" s="143" t="s">
        <v>2504</v>
      </c>
      <c r="G827" s="143" t="s">
        <v>2504</v>
      </c>
      <c r="H827" s="143" t="s">
        <v>2504</v>
      </c>
      <c r="I827" s="143" t="s">
        <v>2504</v>
      </c>
      <c r="J827" s="143" t="s">
        <v>2504</v>
      </c>
      <c r="K827" s="143" t="s">
        <v>2504</v>
      </c>
      <c r="L827" s="143" t="s">
        <v>1398</v>
      </c>
      <c r="M827" s="143" t="s">
        <v>2504</v>
      </c>
      <c r="N827" s="143" t="s">
        <v>2504</v>
      </c>
      <c r="O827" s="143" t="s">
        <v>2504</v>
      </c>
      <c r="P827" s="143" t="s">
        <v>2504</v>
      </c>
      <c r="Q827" s="148" t="s">
        <v>1399</v>
      </c>
      <c r="R827" s="148" t="s">
        <v>1025</v>
      </c>
      <c r="S827" s="148" t="s">
        <v>1176</v>
      </c>
      <c r="T827" s="149">
        <v>19</v>
      </c>
      <c r="U827" s="148" t="s">
        <v>591</v>
      </c>
      <c r="V827" s="150">
        <v>2015.08</v>
      </c>
      <c r="W827" s="151">
        <f t="shared" si="3"/>
        <v>8060.32</v>
      </c>
    </row>
    <row r="828" spans="1:23" ht="15" customHeight="1" x14ac:dyDescent="0.25">
      <c r="A828" s="148">
        <v>10382</v>
      </c>
      <c r="B828" s="148" t="s">
        <v>1400</v>
      </c>
      <c r="C828" s="143" t="s">
        <v>2504</v>
      </c>
      <c r="D828" s="143" t="s">
        <v>2504</v>
      </c>
      <c r="E828" s="143" t="s">
        <v>2504</v>
      </c>
      <c r="F828" s="143" t="s">
        <v>2504</v>
      </c>
      <c r="G828" s="143" t="s">
        <v>2504</v>
      </c>
      <c r="H828" s="143" t="s">
        <v>2504</v>
      </c>
      <c r="I828" s="143" t="s">
        <v>2504</v>
      </c>
      <c r="J828" s="143" t="s">
        <v>2504</v>
      </c>
      <c r="K828" s="143" t="s">
        <v>2504</v>
      </c>
      <c r="L828" s="143" t="s">
        <v>1400</v>
      </c>
      <c r="M828" s="143" t="s">
        <v>2504</v>
      </c>
      <c r="N828" s="143" t="s">
        <v>2504</v>
      </c>
      <c r="O828" s="143" t="s">
        <v>2504</v>
      </c>
      <c r="P828" s="143" t="s">
        <v>2504</v>
      </c>
      <c r="Q828" s="148" t="s">
        <v>1401</v>
      </c>
      <c r="R828" s="148" t="s">
        <v>1025</v>
      </c>
      <c r="S828" s="148" t="s">
        <v>1176</v>
      </c>
      <c r="T828" s="149">
        <v>19</v>
      </c>
      <c r="U828" s="148" t="s">
        <v>591</v>
      </c>
      <c r="V828" s="150">
        <v>2030</v>
      </c>
      <c r="W828" s="151">
        <f t="shared" si="3"/>
        <v>8120</v>
      </c>
    </row>
    <row r="829" spans="1:23" ht="15" customHeight="1" x14ac:dyDescent="0.25">
      <c r="A829" s="148">
        <v>10383</v>
      </c>
      <c r="B829" s="148" t="s">
        <v>1402</v>
      </c>
      <c r="C829" s="143" t="s">
        <v>2504</v>
      </c>
      <c r="D829" s="143" t="s">
        <v>2504</v>
      </c>
      <c r="E829" s="143" t="s">
        <v>2504</v>
      </c>
      <c r="F829" s="143" t="s">
        <v>2504</v>
      </c>
      <c r="G829" s="143" t="s">
        <v>2504</v>
      </c>
      <c r="H829" s="143" t="s">
        <v>2504</v>
      </c>
      <c r="I829" s="143" t="s">
        <v>2504</v>
      </c>
      <c r="J829" s="143" t="s">
        <v>2504</v>
      </c>
      <c r="K829" s="143" t="s">
        <v>2504</v>
      </c>
      <c r="L829" s="143" t="s">
        <v>1402</v>
      </c>
      <c r="M829" s="143" t="s">
        <v>2504</v>
      </c>
      <c r="N829" s="143" t="s">
        <v>2504</v>
      </c>
      <c r="O829" s="143" t="s">
        <v>2504</v>
      </c>
      <c r="P829" s="143" t="s">
        <v>2504</v>
      </c>
      <c r="Q829" s="148" t="s">
        <v>1403</v>
      </c>
      <c r="R829" s="148" t="s">
        <v>1025</v>
      </c>
      <c r="S829" s="148" t="s">
        <v>1176</v>
      </c>
      <c r="T829" s="149">
        <v>19</v>
      </c>
      <c r="U829" s="148" t="s">
        <v>591</v>
      </c>
      <c r="V829" s="150">
        <v>2035.18</v>
      </c>
      <c r="W829" s="151">
        <f t="shared" si="3"/>
        <v>8140.72</v>
      </c>
    </row>
    <row r="830" spans="1:23" ht="15" customHeight="1" x14ac:dyDescent="0.25">
      <c r="A830" s="148">
        <v>10384</v>
      </c>
      <c r="B830" s="148" t="s">
        <v>1404</v>
      </c>
      <c r="C830" s="143" t="s">
        <v>2504</v>
      </c>
      <c r="D830" s="143" t="s">
        <v>2504</v>
      </c>
      <c r="E830" s="143" t="s">
        <v>2504</v>
      </c>
      <c r="F830" s="143" t="s">
        <v>2504</v>
      </c>
      <c r="G830" s="143" t="s">
        <v>2504</v>
      </c>
      <c r="H830" s="143" t="s">
        <v>2504</v>
      </c>
      <c r="I830" s="143" t="s">
        <v>2504</v>
      </c>
      <c r="J830" s="143" t="s">
        <v>2504</v>
      </c>
      <c r="K830" s="143" t="s">
        <v>2504</v>
      </c>
      <c r="L830" s="143" t="s">
        <v>1404</v>
      </c>
      <c r="M830" s="143" t="s">
        <v>2504</v>
      </c>
      <c r="N830" s="143" t="s">
        <v>2504</v>
      </c>
      <c r="O830" s="143" t="s">
        <v>2504</v>
      </c>
      <c r="P830" s="143" t="s">
        <v>2504</v>
      </c>
      <c r="Q830" s="148" t="s">
        <v>1405</v>
      </c>
      <c r="R830" s="148" t="s">
        <v>1025</v>
      </c>
      <c r="S830" s="148" t="s">
        <v>1176</v>
      </c>
      <c r="T830" s="149">
        <v>19</v>
      </c>
      <c r="U830" s="148" t="s">
        <v>591</v>
      </c>
      <c r="V830" s="150">
        <v>2036.39</v>
      </c>
      <c r="W830" s="151">
        <f t="shared" si="3"/>
        <v>8145.56</v>
      </c>
    </row>
    <row r="831" spans="1:23" ht="15" customHeight="1" x14ac:dyDescent="0.25">
      <c r="A831" s="148">
        <v>10385</v>
      </c>
      <c r="B831" s="148" t="s">
        <v>1406</v>
      </c>
      <c r="C831" s="143" t="s">
        <v>2504</v>
      </c>
      <c r="D831" s="143" t="s">
        <v>2504</v>
      </c>
      <c r="E831" s="143" t="s">
        <v>2504</v>
      </c>
      <c r="F831" s="143" t="s">
        <v>2504</v>
      </c>
      <c r="G831" s="143" t="s">
        <v>2504</v>
      </c>
      <c r="H831" s="143" t="s">
        <v>2504</v>
      </c>
      <c r="I831" s="143" t="s">
        <v>2504</v>
      </c>
      <c r="J831" s="143" t="s">
        <v>2504</v>
      </c>
      <c r="K831" s="143" t="s">
        <v>2504</v>
      </c>
      <c r="L831" s="143" t="s">
        <v>1406</v>
      </c>
      <c r="M831" s="143" t="s">
        <v>2504</v>
      </c>
      <c r="N831" s="143" t="s">
        <v>2504</v>
      </c>
      <c r="O831" s="143" t="s">
        <v>2504</v>
      </c>
      <c r="P831" s="143" t="s">
        <v>2504</v>
      </c>
      <c r="Q831" s="148" t="s">
        <v>1407</v>
      </c>
      <c r="R831" s="148" t="s">
        <v>1025</v>
      </c>
      <c r="S831" s="148" t="s">
        <v>1176</v>
      </c>
      <c r="T831" s="149">
        <v>19</v>
      </c>
      <c r="U831" s="148" t="s">
        <v>591</v>
      </c>
      <c r="V831" s="150">
        <v>2041.55</v>
      </c>
      <c r="W831" s="151">
        <f t="shared" si="3"/>
        <v>8166.2</v>
      </c>
    </row>
    <row r="832" spans="1:23" ht="15" customHeight="1" x14ac:dyDescent="0.25">
      <c r="A832" s="148">
        <v>10386</v>
      </c>
      <c r="B832" s="148" t="s">
        <v>1408</v>
      </c>
      <c r="C832" s="143" t="s">
        <v>2504</v>
      </c>
      <c r="D832" s="143" t="s">
        <v>2504</v>
      </c>
      <c r="E832" s="143" t="s">
        <v>2504</v>
      </c>
      <c r="F832" s="143" t="s">
        <v>2504</v>
      </c>
      <c r="G832" s="143" t="s">
        <v>2504</v>
      </c>
      <c r="H832" s="143" t="s">
        <v>2504</v>
      </c>
      <c r="I832" s="143" t="s">
        <v>2504</v>
      </c>
      <c r="J832" s="143" t="s">
        <v>2504</v>
      </c>
      <c r="K832" s="143" t="s">
        <v>2504</v>
      </c>
      <c r="L832" s="143" t="s">
        <v>1408</v>
      </c>
      <c r="M832" s="143" t="s">
        <v>2504</v>
      </c>
      <c r="N832" s="143" t="s">
        <v>2504</v>
      </c>
      <c r="O832" s="143" t="s">
        <v>2504</v>
      </c>
      <c r="P832" s="143" t="s">
        <v>2504</v>
      </c>
      <c r="Q832" s="148" t="s">
        <v>1409</v>
      </c>
      <c r="R832" s="148" t="s">
        <v>1025</v>
      </c>
      <c r="S832" s="148" t="s">
        <v>1176</v>
      </c>
      <c r="T832" s="149">
        <v>19</v>
      </c>
      <c r="U832" s="148" t="s">
        <v>591</v>
      </c>
      <c r="V832" s="150">
        <v>2036.31</v>
      </c>
      <c r="W832" s="151">
        <f t="shared" si="3"/>
        <v>8145.24</v>
      </c>
    </row>
    <row r="833" spans="1:23" ht="15" customHeight="1" x14ac:dyDescent="0.25">
      <c r="A833" s="148">
        <v>10387</v>
      </c>
      <c r="B833" s="148" t="s">
        <v>1410</v>
      </c>
      <c r="C833" s="143" t="s">
        <v>2504</v>
      </c>
      <c r="D833" s="143" t="s">
        <v>2504</v>
      </c>
      <c r="E833" s="143" t="s">
        <v>2504</v>
      </c>
      <c r="F833" s="143" t="s">
        <v>2504</v>
      </c>
      <c r="G833" s="143" t="s">
        <v>2504</v>
      </c>
      <c r="H833" s="143" t="s">
        <v>2504</v>
      </c>
      <c r="I833" s="143" t="s">
        <v>2504</v>
      </c>
      <c r="J833" s="143" t="s">
        <v>2504</v>
      </c>
      <c r="K833" s="143" t="s">
        <v>2504</v>
      </c>
      <c r="L833" s="143" t="s">
        <v>1410</v>
      </c>
      <c r="M833" s="143" t="s">
        <v>2504</v>
      </c>
      <c r="N833" s="143" t="s">
        <v>2504</v>
      </c>
      <c r="O833" s="143" t="s">
        <v>2504</v>
      </c>
      <c r="P833" s="143" t="s">
        <v>2504</v>
      </c>
      <c r="Q833" s="148" t="s">
        <v>1411</v>
      </c>
      <c r="R833" s="148" t="s">
        <v>1025</v>
      </c>
      <c r="S833" s="148" t="s">
        <v>1176</v>
      </c>
      <c r="T833" s="149">
        <v>19</v>
      </c>
      <c r="U833" s="148" t="s">
        <v>591</v>
      </c>
      <c r="V833" s="150">
        <v>2065.06</v>
      </c>
      <c r="W833" s="151">
        <f t="shared" si="3"/>
        <v>8260.24</v>
      </c>
    </row>
    <row r="834" spans="1:23" ht="15" customHeight="1" x14ac:dyDescent="0.25">
      <c r="A834" s="148">
        <v>10388</v>
      </c>
      <c r="B834" s="148" t="s">
        <v>1412</v>
      </c>
      <c r="C834" s="143" t="s">
        <v>2504</v>
      </c>
      <c r="D834" s="143" t="s">
        <v>2504</v>
      </c>
      <c r="E834" s="143" t="s">
        <v>2504</v>
      </c>
      <c r="F834" s="143" t="s">
        <v>2504</v>
      </c>
      <c r="G834" s="143" t="s">
        <v>2504</v>
      </c>
      <c r="H834" s="143" t="s">
        <v>2504</v>
      </c>
      <c r="I834" s="143" t="s">
        <v>2504</v>
      </c>
      <c r="J834" s="143" t="s">
        <v>2504</v>
      </c>
      <c r="K834" s="143" t="s">
        <v>2504</v>
      </c>
      <c r="L834" s="143" t="s">
        <v>1412</v>
      </c>
      <c r="M834" s="143" t="s">
        <v>2504</v>
      </c>
      <c r="N834" s="143" t="s">
        <v>2504</v>
      </c>
      <c r="O834" s="143" t="s">
        <v>2504</v>
      </c>
      <c r="P834" s="143" t="s">
        <v>2504</v>
      </c>
      <c r="Q834" s="148" t="s">
        <v>1413</v>
      </c>
      <c r="R834" s="148" t="s">
        <v>1025</v>
      </c>
      <c r="S834" s="148" t="s">
        <v>1176</v>
      </c>
      <c r="T834" s="149">
        <v>19</v>
      </c>
      <c r="U834" s="148" t="s">
        <v>591</v>
      </c>
      <c r="V834" s="150">
        <v>2072.98</v>
      </c>
      <c r="W834" s="151">
        <f t="shared" si="3"/>
        <v>8291.92</v>
      </c>
    </row>
    <row r="835" spans="1:23" ht="15" customHeight="1" x14ac:dyDescent="0.25">
      <c r="A835" s="148">
        <v>10681</v>
      </c>
      <c r="B835" s="148" t="s">
        <v>1701</v>
      </c>
      <c r="C835" s="143" t="s">
        <v>2504</v>
      </c>
      <c r="D835" s="143" t="s">
        <v>2504</v>
      </c>
      <c r="E835" s="143" t="s">
        <v>2504</v>
      </c>
      <c r="F835" s="143" t="s">
        <v>2504</v>
      </c>
      <c r="G835" s="143" t="s">
        <v>2504</v>
      </c>
      <c r="H835" s="143" t="s">
        <v>2504</v>
      </c>
      <c r="I835" s="143" t="s">
        <v>2504</v>
      </c>
      <c r="J835" s="143" t="s">
        <v>2504</v>
      </c>
      <c r="K835" s="143" t="s">
        <v>2504</v>
      </c>
      <c r="L835" s="143" t="s">
        <v>1701</v>
      </c>
      <c r="M835" s="143" t="s">
        <v>2504</v>
      </c>
      <c r="N835" s="143" t="s">
        <v>2504</v>
      </c>
      <c r="O835" s="143" t="s">
        <v>2504</v>
      </c>
      <c r="P835" s="143" t="s">
        <v>2504</v>
      </c>
      <c r="Q835" s="148" t="s">
        <v>1702</v>
      </c>
      <c r="R835" s="148" t="s">
        <v>1025</v>
      </c>
      <c r="S835" s="148" t="s">
        <v>1176</v>
      </c>
      <c r="T835" s="149">
        <v>200</v>
      </c>
      <c r="U835" s="148" t="s">
        <v>591</v>
      </c>
      <c r="V835" s="150">
        <v>21122.36</v>
      </c>
      <c r="W835" s="151">
        <f t="shared" si="3"/>
        <v>84489.44</v>
      </c>
    </row>
    <row r="836" spans="1:23" ht="15" customHeight="1" x14ac:dyDescent="0.25">
      <c r="A836" s="148">
        <v>10682</v>
      </c>
      <c r="B836" s="148" t="s">
        <v>1703</v>
      </c>
      <c r="C836" s="143" t="s">
        <v>2504</v>
      </c>
      <c r="D836" s="143" t="s">
        <v>2504</v>
      </c>
      <c r="E836" s="143" t="s">
        <v>2504</v>
      </c>
      <c r="F836" s="143" t="s">
        <v>2504</v>
      </c>
      <c r="G836" s="143" t="s">
        <v>2504</v>
      </c>
      <c r="H836" s="143" t="s">
        <v>2504</v>
      </c>
      <c r="I836" s="143" t="s">
        <v>2504</v>
      </c>
      <c r="J836" s="143" t="s">
        <v>2504</v>
      </c>
      <c r="K836" s="143" t="s">
        <v>2504</v>
      </c>
      <c r="L836" s="143" t="s">
        <v>1703</v>
      </c>
      <c r="M836" s="143" t="s">
        <v>2504</v>
      </c>
      <c r="N836" s="143" t="s">
        <v>2504</v>
      </c>
      <c r="O836" s="143" t="s">
        <v>2504</v>
      </c>
      <c r="P836" s="143" t="s">
        <v>2504</v>
      </c>
      <c r="Q836" s="148" t="s">
        <v>1704</v>
      </c>
      <c r="R836" s="148" t="s">
        <v>1025</v>
      </c>
      <c r="S836" s="148" t="s">
        <v>1176</v>
      </c>
      <c r="T836" s="149">
        <v>200</v>
      </c>
      <c r="U836" s="148" t="s">
        <v>591</v>
      </c>
      <c r="V836" s="150">
        <v>21279.42</v>
      </c>
      <c r="W836" s="151">
        <f t="shared" si="3"/>
        <v>85117.68</v>
      </c>
    </row>
    <row r="837" spans="1:23" ht="15" customHeight="1" x14ac:dyDescent="0.25">
      <c r="A837" s="148">
        <v>10683</v>
      </c>
      <c r="B837" s="148" t="s">
        <v>1705</v>
      </c>
      <c r="C837" s="143" t="s">
        <v>2504</v>
      </c>
      <c r="D837" s="143" t="s">
        <v>2504</v>
      </c>
      <c r="E837" s="143" t="s">
        <v>2504</v>
      </c>
      <c r="F837" s="143" t="s">
        <v>2504</v>
      </c>
      <c r="G837" s="143" t="s">
        <v>2504</v>
      </c>
      <c r="H837" s="143" t="s">
        <v>2504</v>
      </c>
      <c r="I837" s="143" t="s">
        <v>2504</v>
      </c>
      <c r="J837" s="143" t="s">
        <v>2504</v>
      </c>
      <c r="K837" s="143" t="s">
        <v>2504</v>
      </c>
      <c r="L837" s="143" t="s">
        <v>1705</v>
      </c>
      <c r="M837" s="143" t="s">
        <v>2504</v>
      </c>
      <c r="N837" s="143" t="s">
        <v>2504</v>
      </c>
      <c r="O837" s="143" t="s">
        <v>2504</v>
      </c>
      <c r="P837" s="143" t="s">
        <v>2504</v>
      </c>
      <c r="Q837" s="148" t="s">
        <v>1706</v>
      </c>
      <c r="R837" s="148" t="s">
        <v>1025</v>
      </c>
      <c r="S837" s="148" t="s">
        <v>1176</v>
      </c>
      <c r="T837" s="149">
        <v>200</v>
      </c>
      <c r="U837" s="148" t="s">
        <v>591</v>
      </c>
      <c r="V837" s="150">
        <v>21333.9</v>
      </c>
      <c r="W837" s="151">
        <f t="shared" si="3"/>
        <v>85335.6</v>
      </c>
    </row>
    <row r="838" spans="1:23" ht="15" customHeight="1" x14ac:dyDescent="0.25">
      <c r="A838" s="148">
        <v>10684</v>
      </c>
      <c r="B838" s="148" t="s">
        <v>1707</v>
      </c>
      <c r="C838" s="143" t="s">
        <v>2504</v>
      </c>
      <c r="D838" s="143" t="s">
        <v>2504</v>
      </c>
      <c r="E838" s="143" t="s">
        <v>2504</v>
      </c>
      <c r="F838" s="143" t="s">
        <v>2504</v>
      </c>
      <c r="G838" s="143" t="s">
        <v>2504</v>
      </c>
      <c r="H838" s="143" t="s">
        <v>2504</v>
      </c>
      <c r="I838" s="143" t="s">
        <v>2504</v>
      </c>
      <c r="J838" s="143" t="s">
        <v>2504</v>
      </c>
      <c r="K838" s="143" t="s">
        <v>2504</v>
      </c>
      <c r="L838" s="143" t="s">
        <v>1707</v>
      </c>
      <c r="M838" s="143" t="s">
        <v>2504</v>
      </c>
      <c r="N838" s="143" t="s">
        <v>2504</v>
      </c>
      <c r="O838" s="143" t="s">
        <v>2504</v>
      </c>
      <c r="P838" s="143" t="s">
        <v>2504</v>
      </c>
      <c r="Q838" s="148" t="s">
        <v>1708</v>
      </c>
      <c r="R838" s="148" t="s">
        <v>1025</v>
      </c>
      <c r="S838" s="148" t="s">
        <v>1176</v>
      </c>
      <c r="T838" s="149">
        <v>200</v>
      </c>
      <c r="U838" s="148" t="s">
        <v>591</v>
      </c>
      <c r="V838" s="150">
        <v>21346.6</v>
      </c>
      <c r="W838" s="151">
        <f t="shared" si="3"/>
        <v>85386.4</v>
      </c>
    </row>
    <row r="839" spans="1:23" ht="15" customHeight="1" x14ac:dyDescent="0.25">
      <c r="A839" s="148">
        <v>10685</v>
      </c>
      <c r="B839" s="148" t="s">
        <v>1709</v>
      </c>
      <c r="C839" s="143" t="s">
        <v>2504</v>
      </c>
      <c r="D839" s="143" t="s">
        <v>2504</v>
      </c>
      <c r="E839" s="143" t="s">
        <v>2504</v>
      </c>
      <c r="F839" s="143" t="s">
        <v>2504</v>
      </c>
      <c r="G839" s="143" t="s">
        <v>2504</v>
      </c>
      <c r="H839" s="143" t="s">
        <v>2504</v>
      </c>
      <c r="I839" s="143" t="s">
        <v>2504</v>
      </c>
      <c r="J839" s="143" t="s">
        <v>2504</v>
      </c>
      <c r="K839" s="143" t="s">
        <v>2504</v>
      </c>
      <c r="L839" s="143" t="s">
        <v>1709</v>
      </c>
      <c r="M839" s="143" t="s">
        <v>2504</v>
      </c>
      <c r="N839" s="143" t="s">
        <v>2504</v>
      </c>
      <c r="O839" s="143" t="s">
        <v>2504</v>
      </c>
      <c r="P839" s="143" t="s">
        <v>2504</v>
      </c>
      <c r="Q839" s="148" t="s">
        <v>1710</v>
      </c>
      <c r="R839" s="148" t="s">
        <v>1025</v>
      </c>
      <c r="S839" s="148" t="s">
        <v>1176</v>
      </c>
      <c r="T839" s="149">
        <v>200</v>
      </c>
      <c r="U839" s="148" t="s">
        <v>591</v>
      </c>
      <c r="V839" s="150">
        <v>21400.98</v>
      </c>
      <c r="W839" s="151">
        <f t="shared" si="3"/>
        <v>85603.92</v>
      </c>
    </row>
    <row r="840" spans="1:23" ht="15" customHeight="1" x14ac:dyDescent="0.25">
      <c r="A840" s="148">
        <v>10686</v>
      </c>
      <c r="B840" s="148" t="s">
        <v>1711</v>
      </c>
      <c r="C840" s="143" t="s">
        <v>2504</v>
      </c>
      <c r="D840" s="143" t="s">
        <v>2504</v>
      </c>
      <c r="E840" s="143" t="s">
        <v>2504</v>
      </c>
      <c r="F840" s="143" t="s">
        <v>2504</v>
      </c>
      <c r="G840" s="143" t="s">
        <v>2504</v>
      </c>
      <c r="H840" s="143" t="s">
        <v>2504</v>
      </c>
      <c r="I840" s="143" t="s">
        <v>2504</v>
      </c>
      <c r="J840" s="143" t="s">
        <v>2504</v>
      </c>
      <c r="K840" s="143" t="s">
        <v>2504</v>
      </c>
      <c r="L840" s="143" t="s">
        <v>1711</v>
      </c>
      <c r="M840" s="143" t="s">
        <v>2504</v>
      </c>
      <c r="N840" s="143" t="s">
        <v>2504</v>
      </c>
      <c r="O840" s="143" t="s">
        <v>2504</v>
      </c>
      <c r="P840" s="143" t="s">
        <v>2504</v>
      </c>
      <c r="Q840" s="148" t="s">
        <v>1712</v>
      </c>
      <c r="R840" s="148" t="s">
        <v>1025</v>
      </c>
      <c r="S840" s="148" t="s">
        <v>1176</v>
      </c>
      <c r="T840" s="149">
        <v>200</v>
      </c>
      <c r="U840" s="148" t="s">
        <v>591</v>
      </c>
      <c r="V840" s="150">
        <v>21345.79</v>
      </c>
      <c r="W840" s="151">
        <f t="shared" si="3"/>
        <v>85383.16</v>
      </c>
    </row>
    <row r="841" spans="1:23" ht="15" customHeight="1" x14ac:dyDescent="0.25">
      <c r="A841" s="148">
        <v>10687</v>
      </c>
      <c r="B841" s="148" t="s">
        <v>1713</v>
      </c>
      <c r="C841" s="143" t="s">
        <v>2504</v>
      </c>
      <c r="D841" s="143" t="s">
        <v>2504</v>
      </c>
      <c r="E841" s="143" t="s">
        <v>2504</v>
      </c>
      <c r="F841" s="143" t="s">
        <v>2504</v>
      </c>
      <c r="G841" s="143" t="s">
        <v>2504</v>
      </c>
      <c r="H841" s="143" t="s">
        <v>2504</v>
      </c>
      <c r="I841" s="143" t="s">
        <v>2504</v>
      </c>
      <c r="J841" s="143" t="s">
        <v>2504</v>
      </c>
      <c r="K841" s="143" t="s">
        <v>2504</v>
      </c>
      <c r="L841" s="143" t="s">
        <v>1713</v>
      </c>
      <c r="M841" s="143" t="s">
        <v>2504</v>
      </c>
      <c r="N841" s="143" t="s">
        <v>2504</v>
      </c>
      <c r="O841" s="143" t="s">
        <v>2504</v>
      </c>
      <c r="P841" s="143" t="s">
        <v>2504</v>
      </c>
      <c r="Q841" s="148" t="s">
        <v>1714</v>
      </c>
      <c r="R841" s="148" t="s">
        <v>1025</v>
      </c>
      <c r="S841" s="148" t="s">
        <v>1176</v>
      </c>
      <c r="T841" s="149">
        <v>200</v>
      </c>
      <c r="U841" s="148" t="s">
        <v>591</v>
      </c>
      <c r="V841" s="150">
        <v>21648.5</v>
      </c>
      <c r="W841" s="151">
        <f t="shared" si="3"/>
        <v>86594</v>
      </c>
    </row>
    <row r="842" spans="1:23" ht="15" customHeight="1" x14ac:dyDescent="0.25">
      <c r="A842" s="148">
        <v>10688</v>
      </c>
      <c r="B842" s="148" t="s">
        <v>1715</v>
      </c>
      <c r="C842" s="143" t="s">
        <v>2504</v>
      </c>
      <c r="D842" s="143" t="s">
        <v>2504</v>
      </c>
      <c r="E842" s="143" t="s">
        <v>2504</v>
      </c>
      <c r="F842" s="143" t="s">
        <v>2504</v>
      </c>
      <c r="G842" s="143" t="s">
        <v>2504</v>
      </c>
      <c r="H842" s="143" t="s">
        <v>2504</v>
      </c>
      <c r="I842" s="143" t="s">
        <v>2504</v>
      </c>
      <c r="J842" s="143" t="s">
        <v>2504</v>
      </c>
      <c r="K842" s="143" t="s">
        <v>2504</v>
      </c>
      <c r="L842" s="143" t="s">
        <v>1715</v>
      </c>
      <c r="M842" s="143" t="s">
        <v>2504</v>
      </c>
      <c r="N842" s="143" t="s">
        <v>2504</v>
      </c>
      <c r="O842" s="143" t="s">
        <v>2504</v>
      </c>
      <c r="P842" s="143" t="s">
        <v>2504</v>
      </c>
      <c r="Q842" s="148" t="s">
        <v>1716</v>
      </c>
      <c r="R842" s="148" t="s">
        <v>1025</v>
      </c>
      <c r="S842" s="148" t="s">
        <v>1176</v>
      </c>
      <c r="T842" s="149">
        <v>200</v>
      </c>
      <c r="U842" s="148" t="s">
        <v>591</v>
      </c>
      <c r="V842" s="150">
        <v>21725.279999999999</v>
      </c>
      <c r="W842" s="151">
        <f t="shared" si="3"/>
        <v>86901.119999999995</v>
      </c>
    </row>
    <row r="843" spans="1:23" ht="15" customHeight="1" x14ac:dyDescent="0.25">
      <c r="A843" s="148">
        <v>10326</v>
      </c>
      <c r="B843" s="148" t="s">
        <v>1288</v>
      </c>
      <c r="C843" s="143" t="s">
        <v>2504</v>
      </c>
      <c r="D843" s="143" t="s">
        <v>2504</v>
      </c>
      <c r="E843" s="143" t="s">
        <v>2504</v>
      </c>
      <c r="F843" s="143" t="s">
        <v>2504</v>
      </c>
      <c r="G843" s="143" t="s">
        <v>2504</v>
      </c>
      <c r="H843" s="143" t="s">
        <v>2504</v>
      </c>
      <c r="I843" s="143" t="s">
        <v>2504</v>
      </c>
      <c r="J843" s="143" t="s">
        <v>2504</v>
      </c>
      <c r="K843" s="143" t="s">
        <v>2504</v>
      </c>
      <c r="L843" s="143" t="s">
        <v>1288</v>
      </c>
      <c r="M843" s="143" t="s">
        <v>2504</v>
      </c>
      <c r="N843" s="143" t="s">
        <v>2504</v>
      </c>
      <c r="O843" s="143" t="s">
        <v>2504</v>
      </c>
      <c r="P843" s="143" t="s">
        <v>2504</v>
      </c>
      <c r="Q843" s="148" t="s">
        <v>1289</v>
      </c>
      <c r="R843" s="148" t="s">
        <v>1025</v>
      </c>
      <c r="S843" s="148" t="s">
        <v>1147</v>
      </c>
      <c r="T843" s="149">
        <v>19</v>
      </c>
      <c r="U843" s="148" t="s">
        <v>591</v>
      </c>
      <c r="V843" s="150">
        <v>1969.75</v>
      </c>
      <c r="W843" s="151">
        <f t="shared" si="3"/>
        <v>7879</v>
      </c>
    </row>
    <row r="844" spans="1:23" ht="15" customHeight="1" x14ac:dyDescent="0.25">
      <c r="A844" s="148">
        <v>10327</v>
      </c>
      <c r="B844" s="148" t="s">
        <v>1290</v>
      </c>
      <c r="C844" s="143" t="s">
        <v>2504</v>
      </c>
      <c r="D844" s="143" t="s">
        <v>2504</v>
      </c>
      <c r="E844" s="143" t="s">
        <v>2504</v>
      </c>
      <c r="F844" s="143" t="s">
        <v>2504</v>
      </c>
      <c r="G844" s="143" t="s">
        <v>2504</v>
      </c>
      <c r="H844" s="143" t="s">
        <v>2504</v>
      </c>
      <c r="I844" s="143" t="s">
        <v>2504</v>
      </c>
      <c r="J844" s="143" t="s">
        <v>2504</v>
      </c>
      <c r="K844" s="143" t="s">
        <v>2504</v>
      </c>
      <c r="L844" s="143" t="s">
        <v>1290</v>
      </c>
      <c r="M844" s="143" t="s">
        <v>2504</v>
      </c>
      <c r="N844" s="143" t="s">
        <v>2504</v>
      </c>
      <c r="O844" s="143" t="s">
        <v>2504</v>
      </c>
      <c r="P844" s="143" t="s">
        <v>2504</v>
      </c>
      <c r="Q844" s="148" t="s">
        <v>1291</v>
      </c>
      <c r="R844" s="148" t="s">
        <v>1025</v>
      </c>
      <c r="S844" s="148" t="s">
        <v>1147</v>
      </c>
      <c r="T844" s="149">
        <v>19</v>
      </c>
      <c r="U844" s="148" t="s">
        <v>591</v>
      </c>
      <c r="V844" s="150">
        <v>2037.81</v>
      </c>
      <c r="W844" s="151">
        <f t="shared" ref="W844:W849" si="4">V844*6</f>
        <v>12226.86</v>
      </c>
    </row>
    <row r="845" spans="1:23" ht="15" customHeight="1" x14ac:dyDescent="0.25">
      <c r="A845" s="148">
        <v>10328</v>
      </c>
      <c r="B845" s="148" t="s">
        <v>1292</v>
      </c>
      <c r="C845" s="143" t="s">
        <v>2504</v>
      </c>
      <c r="D845" s="143" t="s">
        <v>2504</v>
      </c>
      <c r="E845" s="143" t="s">
        <v>2504</v>
      </c>
      <c r="F845" s="143" t="s">
        <v>2504</v>
      </c>
      <c r="G845" s="143" t="s">
        <v>2504</v>
      </c>
      <c r="H845" s="143" t="s">
        <v>2504</v>
      </c>
      <c r="I845" s="143" t="s">
        <v>2504</v>
      </c>
      <c r="J845" s="143" t="s">
        <v>2504</v>
      </c>
      <c r="K845" s="143" t="s">
        <v>2504</v>
      </c>
      <c r="L845" s="143" t="s">
        <v>1292</v>
      </c>
      <c r="M845" s="143" t="s">
        <v>2504</v>
      </c>
      <c r="N845" s="143" t="s">
        <v>2504</v>
      </c>
      <c r="O845" s="143" t="s">
        <v>2504</v>
      </c>
      <c r="P845" s="143" t="s">
        <v>2504</v>
      </c>
      <c r="Q845" s="148" t="s">
        <v>1293</v>
      </c>
      <c r="R845" s="148" t="s">
        <v>1025</v>
      </c>
      <c r="S845" s="148" t="s">
        <v>1147</v>
      </c>
      <c r="T845" s="149">
        <v>19</v>
      </c>
      <c r="U845" s="148" t="s">
        <v>591</v>
      </c>
      <c r="V845" s="150">
        <v>2051.9299999999998</v>
      </c>
      <c r="W845" s="151">
        <f t="shared" si="4"/>
        <v>12311.579999999998</v>
      </c>
    </row>
    <row r="846" spans="1:23" ht="15" customHeight="1" x14ac:dyDescent="0.25">
      <c r="A846" s="148">
        <v>10329</v>
      </c>
      <c r="B846" s="148" t="s">
        <v>1294</v>
      </c>
      <c r="C846" s="143" t="s">
        <v>2504</v>
      </c>
      <c r="D846" s="143" t="s">
        <v>2504</v>
      </c>
      <c r="E846" s="143" t="s">
        <v>2504</v>
      </c>
      <c r="F846" s="143" t="s">
        <v>2504</v>
      </c>
      <c r="G846" s="143" t="s">
        <v>2504</v>
      </c>
      <c r="H846" s="143" t="s">
        <v>2504</v>
      </c>
      <c r="I846" s="143" t="s">
        <v>2504</v>
      </c>
      <c r="J846" s="143" t="s">
        <v>2504</v>
      </c>
      <c r="K846" s="143" t="s">
        <v>2504</v>
      </c>
      <c r="L846" s="143" t="s">
        <v>1294</v>
      </c>
      <c r="M846" s="143" t="s">
        <v>2504</v>
      </c>
      <c r="N846" s="143" t="s">
        <v>2504</v>
      </c>
      <c r="O846" s="143" t="s">
        <v>2504</v>
      </c>
      <c r="P846" s="143" t="s">
        <v>2504</v>
      </c>
      <c r="Q846" s="148" t="s">
        <v>1295</v>
      </c>
      <c r="R846" s="148" t="s">
        <v>1025</v>
      </c>
      <c r="S846" s="148" t="s">
        <v>1147</v>
      </c>
      <c r="T846" s="149">
        <v>19</v>
      </c>
      <c r="U846" s="148" t="s">
        <v>591</v>
      </c>
      <c r="V846" s="150">
        <v>2068.5100000000002</v>
      </c>
      <c r="W846" s="151">
        <f t="shared" si="4"/>
        <v>12411.060000000001</v>
      </c>
    </row>
    <row r="847" spans="1:23" ht="15" customHeight="1" x14ac:dyDescent="0.25">
      <c r="A847" s="148">
        <v>10330</v>
      </c>
      <c r="B847" s="148" t="s">
        <v>1296</v>
      </c>
      <c r="C847" s="143" t="s">
        <v>2504</v>
      </c>
      <c r="D847" s="143" t="s">
        <v>2504</v>
      </c>
      <c r="E847" s="143" t="s">
        <v>2504</v>
      </c>
      <c r="F847" s="143" t="s">
        <v>2504</v>
      </c>
      <c r="G847" s="143" t="s">
        <v>2504</v>
      </c>
      <c r="H847" s="143" t="s">
        <v>2504</v>
      </c>
      <c r="I847" s="143" t="s">
        <v>2504</v>
      </c>
      <c r="J847" s="143" t="s">
        <v>2504</v>
      </c>
      <c r="K847" s="143" t="s">
        <v>2504</v>
      </c>
      <c r="L847" s="143" t="s">
        <v>1296</v>
      </c>
      <c r="M847" s="143" t="s">
        <v>2504</v>
      </c>
      <c r="N847" s="143" t="s">
        <v>2504</v>
      </c>
      <c r="O847" s="143" t="s">
        <v>2504</v>
      </c>
      <c r="P847" s="143" t="s">
        <v>2504</v>
      </c>
      <c r="Q847" s="148" t="s">
        <v>1297</v>
      </c>
      <c r="R847" s="148" t="s">
        <v>1025</v>
      </c>
      <c r="S847" s="148" t="s">
        <v>1147</v>
      </c>
      <c r="T847" s="149">
        <v>19</v>
      </c>
      <c r="U847" s="148" t="s">
        <v>591</v>
      </c>
      <c r="V847" s="150">
        <v>2066.7600000000002</v>
      </c>
      <c r="W847" s="151">
        <f t="shared" si="4"/>
        <v>12400.560000000001</v>
      </c>
    </row>
    <row r="848" spans="1:23" ht="15" customHeight="1" x14ac:dyDescent="0.25">
      <c r="A848" s="148">
        <v>10331</v>
      </c>
      <c r="B848" s="148" t="s">
        <v>1298</v>
      </c>
      <c r="C848" s="143" t="s">
        <v>2504</v>
      </c>
      <c r="D848" s="143" t="s">
        <v>2504</v>
      </c>
      <c r="E848" s="143" t="s">
        <v>2504</v>
      </c>
      <c r="F848" s="143" t="s">
        <v>2504</v>
      </c>
      <c r="G848" s="143" t="s">
        <v>2504</v>
      </c>
      <c r="H848" s="143" t="s">
        <v>2504</v>
      </c>
      <c r="I848" s="143" t="s">
        <v>2504</v>
      </c>
      <c r="J848" s="143" t="s">
        <v>2504</v>
      </c>
      <c r="K848" s="143" t="s">
        <v>2504</v>
      </c>
      <c r="L848" s="143" t="s">
        <v>1298</v>
      </c>
      <c r="M848" s="143" t="s">
        <v>2504</v>
      </c>
      <c r="N848" s="143" t="s">
        <v>2504</v>
      </c>
      <c r="O848" s="143" t="s">
        <v>2504</v>
      </c>
      <c r="P848" s="143" t="s">
        <v>2504</v>
      </c>
      <c r="Q848" s="148" t="s">
        <v>1299</v>
      </c>
      <c r="R848" s="148" t="s">
        <v>1025</v>
      </c>
      <c r="S848" s="148" t="s">
        <v>1147</v>
      </c>
      <c r="T848" s="149">
        <v>19</v>
      </c>
      <c r="U848" s="148" t="s">
        <v>591</v>
      </c>
      <c r="V848" s="150">
        <v>2071.3000000000002</v>
      </c>
      <c r="W848" s="151">
        <f t="shared" si="4"/>
        <v>12427.800000000001</v>
      </c>
    </row>
    <row r="849" spans="1:23" ht="15" customHeight="1" x14ac:dyDescent="0.25">
      <c r="A849" s="148">
        <v>10332</v>
      </c>
      <c r="B849" s="148" t="s">
        <v>1300</v>
      </c>
      <c r="C849" s="143" t="s">
        <v>2504</v>
      </c>
      <c r="D849" s="143" t="s">
        <v>2504</v>
      </c>
      <c r="E849" s="143" t="s">
        <v>2504</v>
      </c>
      <c r="F849" s="143" t="s">
        <v>2504</v>
      </c>
      <c r="G849" s="143" t="s">
        <v>2504</v>
      </c>
      <c r="H849" s="143" t="s">
        <v>2504</v>
      </c>
      <c r="I849" s="143" t="s">
        <v>2504</v>
      </c>
      <c r="J849" s="143" t="s">
        <v>2504</v>
      </c>
      <c r="K849" s="143" t="s">
        <v>2504</v>
      </c>
      <c r="L849" s="143" t="s">
        <v>1300</v>
      </c>
      <c r="M849" s="143" t="s">
        <v>2504</v>
      </c>
      <c r="N849" s="143" t="s">
        <v>2504</v>
      </c>
      <c r="O849" s="143" t="s">
        <v>2504</v>
      </c>
      <c r="P849" s="143" t="s">
        <v>2504</v>
      </c>
      <c r="Q849" s="148" t="s">
        <v>1301</v>
      </c>
      <c r="R849" s="148" t="s">
        <v>1025</v>
      </c>
      <c r="S849" s="148" t="s">
        <v>1147</v>
      </c>
      <c r="T849" s="149">
        <v>19</v>
      </c>
      <c r="U849" s="148" t="s">
        <v>591</v>
      </c>
      <c r="V849" s="150">
        <v>2067.7399999999998</v>
      </c>
      <c r="W849" s="151">
        <f t="shared" si="4"/>
        <v>12406.439999999999</v>
      </c>
    </row>
    <row r="850" spans="1:23" ht="15" customHeight="1" x14ac:dyDescent="0.25">
      <c r="A850" s="148">
        <v>10333</v>
      </c>
      <c r="B850" s="148" t="s">
        <v>1302</v>
      </c>
      <c r="C850" s="143" t="s">
        <v>2504</v>
      </c>
      <c r="D850" s="143" t="s">
        <v>2504</v>
      </c>
      <c r="E850" s="143" t="s">
        <v>2504</v>
      </c>
      <c r="F850" s="143" t="s">
        <v>2504</v>
      </c>
      <c r="G850" s="143" t="s">
        <v>2504</v>
      </c>
      <c r="H850" s="143" t="s">
        <v>2504</v>
      </c>
      <c r="I850" s="143" t="s">
        <v>2504</v>
      </c>
      <c r="J850" s="143" t="s">
        <v>2504</v>
      </c>
      <c r="K850" s="143" t="s">
        <v>2504</v>
      </c>
      <c r="L850" s="143" t="s">
        <v>1302</v>
      </c>
      <c r="M850" s="143" t="s">
        <v>2504</v>
      </c>
      <c r="N850" s="143" t="s">
        <v>2504</v>
      </c>
      <c r="O850" s="143" t="s">
        <v>2504</v>
      </c>
      <c r="P850" s="143" t="s">
        <v>2504</v>
      </c>
      <c r="Q850" s="148" t="s">
        <v>1303</v>
      </c>
      <c r="R850" s="148" t="s">
        <v>1025</v>
      </c>
      <c r="S850" s="148" t="s">
        <v>1147</v>
      </c>
      <c r="T850" s="149">
        <v>19</v>
      </c>
      <c r="U850" s="148" t="s">
        <v>591</v>
      </c>
      <c r="V850" s="150">
        <v>2111.61</v>
      </c>
      <c r="W850" s="151">
        <v>1338.47</v>
      </c>
    </row>
    <row r="851" spans="1:23" ht="15" customHeight="1" x14ac:dyDescent="0.25">
      <c r="A851" s="148">
        <v>10334</v>
      </c>
      <c r="B851" s="148" t="s">
        <v>1304</v>
      </c>
      <c r="C851" s="143" t="s">
        <v>2504</v>
      </c>
      <c r="D851" s="143" t="s">
        <v>2504</v>
      </c>
      <c r="E851" s="143" t="s">
        <v>2504</v>
      </c>
      <c r="F851" s="143" t="s">
        <v>2504</v>
      </c>
      <c r="G851" s="143" t="s">
        <v>2504</v>
      </c>
      <c r="H851" s="143" t="s">
        <v>2504</v>
      </c>
      <c r="I851" s="143" t="s">
        <v>2504</v>
      </c>
      <c r="J851" s="143" t="s">
        <v>2504</v>
      </c>
      <c r="K851" s="143" t="s">
        <v>2504</v>
      </c>
      <c r="L851" s="143" t="s">
        <v>1304</v>
      </c>
      <c r="M851" s="143" t="s">
        <v>2504</v>
      </c>
      <c r="N851" s="143" t="s">
        <v>2504</v>
      </c>
      <c r="O851" s="143" t="s">
        <v>2504</v>
      </c>
      <c r="P851" s="143" t="s">
        <v>2504</v>
      </c>
      <c r="Q851" s="148" t="s">
        <v>1305</v>
      </c>
      <c r="R851" s="148" t="s">
        <v>1025</v>
      </c>
      <c r="S851" s="148" t="s">
        <v>1147</v>
      </c>
      <c r="T851" s="149">
        <v>19</v>
      </c>
      <c r="U851" s="148" t="s">
        <v>591</v>
      </c>
      <c r="V851" s="150">
        <v>2109.52</v>
      </c>
      <c r="W851" s="151">
        <v>1307.95</v>
      </c>
    </row>
    <row r="852" spans="1:23" ht="15" customHeight="1" x14ac:dyDescent="0.25">
      <c r="A852" s="148">
        <v>10626</v>
      </c>
      <c r="B852" s="148" t="s">
        <v>1611</v>
      </c>
      <c r="C852" s="143" t="s">
        <v>2504</v>
      </c>
      <c r="D852" s="143" t="s">
        <v>2504</v>
      </c>
      <c r="E852" s="143" t="s">
        <v>2504</v>
      </c>
      <c r="F852" s="143" t="s">
        <v>2504</v>
      </c>
      <c r="G852" s="143" t="s">
        <v>2504</v>
      </c>
      <c r="H852" s="143" t="s">
        <v>2504</v>
      </c>
      <c r="I852" s="143" t="s">
        <v>2504</v>
      </c>
      <c r="J852" s="143" t="s">
        <v>2504</v>
      </c>
      <c r="K852" s="143" t="s">
        <v>2504</v>
      </c>
      <c r="L852" s="143" t="s">
        <v>1611</v>
      </c>
      <c r="M852" s="143" t="s">
        <v>2504</v>
      </c>
      <c r="N852" s="143" t="s">
        <v>2504</v>
      </c>
      <c r="O852" s="143" t="s">
        <v>2504</v>
      </c>
      <c r="P852" s="143" t="s">
        <v>2504</v>
      </c>
      <c r="Q852" s="148" t="s">
        <v>1612</v>
      </c>
      <c r="R852" s="148" t="s">
        <v>1025</v>
      </c>
      <c r="S852" s="148" t="s">
        <v>1147</v>
      </c>
      <c r="T852" s="149">
        <v>200</v>
      </c>
      <c r="U852" s="148" t="s">
        <v>591</v>
      </c>
      <c r="V852" s="150">
        <v>20647.939999999999</v>
      </c>
      <c r="W852" s="151">
        <v>1422.74</v>
      </c>
    </row>
    <row r="853" spans="1:23" ht="15" customHeight="1" x14ac:dyDescent="0.25">
      <c r="A853" s="148">
        <v>10627</v>
      </c>
      <c r="B853" s="148" t="s">
        <v>1613</v>
      </c>
      <c r="C853" s="143" t="s">
        <v>2504</v>
      </c>
      <c r="D853" s="143" t="s">
        <v>2504</v>
      </c>
      <c r="E853" s="143" t="s">
        <v>2504</v>
      </c>
      <c r="F853" s="143" t="s">
        <v>2504</v>
      </c>
      <c r="G853" s="143" t="s">
        <v>2504</v>
      </c>
      <c r="H853" s="143" t="s">
        <v>2504</v>
      </c>
      <c r="I853" s="143" t="s">
        <v>2504</v>
      </c>
      <c r="J853" s="143" t="s">
        <v>2504</v>
      </c>
      <c r="K853" s="143" t="s">
        <v>2504</v>
      </c>
      <c r="L853" s="143" t="s">
        <v>1613</v>
      </c>
      <c r="M853" s="143" t="s">
        <v>2504</v>
      </c>
      <c r="N853" s="143" t="s">
        <v>2504</v>
      </c>
      <c r="O853" s="143" t="s">
        <v>2504</v>
      </c>
      <c r="P853" s="143" t="s">
        <v>2504</v>
      </c>
      <c r="Q853" s="148" t="s">
        <v>1614</v>
      </c>
      <c r="R853" s="148" t="s">
        <v>1025</v>
      </c>
      <c r="S853" s="148" t="s">
        <v>1147</v>
      </c>
      <c r="T853" s="149">
        <v>200</v>
      </c>
      <c r="U853" s="148" t="s">
        <v>591</v>
      </c>
      <c r="V853" s="150">
        <v>21359.08</v>
      </c>
      <c r="W853" s="151">
        <v>1049.8</v>
      </c>
    </row>
    <row r="854" spans="1:23" ht="15" customHeight="1" x14ac:dyDescent="0.25">
      <c r="A854" s="148">
        <v>10628</v>
      </c>
      <c r="B854" s="148" t="s">
        <v>1615</v>
      </c>
      <c r="C854" s="143" t="s">
        <v>2504</v>
      </c>
      <c r="D854" s="143" t="s">
        <v>2504</v>
      </c>
      <c r="E854" s="143" t="s">
        <v>2504</v>
      </c>
      <c r="F854" s="143" t="s">
        <v>2504</v>
      </c>
      <c r="G854" s="143" t="s">
        <v>2504</v>
      </c>
      <c r="H854" s="143" t="s">
        <v>2504</v>
      </c>
      <c r="I854" s="143" t="s">
        <v>2504</v>
      </c>
      <c r="J854" s="143" t="s">
        <v>2504</v>
      </c>
      <c r="K854" s="143" t="s">
        <v>2504</v>
      </c>
      <c r="L854" s="143" t="s">
        <v>1615</v>
      </c>
      <c r="M854" s="143" t="s">
        <v>2504</v>
      </c>
      <c r="N854" s="143" t="s">
        <v>2504</v>
      </c>
      <c r="O854" s="143" t="s">
        <v>2504</v>
      </c>
      <c r="P854" s="143" t="s">
        <v>2504</v>
      </c>
      <c r="Q854" s="148" t="s">
        <v>1616</v>
      </c>
      <c r="R854" s="148" t="s">
        <v>1025</v>
      </c>
      <c r="S854" s="148" t="s">
        <v>1147</v>
      </c>
      <c r="T854" s="149">
        <v>200</v>
      </c>
      <c r="U854" s="148" t="s">
        <v>591</v>
      </c>
      <c r="V854" s="150">
        <v>21513.06</v>
      </c>
      <c r="W854" s="151">
        <f>V854*6</f>
        <v>129078.36000000002</v>
      </c>
    </row>
    <row r="855" spans="1:23" ht="15" customHeight="1" x14ac:dyDescent="0.25">
      <c r="A855" s="148">
        <v>10629</v>
      </c>
      <c r="B855" s="148" t="s">
        <v>1617</v>
      </c>
      <c r="C855" s="143" t="s">
        <v>2504</v>
      </c>
      <c r="D855" s="143" t="s">
        <v>2504</v>
      </c>
      <c r="E855" s="143" t="s">
        <v>2504</v>
      </c>
      <c r="F855" s="143" t="s">
        <v>2504</v>
      </c>
      <c r="G855" s="143" t="s">
        <v>2504</v>
      </c>
      <c r="H855" s="143" t="s">
        <v>2504</v>
      </c>
      <c r="I855" s="143" t="s">
        <v>2504</v>
      </c>
      <c r="J855" s="143" t="s">
        <v>2504</v>
      </c>
      <c r="K855" s="143" t="s">
        <v>2504</v>
      </c>
      <c r="L855" s="143" t="s">
        <v>1617</v>
      </c>
      <c r="M855" s="143" t="s">
        <v>2504</v>
      </c>
      <c r="N855" s="143" t="s">
        <v>2504</v>
      </c>
      <c r="O855" s="143" t="s">
        <v>2504</v>
      </c>
      <c r="P855" s="143" t="s">
        <v>2504</v>
      </c>
      <c r="Q855" s="148" t="s">
        <v>1618</v>
      </c>
      <c r="R855" s="148" t="s">
        <v>1025</v>
      </c>
      <c r="S855" s="148" t="s">
        <v>1147</v>
      </c>
      <c r="T855" s="149">
        <v>200</v>
      </c>
      <c r="U855" s="148" t="s">
        <v>591</v>
      </c>
      <c r="V855" s="150">
        <v>21687.59</v>
      </c>
      <c r="W855" s="151">
        <v>608.64</v>
      </c>
    </row>
    <row r="856" spans="1:23" ht="15" customHeight="1" x14ac:dyDescent="0.25">
      <c r="A856" s="148">
        <v>10630</v>
      </c>
      <c r="B856" s="148" t="s">
        <v>1619</v>
      </c>
      <c r="C856" s="143" t="s">
        <v>2504</v>
      </c>
      <c r="D856" s="143" t="s">
        <v>2504</v>
      </c>
      <c r="E856" s="143" t="s">
        <v>2504</v>
      </c>
      <c r="F856" s="143" t="s">
        <v>2504</v>
      </c>
      <c r="G856" s="143" t="s">
        <v>2504</v>
      </c>
      <c r="H856" s="143" t="s">
        <v>2504</v>
      </c>
      <c r="I856" s="143" t="s">
        <v>2504</v>
      </c>
      <c r="J856" s="143" t="s">
        <v>2504</v>
      </c>
      <c r="K856" s="143" t="s">
        <v>2504</v>
      </c>
      <c r="L856" s="143" t="s">
        <v>1619</v>
      </c>
      <c r="M856" s="143" t="s">
        <v>2504</v>
      </c>
      <c r="N856" s="143" t="s">
        <v>2504</v>
      </c>
      <c r="O856" s="143" t="s">
        <v>2504</v>
      </c>
      <c r="P856" s="143" t="s">
        <v>2504</v>
      </c>
      <c r="Q856" s="148" t="s">
        <v>1620</v>
      </c>
      <c r="R856" s="148" t="s">
        <v>1025</v>
      </c>
      <c r="S856" s="148" t="s">
        <v>1147</v>
      </c>
      <c r="T856" s="149">
        <v>200</v>
      </c>
      <c r="U856" s="148" t="s">
        <v>591</v>
      </c>
      <c r="V856" s="150">
        <v>21669.05</v>
      </c>
      <c r="W856" s="151">
        <v>435.09</v>
      </c>
    </row>
    <row r="857" spans="1:23" ht="15" customHeight="1" x14ac:dyDescent="0.25">
      <c r="A857" s="148">
        <v>10631</v>
      </c>
      <c r="B857" s="148" t="s">
        <v>1621</v>
      </c>
      <c r="C857" s="143" t="s">
        <v>2504</v>
      </c>
      <c r="D857" s="143" t="s">
        <v>2504</v>
      </c>
      <c r="E857" s="143" t="s">
        <v>2504</v>
      </c>
      <c r="F857" s="143" t="s">
        <v>2504</v>
      </c>
      <c r="G857" s="143" t="s">
        <v>2504</v>
      </c>
      <c r="H857" s="143" t="s">
        <v>2504</v>
      </c>
      <c r="I857" s="143" t="s">
        <v>2504</v>
      </c>
      <c r="J857" s="143" t="s">
        <v>2504</v>
      </c>
      <c r="K857" s="143" t="s">
        <v>2504</v>
      </c>
      <c r="L857" s="143" t="s">
        <v>1621</v>
      </c>
      <c r="M857" s="143" t="s">
        <v>2504</v>
      </c>
      <c r="N857" s="143" t="s">
        <v>2504</v>
      </c>
      <c r="O857" s="143" t="s">
        <v>2504</v>
      </c>
      <c r="P857" s="143" t="s">
        <v>2504</v>
      </c>
      <c r="Q857" s="148" t="s">
        <v>1622</v>
      </c>
      <c r="R857" s="148" t="s">
        <v>1025</v>
      </c>
      <c r="S857" s="148" t="s">
        <v>1147</v>
      </c>
      <c r="T857" s="149">
        <v>200</v>
      </c>
      <c r="U857" s="148" t="s">
        <v>591</v>
      </c>
      <c r="V857" s="150">
        <v>21716.82</v>
      </c>
      <c r="W857" s="151">
        <v>437.91</v>
      </c>
    </row>
    <row r="858" spans="1:23" ht="15" customHeight="1" x14ac:dyDescent="0.25">
      <c r="A858" s="148">
        <v>10633</v>
      </c>
      <c r="B858" s="148" t="s">
        <v>1623</v>
      </c>
      <c r="C858" s="143" t="s">
        <v>2504</v>
      </c>
      <c r="D858" s="143" t="s">
        <v>2504</v>
      </c>
      <c r="E858" s="143" t="s">
        <v>2504</v>
      </c>
      <c r="F858" s="143" t="s">
        <v>2504</v>
      </c>
      <c r="G858" s="143" t="s">
        <v>2504</v>
      </c>
      <c r="H858" s="143" t="s">
        <v>2504</v>
      </c>
      <c r="I858" s="143" t="s">
        <v>2504</v>
      </c>
      <c r="J858" s="143" t="s">
        <v>2504</v>
      </c>
      <c r="K858" s="143" t="s">
        <v>2504</v>
      </c>
      <c r="L858" s="143" t="s">
        <v>1623</v>
      </c>
      <c r="M858" s="143" t="s">
        <v>2504</v>
      </c>
      <c r="N858" s="143" t="s">
        <v>2504</v>
      </c>
      <c r="O858" s="143" t="s">
        <v>2504</v>
      </c>
      <c r="P858" s="143" t="s">
        <v>2504</v>
      </c>
      <c r="Q858" s="148" t="s">
        <v>1624</v>
      </c>
      <c r="R858" s="148" t="s">
        <v>1025</v>
      </c>
      <c r="S858" s="148" t="s">
        <v>1147</v>
      </c>
      <c r="T858" s="149">
        <v>200</v>
      </c>
      <c r="U858" s="148" t="s">
        <v>591</v>
      </c>
      <c r="V858" s="150">
        <v>22141.119999999999</v>
      </c>
      <c r="W858" s="151">
        <v>636.70000000000005</v>
      </c>
    </row>
    <row r="859" spans="1:23" ht="15" customHeight="1" x14ac:dyDescent="0.25">
      <c r="A859" s="148">
        <v>10634</v>
      </c>
      <c r="B859" s="148" t="s">
        <v>1625</v>
      </c>
      <c r="C859" s="143" t="s">
        <v>2504</v>
      </c>
      <c r="D859" s="143" t="s">
        <v>2504</v>
      </c>
      <c r="E859" s="143" t="s">
        <v>2504</v>
      </c>
      <c r="F859" s="143" t="s">
        <v>2504</v>
      </c>
      <c r="G859" s="143" t="s">
        <v>2504</v>
      </c>
      <c r="H859" s="143" t="s">
        <v>2504</v>
      </c>
      <c r="I859" s="143" t="s">
        <v>2504</v>
      </c>
      <c r="J859" s="143" t="s">
        <v>2504</v>
      </c>
      <c r="K859" s="143" t="s">
        <v>2504</v>
      </c>
      <c r="L859" s="143" t="s">
        <v>1625</v>
      </c>
      <c r="M859" s="143" t="s">
        <v>2504</v>
      </c>
      <c r="N859" s="143" t="s">
        <v>2504</v>
      </c>
      <c r="O859" s="143" t="s">
        <v>2504</v>
      </c>
      <c r="P859" s="143" t="s">
        <v>2504</v>
      </c>
      <c r="Q859" s="148" t="s">
        <v>1626</v>
      </c>
      <c r="R859" s="148" t="s">
        <v>1025</v>
      </c>
      <c r="S859" s="148" t="s">
        <v>1147</v>
      </c>
      <c r="T859" s="149">
        <v>200</v>
      </c>
      <c r="U859" s="148" t="s">
        <v>591</v>
      </c>
      <c r="V859" s="150">
        <v>22119.17</v>
      </c>
      <c r="W859" s="151">
        <v>636.79999999999995</v>
      </c>
    </row>
    <row r="860" spans="1:23" ht="15" customHeight="1" x14ac:dyDescent="0.25">
      <c r="A860" s="148">
        <v>10415</v>
      </c>
      <c r="B860" s="148" t="s">
        <v>1472</v>
      </c>
      <c r="C860" s="143" t="s">
        <v>2504</v>
      </c>
      <c r="D860" s="143" t="s">
        <v>2504</v>
      </c>
      <c r="E860" s="143" t="s">
        <v>2504</v>
      </c>
      <c r="F860" s="143" t="s">
        <v>2504</v>
      </c>
      <c r="G860" s="143" t="s">
        <v>2504</v>
      </c>
      <c r="H860" s="143" t="s">
        <v>2504</v>
      </c>
      <c r="I860" s="143" t="s">
        <v>2504</v>
      </c>
      <c r="J860" s="143" t="s">
        <v>2504</v>
      </c>
      <c r="K860" s="143" t="s">
        <v>2504</v>
      </c>
      <c r="L860" s="143" t="s">
        <v>2504</v>
      </c>
      <c r="M860" s="143" t="s">
        <v>1472</v>
      </c>
      <c r="N860" s="143" t="s">
        <v>2504</v>
      </c>
      <c r="O860" s="143" t="s">
        <v>2504</v>
      </c>
      <c r="P860" s="143" t="s">
        <v>2504</v>
      </c>
      <c r="Q860" s="148" t="s">
        <v>1473</v>
      </c>
      <c r="R860" s="148" t="s">
        <v>1025</v>
      </c>
      <c r="S860" s="148" t="s">
        <v>1474</v>
      </c>
      <c r="T860" s="149">
        <v>19</v>
      </c>
      <c r="U860" s="148" t="s">
        <v>591</v>
      </c>
      <c r="V860" s="150">
        <v>1992.19</v>
      </c>
      <c r="W860" s="151">
        <v>615.05999999999995</v>
      </c>
    </row>
    <row r="861" spans="1:23" ht="15" customHeight="1" x14ac:dyDescent="0.25">
      <c r="A861" s="148">
        <v>10416</v>
      </c>
      <c r="B861" s="148" t="s">
        <v>1475</v>
      </c>
      <c r="C861" s="143" t="s">
        <v>2504</v>
      </c>
      <c r="D861" s="143" t="s">
        <v>2504</v>
      </c>
      <c r="E861" s="143" t="s">
        <v>2504</v>
      </c>
      <c r="F861" s="143" t="s">
        <v>2504</v>
      </c>
      <c r="G861" s="143" t="s">
        <v>2504</v>
      </c>
      <c r="H861" s="143" t="s">
        <v>2504</v>
      </c>
      <c r="I861" s="143" t="s">
        <v>2504</v>
      </c>
      <c r="J861" s="143" t="s">
        <v>2504</v>
      </c>
      <c r="K861" s="143" t="s">
        <v>2504</v>
      </c>
      <c r="L861" s="143" t="s">
        <v>2504</v>
      </c>
      <c r="M861" s="143" t="s">
        <v>1475</v>
      </c>
      <c r="N861" s="143" t="s">
        <v>2504</v>
      </c>
      <c r="O861" s="143" t="s">
        <v>2504</v>
      </c>
      <c r="P861" s="143" t="s">
        <v>2504</v>
      </c>
      <c r="Q861" s="148" t="s">
        <v>1476</v>
      </c>
      <c r="R861" s="148" t="s">
        <v>1025</v>
      </c>
      <c r="S861" s="148" t="s">
        <v>1474</v>
      </c>
      <c r="T861" s="149">
        <v>19</v>
      </c>
      <c r="U861" s="148" t="s">
        <v>591</v>
      </c>
      <c r="V861" s="150">
        <v>2031.72</v>
      </c>
      <c r="W861" s="151">
        <v>535.6</v>
      </c>
    </row>
    <row r="862" spans="1:23" ht="15" customHeight="1" x14ac:dyDescent="0.25">
      <c r="A862" s="148">
        <v>10417</v>
      </c>
      <c r="B862" s="148" t="s">
        <v>1477</v>
      </c>
      <c r="C862" s="143" t="s">
        <v>2504</v>
      </c>
      <c r="D862" s="143" t="s">
        <v>2504</v>
      </c>
      <c r="E862" s="143" t="s">
        <v>2504</v>
      </c>
      <c r="F862" s="143" t="s">
        <v>2504</v>
      </c>
      <c r="G862" s="143" t="s">
        <v>2504</v>
      </c>
      <c r="H862" s="143" t="s">
        <v>2504</v>
      </c>
      <c r="I862" s="143" t="s">
        <v>2504</v>
      </c>
      <c r="J862" s="143" t="s">
        <v>2504</v>
      </c>
      <c r="K862" s="143" t="s">
        <v>2504</v>
      </c>
      <c r="L862" s="143" t="s">
        <v>2504</v>
      </c>
      <c r="M862" s="143" t="s">
        <v>1477</v>
      </c>
      <c r="N862" s="143" t="s">
        <v>2504</v>
      </c>
      <c r="O862" s="143" t="s">
        <v>2504</v>
      </c>
      <c r="P862" s="143" t="s">
        <v>2504</v>
      </c>
      <c r="Q862" s="148" t="s">
        <v>1478</v>
      </c>
      <c r="R862" s="148" t="s">
        <v>1025</v>
      </c>
      <c r="S862" s="148" t="s">
        <v>1474</v>
      </c>
      <c r="T862" s="149">
        <v>19</v>
      </c>
      <c r="U862" s="148" t="s">
        <v>591</v>
      </c>
      <c r="V862" s="150">
        <v>2047.95</v>
      </c>
      <c r="W862" s="151">
        <v>539.64</v>
      </c>
    </row>
    <row r="863" spans="1:23" ht="15" customHeight="1" x14ac:dyDescent="0.25">
      <c r="A863" s="148">
        <v>10418</v>
      </c>
      <c r="B863" s="148" t="s">
        <v>1479</v>
      </c>
      <c r="C863" s="143" t="s">
        <v>2504</v>
      </c>
      <c r="D863" s="143" t="s">
        <v>2504</v>
      </c>
      <c r="E863" s="143" t="s">
        <v>2504</v>
      </c>
      <c r="F863" s="143" t="s">
        <v>2504</v>
      </c>
      <c r="G863" s="143" t="s">
        <v>2504</v>
      </c>
      <c r="H863" s="143" t="s">
        <v>2504</v>
      </c>
      <c r="I863" s="143" t="s">
        <v>2504</v>
      </c>
      <c r="J863" s="143" t="s">
        <v>2504</v>
      </c>
      <c r="K863" s="143" t="s">
        <v>2504</v>
      </c>
      <c r="L863" s="143" t="s">
        <v>2504</v>
      </c>
      <c r="M863" s="143" t="s">
        <v>1479</v>
      </c>
      <c r="N863" s="143" t="s">
        <v>2504</v>
      </c>
      <c r="O863" s="143" t="s">
        <v>2504</v>
      </c>
      <c r="P863" s="143" t="s">
        <v>2504</v>
      </c>
      <c r="Q863" s="148" t="s">
        <v>1480</v>
      </c>
      <c r="R863" s="148" t="s">
        <v>1025</v>
      </c>
      <c r="S863" s="148" t="s">
        <v>1474</v>
      </c>
      <c r="T863" s="149">
        <v>19</v>
      </c>
      <c r="U863" s="148" t="s">
        <v>591</v>
      </c>
      <c r="V863" s="150">
        <v>2051.3000000000002</v>
      </c>
      <c r="W863" s="151">
        <v>789.16</v>
      </c>
    </row>
    <row r="864" spans="1:23" ht="15" customHeight="1" x14ac:dyDescent="0.25">
      <c r="A864" s="148">
        <v>10419</v>
      </c>
      <c r="B864" s="148" t="s">
        <v>1481</v>
      </c>
      <c r="C864" s="143" t="s">
        <v>2504</v>
      </c>
      <c r="D864" s="143" t="s">
        <v>2504</v>
      </c>
      <c r="E864" s="143" t="s">
        <v>2504</v>
      </c>
      <c r="F864" s="143" t="s">
        <v>2504</v>
      </c>
      <c r="G864" s="143" t="s">
        <v>2504</v>
      </c>
      <c r="H864" s="143" t="s">
        <v>2504</v>
      </c>
      <c r="I864" s="143" t="s">
        <v>2504</v>
      </c>
      <c r="J864" s="143" t="s">
        <v>2504</v>
      </c>
      <c r="K864" s="143" t="s">
        <v>2504</v>
      </c>
      <c r="L864" s="143" t="s">
        <v>2504</v>
      </c>
      <c r="M864" s="143" t="s">
        <v>1481</v>
      </c>
      <c r="N864" s="143" t="s">
        <v>2504</v>
      </c>
      <c r="O864" s="143" t="s">
        <v>2504</v>
      </c>
      <c r="P864" s="143" t="s">
        <v>2504</v>
      </c>
      <c r="Q864" s="148" t="s">
        <v>1482</v>
      </c>
      <c r="R864" s="148" t="s">
        <v>1025</v>
      </c>
      <c r="S864" s="148" t="s">
        <v>1474</v>
      </c>
      <c r="T864" s="149">
        <v>19</v>
      </c>
      <c r="U864" s="148" t="s">
        <v>591</v>
      </c>
      <c r="V864" s="150">
        <v>2057.29</v>
      </c>
      <c r="W864" s="151">
        <f>V864*16</f>
        <v>32916.639999999999</v>
      </c>
    </row>
    <row r="865" spans="1:23" ht="15" customHeight="1" x14ac:dyDescent="0.25">
      <c r="A865" s="148">
        <v>10715</v>
      </c>
      <c r="B865" s="148" t="s">
        <v>1763</v>
      </c>
      <c r="C865" s="143" t="s">
        <v>2504</v>
      </c>
      <c r="D865" s="143" t="s">
        <v>2504</v>
      </c>
      <c r="E865" s="143" t="s">
        <v>2504</v>
      </c>
      <c r="F865" s="143" t="s">
        <v>2504</v>
      </c>
      <c r="G865" s="143" t="s">
        <v>2504</v>
      </c>
      <c r="H865" s="143" t="s">
        <v>2504</v>
      </c>
      <c r="I865" s="143" t="s">
        <v>2504</v>
      </c>
      <c r="J865" s="143" t="s">
        <v>2504</v>
      </c>
      <c r="K865" s="143" t="s">
        <v>2504</v>
      </c>
      <c r="L865" s="143" t="s">
        <v>2504</v>
      </c>
      <c r="M865" s="143" t="s">
        <v>1763</v>
      </c>
      <c r="N865" s="143" t="s">
        <v>2504</v>
      </c>
      <c r="O865" s="143" t="s">
        <v>2504</v>
      </c>
      <c r="P865" s="143" t="s">
        <v>2504</v>
      </c>
      <c r="Q865" s="148" t="s">
        <v>1764</v>
      </c>
      <c r="R865" s="148" t="s">
        <v>1025</v>
      </c>
      <c r="S865" s="148" t="s">
        <v>1474</v>
      </c>
      <c r="T865" s="149">
        <v>200</v>
      </c>
      <c r="U865" s="148" t="s">
        <v>591</v>
      </c>
      <c r="V865" s="150">
        <v>20881.310000000001</v>
      </c>
      <c r="W865" s="151">
        <f>V865*16</f>
        <v>334100.96000000002</v>
      </c>
    </row>
    <row r="866" spans="1:23" ht="15" customHeight="1" x14ac:dyDescent="0.25">
      <c r="A866" s="148">
        <v>10716</v>
      </c>
      <c r="B866" s="148" t="s">
        <v>1765</v>
      </c>
      <c r="C866" s="143" t="s">
        <v>2504</v>
      </c>
      <c r="D866" s="143" t="s">
        <v>2504</v>
      </c>
      <c r="E866" s="143" t="s">
        <v>2504</v>
      </c>
      <c r="F866" s="143" t="s">
        <v>2504</v>
      </c>
      <c r="G866" s="143" t="s">
        <v>2504</v>
      </c>
      <c r="H866" s="143" t="s">
        <v>2504</v>
      </c>
      <c r="I866" s="143" t="s">
        <v>2504</v>
      </c>
      <c r="J866" s="143" t="s">
        <v>2504</v>
      </c>
      <c r="K866" s="143" t="s">
        <v>2504</v>
      </c>
      <c r="L866" s="143" t="s">
        <v>2504</v>
      </c>
      <c r="M866" s="143" t="s">
        <v>1765</v>
      </c>
      <c r="N866" s="143" t="s">
        <v>2504</v>
      </c>
      <c r="O866" s="143" t="s">
        <v>2504</v>
      </c>
      <c r="P866" s="143" t="s">
        <v>2504</v>
      </c>
      <c r="Q866" s="148" t="s">
        <v>1766</v>
      </c>
      <c r="R866" s="148" t="s">
        <v>1025</v>
      </c>
      <c r="S866" s="148" t="s">
        <v>1474</v>
      </c>
      <c r="T866" s="149">
        <v>200</v>
      </c>
      <c r="U866" s="148" t="s">
        <v>591</v>
      </c>
      <c r="V866" s="150">
        <v>21297.47</v>
      </c>
      <c r="W866" s="151">
        <f>V866*16</f>
        <v>340759.52</v>
      </c>
    </row>
    <row r="867" spans="1:23" ht="15" customHeight="1" x14ac:dyDescent="0.25">
      <c r="A867" s="148">
        <v>10717</v>
      </c>
      <c r="B867" s="148" t="s">
        <v>1767</v>
      </c>
      <c r="C867" s="143" t="s">
        <v>2504</v>
      </c>
      <c r="D867" s="143" t="s">
        <v>2504</v>
      </c>
      <c r="E867" s="143" t="s">
        <v>2504</v>
      </c>
      <c r="F867" s="143" t="s">
        <v>2504</v>
      </c>
      <c r="G867" s="143" t="s">
        <v>2504</v>
      </c>
      <c r="H867" s="143" t="s">
        <v>2504</v>
      </c>
      <c r="I867" s="143" t="s">
        <v>2504</v>
      </c>
      <c r="J867" s="143" t="s">
        <v>2504</v>
      </c>
      <c r="K867" s="143" t="s">
        <v>2504</v>
      </c>
      <c r="L867" s="143" t="s">
        <v>2504</v>
      </c>
      <c r="M867" s="143" t="s">
        <v>1767</v>
      </c>
      <c r="N867" s="143" t="s">
        <v>2504</v>
      </c>
      <c r="O867" s="143" t="s">
        <v>2504</v>
      </c>
      <c r="P867" s="143" t="s">
        <v>2504</v>
      </c>
      <c r="Q867" s="148" t="s">
        <v>1768</v>
      </c>
      <c r="R867" s="148" t="s">
        <v>1025</v>
      </c>
      <c r="S867" s="148" t="s">
        <v>1474</v>
      </c>
      <c r="T867" s="149">
        <v>200</v>
      </c>
      <c r="U867" s="148" t="s">
        <v>591</v>
      </c>
      <c r="V867" s="150">
        <v>21468.39</v>
      </c>
      <c r="W867" s="151">
        <v>3725.15</v>
      </c>
    </row>
    <row r="868" spans="1:23" ht="15" customHeight="1" x14ac:dyDescent="0.25">
      <c r="A868" s="148">
        <v>10718</v>
      </c>
      <c r="B868" s="148" t="s">
        <v>1769</v>
      </c>
      <c r="C868" s="143" t="s">
        <v>2504</v>
      </c>
      <c r="D868" s="143" t="s">
        <v>2504</v>
      </c>
      <c r="E868" s="143" t="s">
        <v>2504</v>
      </c>
      <c r="F868" s="143" t="s">
        <v>2504</v>
      </c>
      <c r="G868" s="143" t="s">
        <v>2504</v>
      </c>
      <c r="H868" s="143" t="s">
        <v>2504</v>
      </c>
      <c r="I868" s="143" t="s">
        <v>2504</v>
      </c>
      <c r="J868" s="143" t="s">
        <v>2504</v>
      </c>
      <c r="K868" s="143" t="s">
        <v>2504</v>
      </c>
      <c r="L868" s="143" t="s">
        <v>2504</v>
      </c>
      <c r="M868" s="143" t="s">
        <v>1769</v>
      </c>
      <c r="N868" s="143" t="s">
        <v>2504</v>
      </c>
      <c r="O868" s="143" t="s">
        <v>2504</v>
      </c>
      <c r="P868" s="143" t="s">
        <v>2504</v>
      </c>
      <c r="Q868" s="148" t="s">
        <v>1770</v>
      </c>
      <c r="R868" s="148" t="s">
        <v>1025</v>
      </c>
      <c r="S868" s="148" t="s">
        <v>1474</v>
      </c>
      <c r="T868" s="149">
        <v>200</v>
      </c>
      <c r="U868" s="148" t="s">
        <v>591</v>
      </c>
      <c r="V868" s="150">
        <v>21503.51</v>
      </c>
      <c r="W868" s="151">
        <v>1690.65</v>
      </c>
    </row>
    <row r="869" spans="1:23" ht="15" customHeight="1" x14ac:dyDescent="0.25">
      <c r="A869" s="148">
        <v>10719</v>
      </c>
      <c r="B869" s="148" t="s">
        <v>1771</v>
      </c>
      <c r="C869" s="143" t="s">
        <v>2504</v>
      </c>
      <c r="D869" s="143" t="s">
        <v>2504</v>
      </c>
      <c r="E869" s="143" t="s">
        <v>2504</v>
      </c>
      <c r="F869" s="143" t="s">
        <v>2504</v>
      </c>
      <c r="G869" s="143" t="s">
        <v>2504</v>
      </c>
      <c r="H869" s="143" t="s">
        <v>2504</v>
      </c>
      <c r="I869" s="143" t="s">
        <v>2504</v>
      </c>
      <c r="J869" s="143" t="s">
        <v>2504</v>
      </c>
      <c r="K869" s="143" t="s">
        <v>2504</v>
      </c>
      <c r="L869" s="143" t="s">
        <v>2504</v>
      </c>
      <c r="M869" s="143" t="s">
        <v>1771</v>
      </c>
      <c r="N869" s="143" t="s">
        <v>2504</v>
      </c>
      <c r="O869" s="143" t="s">
        <v>2504</v>
      </c>
      <c r="P869" s="143" t="s">
        <v>2504</v>
      </c>
      <c r="Q869" s="148" t="s">
        <v>1772</v>
      </c>
      <c r="R869" s="148" t="s">
        <v>1025</v>
      </c>
      <c r="S869" s="148" t="s">
        <v>1474</v>
      </c>
      <c r="T869" s="149">
        <v>200</v>
      </c>
      <c r="U869" s="148" t="s">
        <v>591</v>
      </c>
      <c r="V869" s="150">
        <v>21566.51</v>
      </c>
      <c r="W869" s="151">
        <v>1728.33</v>
      </c>
    </row>
    <row r="870" spans="1:23" ht="15" customHeight="1" x14ac:dyDescent="0.25">
      <c r="A870" s="148">
        <v>10342</v>
      </c>
      <c r="B870" s="148" t="s">
        <v>1320</v>
      </c>
      <c r="C870" s="143" t="s">
        <v>2504</v>
      </c>
      <c r="D870" s="143" t="s">
        <v>2504</v>
      </c>
      <c r="E870" s="143" t="s">
        <v>2504</v>
      </c>
      <c r="F870" s="143" t="s">
        <v>2504</v>
      </c>
      <c r="G870" s="143" t="s">
        <v>2504</v>
      </c>
      <c r="H870" s="143" t="s">
        <v>2504</v>
      </c>
      <c r="I870" s="143" t="s">
        <v>2504</v>
      </c>
      <c r="J870" s="143" t="s">
        <v>2504</v>
      </c>
      <c r="K870" s="143" t="s">
        <v>2504</v>
      </c>
      <c r="L870" s="143" t="s">
        <v>2504</v>
      </c>
      <c r="M870" s="143" t="s">
        <v>1320</v>
      </c>
      <c r="N870" s="143" t="s">
        <v>2504</v>
      </c>
      <c r="O870" s="143" t="s">
        <v>2504</v>
      </c>
      <c r="P870" s="143" t="s">
        <v>2504</v>
      </c>
      <c r="Q870" s="148" t="s">
        <v>1321</v>
      </c>
      <c r="R870" s="148" t="s">
        <v>1025</v>
      </c>
      <c r="S870" s="148" t="s">
        <v>1150</v>
      </c>
      <c r="T870" s="149">
        <v>19</v>
      </c>
      <c r="U870" s="148" t="s">
        <v>591</v>
      </c>
      <c r="V870" s="150">
        <v>2032.34</v>
      </c>
      <c r="W870" s="151">
        <v>2336.77</v>
      </c>
    </row>
    <row r="871" spans="1:23" ht="15" customHeight="1" x14ac:dyDescent="0.25">
      <c r="A871" s="148">
        <v>10343</v>
      </c>
      <c r="B871" s="148" t="s">
        <v>1322</v>
      </c>
      <c r="C871" s="143" t="s">
        <v>2504</v>
      </c>
      <c r="D871" s="143" t="s">
        <v>2504</v>
      </c>
      <c r="E871" s="143" t="s">
        <v>2504</v>
      </c>
      <c r="F871" s="143" t="s">
        <v>2504</v>
      </c>
      <c r="G871" s="143" t="s">
        <v>2504</v>
      </c>
      <c r="H871" s="143" t="s">
        <v>2504</v>
      </c>
      <c r="I871" s="143" t="s">
        <v>2504</v>
      </c>
      <c r="J871" s="143" t="s">
        <v>2504</v>
      </c>
      <c r="K871" s="143" t="s">
        <v>2504</v>
      </c>
      <c r="L871" s="143" t="s">
        <v>2504</v>
      </c>
      <c r="M871" s="143" t="s">
        <v>1322</v>
      </c>
      <c r="N871" s="143" t="s">
        <v>2504</v>
      </c>
      <c r="O871" s="143" t="s">
        <v>2504</v>
      </c>
      <c r="P871" s="143" t="s">
        <v>2504</v>
      </c>
      <c r="Q871" s="148" t="s">
        <v>1323</v>
      </c>
      <c r="R871" s="148" t="s">
        <v>1025</v>
      </c>
      <c r="S871" s="148" t="s">
        <v>1150</v>
      </c>
      <c r="T871" s="149">
        <v>19</v>
      </c>
      <c r="U871" s="148" t="s">
        <v>591</v>
      </c>
      <c r="V871" s="150">
        <v>2070.1799999999998</v>
      </c>
      <c r="W871" s="151">
        <v>1732.13</v>
      </c>
    </row>
    <row r="872" spans="1:23" ht="15" customHeight="1" x14ac:dyDescent="0.25">
      <c r="A872" s="148">
        <v>10344</v>
      </c>
      <c r="B872" s="148" t="s">
        <v>1324</v>
      </c>
      <c r="C872" s="143" t="s">
        <v>2504</v>
      </c>
      <c r="D872" s="143" t="s">
        <v>2504</v>
      </c>
      <c r="E872" s="143" t="s">
        <v>2504</v>
      </c>
      <c r="F872" s="143" t="s">
        <v>2504</v>
      </c>
      <c r="G872" s="143" t="s">
        <v>2504</v>
      </c>
      <c r="H872" s="143" t="s">
        <v>2504</v>
      </c>
      <c r="I872" s="143" t="s">
        <v>2504</v>
      </c>
      <c r="J872" s="143" t="s">
        <v>2504</v>
      </c>
      <c r="K872" s="143" t="s">
        <v>2504</v>
      </c>
      <c r="L872" s="143" t="s">
        <v>2504</v>
      </c>
      <c r="M872" s="143" t="s">
        <v>1324</v>
      </c>
      <c r="N872" s="143" t="s">
        <v>2504</v>
      </c>
      <c r="O872" s="143" t="s">
        <v>2504</v>
      </c>
      <c r="P872" s="143" t="s">
        <v>2504</v>
      </c>
      <c r="Q872" s="148" t="s">
        <v>1325</v>
      </c>
      <c r="R872" s="148" t="s">
        <v>1025</v>
      </c>
      <c r="S872" s="148" t="s">
        <v>1150</v>
      </c>
      <c r="T872" s="149">
        <v>19</v>
      </c>
      <c r="U872" s="148" t="s">
        <v>591</v>
      </c>
      <c r="V872" s="150">
        <v>2072.09</v>
      </c>
      <c r="W872" s="151">
        <v>4071.19</v>
      </c>
    </row>
    <row r="873" spans="1:23" ht="15" customHeight="1" x14ac:dyDescent="0.25">
      <c r="A873" s="148">
        <v>10641</v>
      </c>
      <c r="B873" s="148" t="s">
        <v>1637</v>
      </c>
      <c r="C873" s="143" t="s">
        <v>2504</v>
      </c>
      <c r="D873" s="143" t="s">
        <v>2504</v>
      </c>
      <c r="E873" s="143" t="s">
        <v>2504</v>
      </c>
      <c r="F873" s="143" t="s">
        <v>2504</v>
      </c>
      <c r="G873" s="143" t="s">
        <v>2504</v>
      </c>
      <c r="H873" s="143" t="s">
        <v>2504</v>
      </c>
      <c r="I873" s="143" t="s">
        <v>2504</v>
      </c>
      <c r="J873" s="143" t="s">
        <v>2504</v>
      </c>
      <c r="K873" s="143" t="s">
        <v>2504</v>
      </c>
      <c r="L873" s="143" t="s">
        <v>2504</v>
      </c>
      <c r="M873" s="143" t="s">
        <v>1637</v>
      </c>
      <c r="N873" s="143" t="s">
        <v>2504</v>
      </c>
      <c r="O873" s="143" t="s">
        <v>2504</v>
      </c>
      <c r="P873" s="143" t="s">
        <v>2504</v>
      </c>
      <c r="Q873" s="148" t="s">
        <v>1638</v>
      </c>
      <c r="R873" s="148" t="s">
        <v>1025</v>
      </c>
      <c r="S873" s="148" t="s">
        <v>1150</v>
      </c>
      <c r="T873" s="149">
        <v>200</v>
      </c>
      <c r="U873" s="148" t="s">
        <v>591</v>
      </c>
      <c r="V873" s="150">
        <v>21388.2</v>
      </c>
      <c r="W873" s="151">
        <v>4063.02</v>
      </c>
    </row>
    <row r="874" spans="1:23" ht="15" customHeight="1" x14ac:dyDescent="0.25">
      <c r="A874" s="148">
        <v>10642</v>
      </c>
      <c r="B874" s="148" t="s">
        <v>1639</v>
      </c>
      <c r="C874" s="143" t="s">
        <v>2504</v>
      </c>
      <c r="D874" s="143" t="s">
        <v>2504</v>
      </c>
      <c r="E874" s="143" t="s">
        <v>2504</v>
      </c>
      <c r="F874" s="143" t="s">
        <v>2504</v>
      </c>
      <c r="G874" s="143" t="s">
        <v>2504</v>
      </c>
      <c r="H874" s="143" t="s">
        <v>2504</v>
      </c>
      <c r="I874" s="143" t="s">
        <v>2504</v>
      </c>
      <c r="J874" s="143" t="s">
        <v>2504</v>
      </c>
      <c r="K874" s="143" t="s">
        <v>2504</v>
      </c>
      <c r="L874" s="143" t="s">
        <v>2504</v>
      </c>
      <c r="M874" s="143" t="s">
        <v>1639</v>
      </c>
      <c r="N874" s="143" t="s">
        <v>2504</v>
      </c>
      <c r="O874" s="143" t="s">
        <v>2504</v>
      </c>
      <c r="P874" s="143" t="s">
        <v>2504</v>
      </c>
      <c r="Q874" s="148" t="s">
        <v>1640</v>
      </c>
      <c r="R874" s="148" t="s">
        <v>1025</v>
      </c>
      <c r="S874" s="148" t="s">
        <v>1150</v>
      </c>
      <c r="T874" s="149">
        <v>200</v>
      </c>
      <c r="U874" s="148" t="s">
        <v>591</v>
      </c>
      <c r="V874" s="150">
        <v>21306.81</v>
      </c>
      <c r="W874" s="151">
        <v>4016.32</v>
      </c>
    </row>
    <row r="875" spans="1:23" ht="15" customHeight="1" x14ac:dyDescent="0.25">
      <c r="A875" s="148">
        <v>10643</v>
      </c>
      <c r="B875" s="148" t="s">
        <v>1641</v>
      </c>
      <c r="C875" s="143" t="s">
        <v>2504</v>
      </c>
      <c r="D875" s="143" t="s">
        <v>2504</v>
      </c>
      <c r="E875" s="143" t="s">
        <v>2504</v>
      </c>
      <c r="F875" s="143" t="s">
        <v>2504</v>
      </c>
      <c r="G875" s="143" t="s">
        <v>2504</v>
      </c>
      <c r="H875" s="143" t="s">
        <v>2504</v>
      </c>
      <c r="I875" s="143" t="s">
        <v>2504</v>
      </c>
      <c r="J875" s="143" t="s">
        <v>2504</v>
      </c>
      <c r="K875" s="143" t="s">
        <v>2504</v>
      </c>
      <c r="L875" s="143" t="s">
        <v>2504</v>
      </c>
      <c r="M875" s="143" t="s">
        <v>1641</v>
      </c>
      <c r="N875" s="143" t="s">
        <v>2504</v>
      </c>
      <c r="O875" s="143" t="s">
        <v>2504</v>
      </c>
      <c r="P875" s="143" t="s">
        <v>2504</v>
      </c>
      <c r="Q875" s="148" t="s">
        <v>1642</v>
      </c>
      <c r="R875" s="148" t="s">
        <v>1025</v>
      </c>
      <c r="S875" s="148" t="s">
        <v>1150</v>
      </c>
      <c r="T875" s="149">
        <v>200</v>
      </c>
      <c r="U875" s="148" t="s">
        <v>591</v>
      </c>
      <c r="V875" s="150">
        <v>21705.08</v>
      </c>
      <c r="W875" s="151">
        <v>3359.79</v>
      </c>
    </row>
    <row r="876" spans="1:23" ht="15" customHeight="1" x14ac:dyDescent="0.25">
      <c r="A876" s="148">
        <v>10644</v>
      </c>
      <c r="B876" s="148" t="s">
        <v>1643</v>
      </c>
      <c r="C876" s="143" t="s">
        <v>2504</v>
      </c>
      <c r="D876" s="143" t="s">
        <v>2504</v>
      </c>
      <c r="E876" s="143" t="s">
        <v>2504</v>
      </c>
      <c r="F876" s="143" t="s">
        <v>2504</v>
      </c>
      <c r="G876" s="143" t="s">
        <v>2504</v>
      </c>
      <c r="H876" s="143" t="s">
        <v>2504</v>
      </c>
      <c r="I876" s="143" t="s">
        <v>2504</v>
      </c>
      <c r="J876" s="143" t="s">
        <v>2504</v>
      </c>
      <c r="K876" s="143" t="s">
        <v>2504</v>
      </c>
      <c r="L876" s="143" t="s">
        <v>2504</v>
      </c>
      <c r="M876" s="143" t="s">
        <v>1643</v>
      </c>
      <c r="N876" s="143" t="s">
        <v>2504</v>
      </c>
      <c r="O876" s="143" t="s">
        <v>2504</v>
      </c>
      <c r="P876" s="143" t="s">
        <v>2504</v>
      </c>
      <c r="Q876" s="148" t="s">
        <v>1644</v>
      </c>
      <c r="R876" s="148" t="s">
        <v>1025</v>
      </c>
      <c r="S876" s="148" t="s">
        <v>1150</v>
      </c>
      <c r="T876" s="149">
        <v>200</v>
      </c>
      <c r="U876" s="148" t="s">
        <v>591</v>
      </c>
      <c r="V876" s="150">
        <v>21725.21</v>
      </c>
      <c r="W876" s="151">
        <v>2464.8000000000002</v>
      </c>
    </row>
    <row r="877" spans="1:23" ht="15" customHeight="1" x14ac:dyDescent="0.25">
      <c r="A877" s="148">
        <v>10412</v>
      </c>
      <c r="B877" s="148" t="s">
        <v>1465</v>
      </c>
      <c r="C877" s="143" t="s">
        <v>2504</v>
      </c>
      <c r="D877" s="143" t="s">
        <v>2504</v>
      </c>
      <c r="E877" s="143" t="s">
        <v>2504</v>
      </c>
      <c r="F877" s="143" t="s">
        <v>2504</v>
      </c>
      <c r="G877" s="143" t="s">
        <v>2504</v>
      </c>
      <c r="H877" s="143" t="s">
        <v>2504</v>
      </c>
      <c r="I877" s="143" t="s">
        <v>2504</v>
      </c>
      <c r="J877" s="143" t="s">
        <v>2504</v>
      </c>
      <c r="K877" s="143" t="s">
        <v>2504</v>
      </c>
      <c r="L877" s="143" t="s">
        <v>2504</v>
      </c>
      <c r="M877" s="143" t="s">
        <v>1465</v>
      </c>
      <c r="N877" s="143" t="s">
        <v>2504</v>
      </c>
      <c r="O877" s="143" t="s">
        <v>2504</v>
      </c>
      <c r="P877" s="143" t="s">
        <v>2504</v>
      </c>
      <c r="Q877" s="148" t="s">
        <v>1466</v>
      </c>
      <c r="R877" s="148" t="s">
        <v>1025</v>
      </c>
      <c r="S877" s="148" t="s">
        <v>1467</v>
      </c>
      <c r="T877" s="149">
        <v>19</v>
      </c>
      <c r="U877" s="148" t="s">
        <v>591</v>
      </c>
      <c r="V877" s="150">
        <v>2155.16</v>
      </c>
      <c r="W877" s="151">
        <v>2702.86</v>
      </c>
    </row>
    <row r="878" spans="1:23" ht="15" customHeight="1" x14ac:dyDescent="0.25">
      <c r="A878" s="148">
        <v>10413</v>
      </c>
      <c r="B878" s="148" t="s">
        <v>1468</v>
      </c>
      <c r="C878" s="143" t="s">
        <v>2504</v>
      </c>
      <c r="D878" s="143" t="s">
        <v>2504</v>
      </c>
      <c r="E878" s="143" t="s">
        <v>2504</v>
      </c>
      <c r="F878" s="143" t="s">
        <v>2504</v>
      </c>
      <c r="G878" s="143" t="s">
        <v>2504</v>
      </c>
      <c r="H878" s="143" t="s">
        <v>2504</v>
      </c>
      <c r="I878" s="143" t="s">
        <v>2504</v>
      </c>
      <c r="J878" s="143" t="s">
        <v>2504</v>
      </c>
      <c r="K878" s="143" t="s">
        <v>2504</v>
      </c>
      <c r="L878" s="143" t="s">
        <v>2504</v>
      </c>
      <c r="M878" s="143" t="s">
        <v>1468</v>
      </c>
      <c r="N878" s="143" t="s">
        <v>2504</v>
      </c>
      <c r="O878" s="143" t="s">
        <v>2504</v>
      </c>
      <c r="P878" s="143" t="s">
        <v>2504</v>
      </c>
      <c r="Q878" s="148" t="s">
        <v>1469</v>
      </c>
      <c r="R878" s="148" t="s">
        <v>1025</v>
      </c>
      <c r="S878" s="148" t="s">
        <v>1467</v>
      </c>
      <c r="T878" s="149">
        <v>19</v>
      </c>
      <c r="U878" s="148" t="s">
        <v>591</v>
      </c>
      <c r="V878" s="150">
        <v>2181.2399999999998</v>
      </c>
      <c r="W878" s="151">
        <v>2386.35</v>
      </c>
    </row>
    <row r="879" spans="1:23" ht="15" customHeight="1" x14ac:dyDescent="0.25">
      <c r="A879" s="148">
        <v>10414</v>
      </c>
      <c r="B879" s="148" t="s">
        <v>1470</v>
      </c>
      <c r="C879" s="143" t="s">
        <v>2504</v>
      </c>
      <c r="D879" s="143" t="s">
        <v>2504</v>
      </c>
      <c r="E879" s="143" t="s">
        <v>2504</v>
      </c>
      <c r="F879" s="143" t="s">
        <v>2504</v>
      </c>
      <c r="G879" s="143" t="s">
        <v>2504</v>
      </c>
      <c r="H879" s="143" t="s">
        <v>2504</v>
      </c>
      <c r="I879" s="143" t="s">
        <v>2504</v>
      </c>
      <c r="J879" s="143" t="s">
        <v>2504</v>
      </c>
      <c r="K879" s="143" t="s">
        <v>2504</v>
      </c>
      <c r="L879" s="143" t="s">
        <v>2504</v>
      </c>
      <c r="M879" s="143" t="s">
        <v>1470</v>
      </c>
      <c r="N879" s="143" t="s">
        <v>2504</v>
      </c>
      <c r="O879" s="143" t="s">
        <v>2504</v>
      </c>
      <c r="P879" s="143" t="s">
        <v>2504</v>
      </c>
      <c r="Q879" s="148" t="s">
        <v>1471</v>
      </c>
      <c r="R879" s="148" t="s">
        <v>1025</v>
      </c>
      <c r="S879" s="148" t="s">
        <v>1467</v>
      </c>
      <c r="T879" s="149">
        <v>19</v>
      </c>
      <c r="U879" s="148" t="s">
        <v>591</v>
      </c>
      <c r="V879" s="150">
        <v>2349.98</v>
      </c>
      <c r="W879" s="151">
        <v>3499.9</v>
      </c>
    </row>
    <row r="880" spans="1:23" ht="15" customHeight="1" x14ac:dyDescent="0.25">
      <c r="A880" s="148">
        <v>10712</v>
      </c>
      <c r="B880" s="148" t="s">
        <v>1757</v>
      </c>
      <c r="C880" s="143" t="s">
        <v>2504</v>
      </c>
      <c r="D880" s="143" t="s">
        <v>2504</v>
      </c>
      <c r="E880" s="143" t="s">
        <v>2504</v>
      </c>
      <c r="F880" s="143" t="s">
        <v>2504</v>
      </c>
      <c r="G880" s="143" t="s">
        <v>2504</v>
      </c>
      <c r="H880" s="143" t="s">
        <v>2504</v>
      </c>
      <c r="I880" s="143" t="s">
        <v>2504</v>
      </c>
      <c r="J880" s="143" t="s">
        <v>2504</v>
      </c>
      <c r="K880" s="143" t="s">
        <v>2504</v>
      </c>
      <c r="L880" s="143" t="s">
        <v>2504</v>
      </c>
      <c r="M880" s="143" t="s">
        <v>1757</v>
      </c>
      <c r="N880" s="143" t="s">
        <v>2504</v>
      </c>
      <c r="O880" s="143" t="s">
        <v>2504</v>
      </c>
      <c r="P880" s="143" t="s">
        <v>2504</v>
      </c>
      <c r="Q880" s="148" t="s">
        <v>1758</v>
      </c>
      <c r="R880" s="148" t="s">
        <v>1025</v>
      </c>
      <c r="S880" s="148" t="s">
        <v>1467</v>
      </c>
      <c r="T880" s="149">
        <v>200</v>
      </c>
      <c r="U880" s="148" t="s">
        <v>591</v>
      </c>
      <c r="V880" s="150">
        <v>22596.959999999999</v>
      </c>
      <c r="W880" s="151">
        <v>3317.86</v>
      </c>
    </row>
    <row r="881" spans="1:23" ht="15" customHeight="1" x14ac:dyDescent="0.25">
      <c r="A881" s="148">
        <v>10713</v>
      </c>
      <c r="B881" s="148" t="s">
        <v>1759</v>
      </c>
      <c r="C881" s="143" t="s">
        <v>2504</v>
      </c>
      <c r="D881" s="143" t="s">
        <v>2504</v>
      </c>
      <c r="E881" s="143" t="s">
        <v>2504</v>
      </c>
      <c r="F881" s="143" t="s">
        <v>2504</v>
      </c>
      <c r="G881" s="143" t="s">
        <v>2504</v>
      </c>
      <c r="H881" s="143" t="s">
        <v>2504</v>
      </c>
      <c r="I881" s="143" t="s">
        <v>2504</v>
      </c>
      <c r="J881" s="143" t="s">
        <v>2504</v>
      </c>
      <c r="K881" s="143" t="s">
        <v>2504</v>
      </c>
      <c r="L881" s="143" t="s">
        <v>2504</v>
      </c>
      <c r="M881" s="143" t="s">
        <v>1759</v>
      </c>
      <c r="N881" s="143" t="s">
        <v>2504</v>
      </c>
      <c r="O881" s="143" t="s">
        <v>2504</v>
      </c>
      <c r="P881" s="143" t="s">
        <v>2504</v>
      </c>
      <c r="Q881" s="148" t="s">
        <v>1760</v>
      </c>
      <c r="R881" s="148" t="s">
        <v>1025</v>
      </c>
      <c r="S881" s="148" t="s">
        <v>1467</v>
      </c>
      <c r="T881" s="149">
        <v>200</v>
      </c>
      <c r="U881" s="148" t="s">
        <v>591</v>
      </c>
      <c r="V881" s="150">
        <v>22871.3</v>
      </c>
      <c r="W881" s="151">
        <v>3453.54</v>
      </c>
    </row>
    <row r="882" spans="1:23" ht="15" customHeight="1" x14ac:dyDescent="0.25">
      <c r="A882" s="148">
        <v>10714</v>
      </c>
      <c r="B882" s="148" t="s">
        <v>1761</v>
      </c>
      <c r="C882" s="143" t="s">
        <v>2504</v>
      </c>
      <c r="D882" s="143" t="s">
        <v>2504</v>
      </c>
      <c r="E882" s="143" t="s">
        <v>2504</v>
      </c>
      <c r="F882" s="143" t="s">
        <v>2504</v>
      </c>
      <c r="G882" s="143" t="s">
        <v>2504</v>
      </c>
      <c r="H882" s="143" t="s">
        <v>2504</v>
      </c>
      <c r="I882" s="143" t="s">
        <v>2504</v>
      </c>
      <c r="J882" s="143" t="s">
        <v>2504</v>
      </c>
      <c r="K882" s="143" t="s">
        <v>2504</v>
      </c>
      <c r="L882" s="143" t="s">
        <v>2504</v>
      </c>
      <c r="M882" s="143" t="s">
        <v>1761</v>
      </c>
      <c r="N882" s="143" t="s">
        <v>2504</v>
      </c>
      <c r="O882" s="143" t="s">
        <v>2504</v>
      </c>
      <c r="P882" s="143" t="s">
        <v>2504</v>
      </c>
      <c r="Q882" s="148" t="s">
        <v>1762</v>
      </c>
      <c r="R882" s="148" t="s">
        <v>1025</v>
      </c>
      <c r="S882" s="148" t="s">
        <v>1467</v>
      </c>
      <c r="T882" s="149">
        <v>200</v>
      </c>
      <c r="U882" s="148" t="s">
        <v>591</v>
      </c>
      <c r="V882" s="150">
        <v>24647.59</v>
      </c>
      <c r="W882" s="151">
        <v>1703.52</v>
      </c>
    </row>
    <row r="883" spans="1:23" ht="15" customHeight="1" x14ac:dyDescent="0.25">
      <c r="A883" s="148">
        <v>10407</v>
      </c>
      <c r="B883" s="148" t="s">
        <v>1455</v>
      </c>
      <c r="C883" s="143" t="s">
        <v>2504</v>
      </c>
      <c r="D883" s="143" t="s">
        <v>2504</v>
      </c>
      <c r="E883" s="143" t="s">
        <v>2504</v>
      </c>
      <c r="F883" s="143" t="s">
        <v>2504</v>
      </c>
      <c r="G883" s="143" t="s">
        <v>2504</v>
      </c>
      <c r="H883" s="143" t="s">
        <v>2504</v>
      </c>
      <c r="I883" s="143" t="s">
        <v>2504</v>
      </c>
      <c r="J883" s="143" t="s">
        <v>2504</v>
      </c>
      <c r="K883" s="143" t="s">
        <v>2504</v>
      </c>
      <c r="L883" s="143" t="s">
        <v>2504</v>
      </c>
      <c r="M883" s="143" t="s">
        <v>1455</v>
      </c>
      <c r="N883" s="143" t="s">
        <v>2504</v>
      </c>
      <c r="O883" s="143" t="s">
        <v>2504</v>
      </c>
      <c r="P883" s="143" t="s">
        <v>2504</v>
      </c>
      <c r="Q883" s="148" t="s">
        <v>1456</v>
      </c>
      <c r="R883" s="148" t="s">
        <v>1025</v>
      </c>
      <c r="S883" s="148" t="s">
        <v>1183</v>
      </c>
      <c r="T883" s="149">
        <v>19</v>
      </c>
      <c r="U883" s="148" t="s">
        <v>591</v>
      </c>
      <c r="V883" s="150">
        <v>2140.96</v>
      </c>
      <c r="W883" s="151">
        <v>1706.2</v>
      </c>
    </row>
    <row r="884" spans="1:23" ht="15" customHeight="1" x14ac:dyDescent="0.25">
      <c r="A884" s="148">
        <v>10408</v>
      </c>
      <c r="B884" s="148" t="s">
        <v>1457</v>
      </c>
      <c r="C884" s="143" t="s">
        <v>2504</v>
      </c>
      <c r="D884" s="143" t="s">
        <v>2504</v>
      </c>
      <c r="E884" s="143" t="s">
        <v>2504</v>
      </c>
      <c r="F884" s="143" t="s">
        <v>2504</v>
      </c>
      <c r="G884" s="143" t="s">
        <v>2504</v>
      </c>
      <c r="H884" s="143" t="s">
        <v>2504</v>
      </c>
      <c r="I884" s="143" t="s">
        <v>2504</v>
      </c>
      <c r="J884" s="143" t="s">
        <v>2504</v>
      </c>
      <c r="K884" s="143" t="s">
        <v>2504</v>
      </c>
      <c r="L884" s="143" t="s">
        <v>2504</v>
      </c>
      <c r="M884" s="143" t="s">
        <v>1457</v>
      </c>
      <c r="N884" s="143" t="s">
        <v>2504</v>
      </c>
      <c r="O884" s="143" t="s">
        <v>2504</v>
      </c>
      <c r="P884" s="143" t="s">
        <v>2504</v>
      </c>
      <c r="Q884" s="148" t="s">
        <v>1458</v>
      </c>
      <c r="R884" s="148" t="s">
        <v>1025</v>
      </c>
      <c r="S884" s="148" t="s">
        <v>1183</v>
      </c>
      <c r="T884" s="149">
        <v>19</v>
      </c>
      <c r="U884" s="148" t="s">
        <v>591</v>
      </c>
      <c r="V884" s="150">
        <v>2330.52</v>
      </c>
      <c r="W884" s="151">
        <v>1998.89</v>
      </c>
    </row>
    <row r="885" spans="1:23" ht="15" customHeight="1" x14ac:dyDescent="0.25">
      <c r="A885" s="148">
        <v>10409</v>
      </c>
      <c r="B885" s="148" t="s">
        <v>1459</v>
      </c>
      <c r="C885" s="143" t="s">
        <v>2504</v>
      </c>
      <c r="D885" s="143" t="s">
        <v>2504</v>
      </c>
      <c r="E885" s="143" t="s">
        <v>2504</v>
      </c>
      <c r="F885" s="143" t="s">
        <v>2504</v>
      </c>
      <c r="G885" s="143" t="s">
        <v>2504</v>
      </c>
      <c r="H885" s="143" t="s">
        <v>2504</v>
      </c>
      <c r="I885" s="143" t="s">
        <v>2504</v>
      </c>
      <c r="J885" s="143" t="s">
        <v>2504</v>
      </c>
      <c r="K885" s="143" t="s">
        <v>2504</v>
      </c>
      <c r="L885" s="143" t="s">
        <v>2504</v>
      </c>
      <c r="M885" s="143" t="s">
        <v>1459</v>
      </c>
      <c r="N885" s="143" t="s">
        <v>2504</v>
      </c>
      <c r="O885" s="143" t="s">
        <v>2504</v>
      </c>
      <c r="P885" s="143" t="s">
        <v>2504</v>
      </c>
      <c r="Q885" s="148" t="s">
        <v>1460</v>
      </c>
      <c r="R885" s="148" t="s">
        <v>1025</v>
      </c>
      <c r="S885" s="148" t="s">
        <v>1183</v>
      </c>
      <c r="T885" s="149">
        <v>19</v>
      </c>
      <c r="U885" s="148" t="s">
        <v>591</v>
      </c>
      <c r="V885" s="150">
        <v>3179.24</v>
      </c>
      <c r="W885" s="151">
        <v>38760.620000000003</v>
      </c>
    </row>
    <row r="886" spans="1:23" ht="15" customHeight="1" x14ac:dyDescent="0.25">
      <c r="A886" s="148">
        <v>10410</v>
      </c>
      <c r="B886" s="148" t="s">
        <v>1461</v>
      </c>
      <c r="C886" s="143" t="s">
        <v>2504</v>
      </c>
      <c r="D886" s="143" t="s">
        <v>2504</v>
      </c>
      <c r="E886" s="143" t="s">
        <v>2504</v>
      </c>
      <c r="F886" s="143" t="s">
        <v>2504</v>
      </c>
      <c r="G886" s="143" t="s">
        <v>2504</v>
      </c>
      <c r="H886" s="143" t="s">
        <v>2504</v>
      </c>
      <c r="I886" s="143" t="s">
        <v>2504</v>
      </c>
      <c r="J886" s="143" t="s">
        <v>2504</v>
      </c>
      <c r="K886" s="143" t="s">
        <v>2504</v>
      </c>
      <c r="L886" s="143" t="s">
        <v>2504</v>
      </c>
      <c r="M886" s="143" t="s">
        <v>1461</v>
      </c>
      <c r="N886" s="143" t="s">
        <v>2504</v>
      </c>
      <c r="O886" s="143" t="s">
        <v>2504</v>
      </c>
      <c r="P886" s="143" t="s">
        <v>2504</v>
      </c>
      <c r="Q886" s="148" t="s">
        <v>1462</v>
      </c>
      <c r="R886" s="148" t="s">
        <v>1025</v>
      </c>
      <c r="S886" s="148" t="s">
        <v>1183</v>
      </c>
      <c r="T886" s="149">
        <v>19</v>
      </c>
      <c r="U886" s="148" t="s">
        <v>591</v>
      </c>
      <c r="V886" s="150">
        <v>3389.17</v>
      </c>
      <c r="W886" s="151">
        <v>17898.490000000002</v>
      </c>
    </row>
    <row r="887" spans="1:23" ht="15" customHeight="1" x14ac:dyDescent="0.25">
      <c r="A887" s="148">
        <v>10707</v>
      </c>
      <c r="B887" s="148" t="s">
        <v>1747</v>
      </c>
      <c r="C887" s="143" t="s">
        <v>2504</v>
      </c>
      <c r="D887" s="143" t="s">
        <v>2504</v>
      </c>
      <c r="E887" s="143" t="s">
        <v>2504</v>
      </c>
      <c r="F887" s="143" t="s">
        <v>2504</v>
      </c>
      <c r="G887" s="143" t="s">
        <v>2504</v>
      </c>
      <c r="H887" s="143" t="s">
        <v>2504</v>
      </c>
      <c r="I887" s="143" t="s">
        <v>2504</v>
      </c>
      <c r="J887" s="143" t="s">
        <v>2504</v>
      </c>
      <c r="K887" s="143" t="s">
        <v>2504</v>
      </c>
      <c r="L887" s="143" t="s">
        <v>2504</v>
      </c>
      <c r="M887" s="143" t="s">
        <v>1747</v>
      </c>
      <c r="N887" s="143" t="s">
        <v>2504</v>
      </c>
      <c r="O887" s="143" t="s">
        <v>2504</v>
      </c>
      <c r="P887" s="143" t="s">
        <v>2504</v>
      </c>
      <c r="Q887" s="148" t="s">
        <v>1748</v>
      </c>
      <c r="R887" s="148" t="s">
        <v>1025</v>
      </c>
      <c r="S887" s="148" t="s">
        <v>1183</v>
      </c>
      <c r="T887" s="149">
        <v>200</v>
      </c>
      <c r="U887" s="148" t="s">
        <v>591</v>
      </c>
      <c r="V887" s="150">
        <v>22447.47</v>
      </c>
      <c r="W887" s="151">
        <v>24698.58</v>
      </c>
    </row>
    <row r="888" spans="1:23" ht="15" customHeight="1" x14ac:dyDescent="0.25">
      <c r="A888" s="148">
        <v>10708</v>
      </c>
      <c r="B888" s="148" t="s">
        <v>1749</v>
      </c>
      <c r="C888" s="143" t="s">
        <v>2504</v>
      </c>
      <c r="D888" s="143" t="s">
        <v>2504</v>
      </c>
      <c r="E888" s="143" t="s">
        <v>2504</v>
      </c>
      <c r="F888" s="143" t="s">
        <v>2504</v>
      </c>
      <c r="G888" s="143" t="s">
        <v>2504</v>
      </c>
      <c r="H888" s="143" t="s">
        <v>2504</v>
      </c>
      <c r="I888" s="143" t="s">
        <v>2504</v>
      </c>
      <c r="J888" s="143" t="s">
        <v>2504</v>
      </c>
      <c r="K888" s="143" t="s">
        <v>2504</v>
      </c>
      <c r="L888" s="143" t="s">
        <v>2504</v>
      </c>
      <c r="M888" s="143" t="s">
        <v>1749</v>
      </c>
      <c r="N888" s="143" t="s">
        <v>2504</v>
      </c>
      <c r="O888" s="143" t="s">
        <v>2504</v>
      </c>
      <c r="P888" s="143" t="s">
        <v>2504</v>
      </c>
      <c r="Q888" s="148" t="s">
        <v>1750</v>
      </c>
      <c r="R888" s="148" t="s">
        <v>1025</v>
      </c>
      <c r="S888" s="148" t="s">
        <v>1183</v>
      </c>
      <c r="T888" s="149">
        <v>200</v>
      </c>
      <c r="U888" s="148" t="s">
        <v>591</v>
      </c>
      <c r="V888" s="150">
        <v>24442.66</v>
      </c>
      <c r="W888" s="151">
        <v>18299.64</v>
      </c>
    </row>
    <row r="889" spans="1:23" ht="15" customHeight="1" x14ac:dyDescent="0.25">
      <c r="A889" s="148">
        <v>10709</v>
      </c>
      <c r="B889" s="148" t="s">
        <v>1751</v>
      </c>
      <c r="C889" s="143" t="s">
        <v>2504</v>
      </c>
      <c r="D889" s="143" t="s">
        <v>2504</v>
      </c>
      <c r="E889" s="143" t="s">
        <v>2504</v>
      </c>
      <c r="F889" s="143" t="s">
        <v>2504</v>
      </c>
      <c r="G889" s="143" t="s">
        <v>2504</v>
      </c>
      <c r="H889" s="143" t="s">
        <v>2504</v>
      </c>
      <c r="I889" s="143" t="s">
        <v>2504</v>
      </c>
      <c r="J889" s="143" t="s">
        <v>2504</v>
      </c>
      <c r="K889" s="143" t="s">
        <v>2504</v>
      </c>
      <c r="L889" s="143" t="s">
        <v>2504</v>
      </c>
      <c r="M889" s="143" t="s">
        <v>1751</v>
      </c>
      <c r="N889" s="143" t="s">
        <v>2504</v>
      </c>
      <c r="O889" s="143" t="s">
        <v>2504</v>
      </c>
      <c r="P889" s="143" t="s">
        <v>2504</v>
      </c>
      <c r="Q889" s="148" t="s">
        <v>1752</v>
      </c>
      <c r="R889" s="148" t="s">
        <v>1025</v>
      </c>
      <c r="S889" s="148" t="s">
        <v>1183</v>
      </c>
      <c r="T889" s="149">
        <v>200</v>
      </c>
      <c r="U889" s="148" t="s">
        <v>591</v>
      </c>
      <c r="V889" s="150">
        <v>26404.06</v>
      </c>
      <c r="W889" s="151">
        <v>18032.54</v>
      </c>
    </row>
    <row r="890" spans="1:23" ht="15" customHeight="1" x14ac:dyDescent="0.25">
      <c r="A890" s="148">
        <v>10710</v>
      </c>
      <c r="B890" s="148" t="s">
        <v>1753</v>
      </c>
      <c r="C890" s="143" t="s">
        <v>2504</v>
      </c>
      <c r="D890" s="143" t="s">
        <v>2504</v>
      </c>
      <c r="E890" s="143" t="s">
        <v>2504</v>
      </c>
      <c r="F890" s="143" t="s">
        <v>2504</v>
      </c>
      <c r="G890" s="143" t="s">
        <v>2504</v>
      </c>
      <c r="H890" s="143" t="s">
        <v>2504</v>
      </c>
      <c r="I890" s="143" t="s">
        <v>2504</v>
      </c>
      <c r="J890" s="143" t="s">
        <v>2504</v>
      </c>
      <c r="K890" s="143" t="s">
        <v>2504</v>
      </c>
      <c r="L890" s="143" t="s">
        <v>2504</v>
      </c>
      <c r="M890" s="143" t="s">
        <v>1753</v>
      </c>
      <c r="N890" s="143" t="s">
        <v>2504</v>
      </c>
      <c r="O890" s="143" t="s">
        <v>2504</v>
      </c>
      <c r="P890" s="143" t="s">
        <v>2504</v>
      </c>
      <c r="Q890" s="148" t="s">
        <v>1754</v>
      </c>
      <c r="R890" s="148" t="s">
        <v>1025</v>
      </c>
      <c r="S890" s="148" t="s">
        <v>1183</v>
      </c>
      <c r="T890" s="149">
        <v>200</v>
      </c>
      <c r="U890" s="148" t="s">
        <v>591</v>
      </c>
      <c r="V890" s="150">
        <v>28613.8</v>
      </c>
      <c r="W890" s="151">
        <v>42743.35</v>
      </c>
    </row>
    <row r="891" spans="1:23" ht="15" customHeight="1" x14ac:dyDescent="0.25">
      <c r="A891" s="148">
        <v>10359</v>
      </c>
      <c r="B891" s="148" t="s">
        <v>1351</v>
      </c>
      <c r="C891" s="143" t="s">
        <v>2504</v>
      </c>
      <c r="D891" s="143" t="s">
        <v>2504</v>
      </c>
      <c r="E891" s="143" t="s">
        <v>2504</v>
      </c>
      <c r="F891" s="143" t="s">
        <v>2504</v>
      </c>
      <c r="G891" s="143" t="s">
        <v>2504</v>
      </c>
      <c r="H891" s="143" t="s">
        <v>2504</v>
      </c>
      <c r="I891" s="143" t="s">
        <v>2504</v>
      </c>
      <c r="J891" s="143" t="s">
        <v>2504</v>
      </c>
      <c r="K891" s="143" t="s">
        <v>2504</v>
      </c>
      <c r="L891" s="143" t="s">
        <v>2504</v>
      </c>
      <c r="M891" s="143" t="s">
        <v>1351</v>
      </c>
      <c r="N891" s="143" t="s">
        <v>2504</v>
      </c>
      <c r="O891" s="143" t="s">
        <v>2504</v>
      </c>
      <c r="P891" s="143" t="s">
        <v>2504</v>
      </c>
      <c r="Q891" s="148" t="s">
        <v>1352</v>
      </c>
      <c r="R891" s="148" t="s">
        <v>1025</v>
      </c>
      <c r="S891" s="148" t="s">
        <v>1353</v>
      </c>
      <c r="T891" s="149">
        <v>19</v>
      </c>
      <c r="U891" s="148" t="s">
        <v>591</v>
      </c>
      <c r="V891" s="150">
        <v>2083.23</v>
      </c>
      <c r="W891" s="151">
        <v>35340.81</v>
      </c>
    </row>
    <row r="892" spans="1:23" ht="15" customHeight="1" x14ac:dyDescent="0.25">
      <c r="A892" s="148">
        <v>10360</v>
      </c>
      <c r="B892" s="148" t="s">
        <v>1354</v>
      </c>
      <c r="C892" s="143" t="s">
        <v>2504</v>
      </c>
      <c r="D892" s="143" t="s">
        <v>2504</v>
      </c>
      <c r="E892" s="143" t="s">
        <v>2504</v>
      </c>
      <c r="F892" s="143" t="s">
        <v>2504</v>
      </c>
      <c r="G892" s="143" t="s">
        <v>2504</v>
      </c>
      <c r="H892" s="143" t="s">
        <v>2504</v>
      </c>
      <c r="I892" s="143" t="s">
        <v>2504</v>
      </c>
      <c r="J892" s="143" t="s">
        <v>2504</v>
      </c>
      <c r="K892" s="143" t="s">
        <v>2504</v>
      </c>
      <c r="L892" s="143" t="s">
        <v>2504</v>
      </c>
      <c r="M892" s="143" t="s">
        <v>1354</v>
      </c>
      <c r="N892" s="143" t="s">
        <v>2504</v>
      </c>
      <c r="O892" s="143" t="s">
        <v>2504</v>
      </c>
      <c r="P892" s="143" t="s">
        <v>2504</v>
      </c>
      <c r="Q892" s="148" t="s">
        <v>1355</v>
      </c>
      <c r="R892" s="148" t="s">
        <v>1025</v>
      </c>
      <c r="S892" s="148" t="s">
        <v>1353</v>
      </c>
      <c r="T892" s="149">
        <v>19</v>
      </c>
      <c r="U892" s="148" t="s">
        <v>591</v>
      </c>
      <c r="V892" s="150">
        <v>2042.64</v>
      </c>
      <c r="W892" s="151">
        <v>28551.7</v>
      </c>
    </row>
    <row r="893" spans="1:23" ht="15" customHeight="1" x14ac:dyDescent="0.25">
      <c r="A893" s="148">
        <v>10361</v>
      </c>
      <c r="B893" s="148" t="s">
        <v>1356</v>
      </c>
      <c r="C893" s="143" t="s">
        <v>2504</v>
      </c>
      <c r="D893" s="143" t="s">
        <v>2504</v>
      </c>
      <c r="E893" s="143" t="s">
        <v>2504</v>
      </c>
      <c r="F893" s="143" t="s">
        <v>2504</v>
      </c>
      <c r="G893" s="143" t="s">
        <v>2504</v>
      </c>
      <c r="H893" s="143" t="s">
        <v>2504</v>
      </c>
      <c r="I893" s="143" t="s">
        <v>2504</v>
      </c>
      <c r="J893" s="143" t="s">
        <v>2504</v>
      </c>
      <c r="K893" s="143" t="s">
        <v>2504</v>
      </c>
      <c r="L893" s="143" t="s">
        <v>2504</v>
      </c>
      <c r="M893" s="143" t="s">
        <v>1356</v>
      </c>
      <c r="N893" s="143" t="s">
        <v>2504</v>
      </c>
      <c r="O893" s="143" t="s">
        <v>2504</v>
      </c>
      <c r="P893" s="143" t="s">
        <v>2504</v>
      </c>
      <c r="Q893" s="148" t="s">
        <v>1357</v>
      </c>
      <c r="R893" s="148" t="s">
        <v>1025</v>
      </c>
      <c r="S893" s="148" t="s">
        <v>1353</v>
      </c>
      <c r="T893" s="149">
        <v>19</v>
      </c>
      <c r="U893" s="148" t="s">
        <v>591</v>
      </c>
      <c r="V893" s="150">
        <v>2070.86</v>
      </c>
      <c r="W893" s="151">
        <v>25013.4</v>
      </c>
    </row>
    <row r="894" spans="1:23" ht="15" customHeight="1" x14ac:dyDescent="0.25">
      <c r="A894" s="148">
        <v>10659</v>
      </c>
      <c r="B894" s="148" t="s">
        <v>1663</v>
      </c>
      <c r="C894" s="143" t="s">
        <v>2504</v>
      </c>
      <c r="D894" s="143" t="s">
        <v>2504</v>
      </c>
      <c r="E894" s="143" t="s">
        <v>2504</v>
      </c>
      <c r="F894" s="143" t="s">
        <v>2504</v>
      </c>
      <c r="G894" s="143" t="s">
        <v>2504</v>
      </c>
      <c r="H894" s="143" t="s">
        <v>2504</v>
      </c>
      <c r="I894" s="143" t="s">
        <v>2504</v>
      </c>
      <c r="J894" s="143" t="s">
        <v>2504</v>
      </c>
      <c r="K894" s="143" t="s">
        <v>2504</v>
      </c>
      <c r="L894" s="143" t="s">
        <v>2504</v>
      </c>
      <c r="M894" s="143" t="s">
        <v>1663</v>
      </c>
      <c r="N894" s="143" t="s">
        <v>2504</v>
      </c>
      <c r="O894" s="143" t="s">
        <v>2504</v>
      </c>
      <c r="P894" s="143" t="s">
        <v>2504</v>
      </c>
      <c r="Q894" s="148" t="s">
        <v>1664</v>
      </c>
      <c r="R894" s="148" t="s">
        <v>1025</v>
      </c>
      <c r="S894" s="148" t="s">
        <v>1353</v>
      </c>
      <c r="T894" s="149">
        <v>200</v>
      </c>
      <c r="U894" s="148" t="s">
        <v>591</v>
      </c>
      <c r="V894" s="150">
        <v>21839.75</v>
      </c>
      <c r="W894" s="151">
        <v>36178.43</v>
      </c>
    </row>
    <row r="895" spans="1:23" ht="15" customHeight="1" x14ac:dyDescent="0.25">
      <c r="A895" s="148">
        <v>10660</v>
      </c>
      <c r="B895" s="148" t="s">
        <v>1665</v>
      </c>
      <c r="C895" s="143" t="s">
        <v>2504</v>
      </c>
      <c r="D895" s="143" t="s">
        <v>2504</v>
      </c>
      <c r="E895" s="143" t="s">
        <v>2504</v>
      </c>
      <c r="F895" s="143" t="s">
        <v>2504</v>
      </c>
      <c r="G895" s="143" t="s">
        <v>2504</v>
      </c>
      <c r="H895" s="143" t="s">
        <v>2504</v>
      </c>
      <c r="I895" s="143" t="s">
        <v>2504</v>
      </c>
      <c r="J895" s="143" t="s">
        <v>2504</v>
      </c>
      <c r="K895" s="143" t="s">
        <v>2504</v>
      </c>
      <c r="L895" s="143" t="s">
        <v>2504</v>
      </c>
      <c r="M895" s="143" t="s">
        <v>1665</v>
      </c>
      <c r="N895" s="143" t="s">
        <v>2504</v>
      </c>
      <c r="O895" s="143" t="s">
        <v>2504</v>
      </c>
      <c r="P895" s="143" t="s">
        <v>2504</v>
      </c>
      <c r="Q895" s="148" t="s">
        <v>1666</v>
      </c>
      <c r="R895" s="148" t="s">
        <v>1025</v>
      </c>
      <c r="S895" s="148" t="s">
        <v>1353</v>
      </c>
      <c r="T895" s="149">
        <v>200</v>
      </c>
      <c r="U895" s="148" t="s">
        <v>591</v>
      </c>
      <c r="V895" s="150">
        <v>21412.400000000001</v>
      </c>
      <c r="W895" s="151">
        <v>26888.15</v>
      </c>
    </row>
    <row r="896" spans="1:23" ht="15" customHeight="1" x14ac:dyDescent="0.25">
      <c r="A896" s="148">
        <v>10389</v>
      </c>
      <c r="B896" s="148" t="s">
        <v>1414</v>
      </c>
      <c r="C896" s="143" t="s">
        <v>2504</v>
      </c>
      <c r="D896" s="143" t="s">
        <v>2504</v>
      </c>
      <c r="E896" s="143" t="s">
        <v>2504</v>
      </c>
      <c r="F896" s="143" t="s">
        <v>2504</v>
      </c>
      <c r="G896" s="143" t="s">
        <v>2504</v>
      </c>
      <c r="H896" s="143" t="s">
        <v>2504</v>
      </c>
      <c r="I896" s="143" t="s">
        <v>2504</v>
      </c>
      <c r="J896" s="143" t="s">
        <v>2504</v>
      </c>
      <c r="K896" s="143" t="s">
        <v>2504</v>
      </c>
      <c r="L896" s="143" t="s">
        <v>2504</v>
      </c>
      <c r="M896" s="143" t="s">
        <v>1414</v>
      </c>
      <c r="N896" s="143" t="s">
        <v>2504</v>
      </c>
      <c r="O896" s="143" t="s">
        <v>2504</v>
      </c>
      <c r="P896" s="143" t="s">
        <v>2504</v>
      </c>
      <c r="Q896" s="148" t="s">
        <v>1415</v>
      </c>
      <c r="R896" s="148" t="s">
        <v>1025</v>
      </c>
      <c r="S896" s="148" t="s">
        <v>1416</v>
      </c>
      <c r="T896" s="149">
        <v>19</v>
      </c>
      <c r="U896" s="148" t="s">
        <v>591</v>
      </c>
      <c r="V896" s="150">
        <v>7282.33</v>
      </c>
      <c r="W896" s="151">
        <v>6309.28</v>
      </c>
    </row>
    <row r="897" spans="1:23" ht="15" customHeight="1" x14ac:dyDescent="0.25">
      <c r="A897" s="148">
        <v>10390</v>
      </c>
      <c r="B897" s="148" t="s">
        <v>1417</v>
      </c>
      <c r="C897" s="143" t="s">
        <v>2504</v>
      </c>
      <c r="D897" s="143" t="s">
        <v>2504</v>
      </c>
      <c r="E897" s="143" t="s">
        <v>2504</v>
      </c>
      <c r="F897" s="143" t="s">
        <v>2504</v>
      </c>
      <c r="G897" s="143" t="s">
        <v>2504</v>
      </c>
      <c r="H897" s="143" t="s">
        <v>2504</v>
      </c>
      <c r="I897" s="143" t="s">
        <v>2504</v>
      </c>
      <c r="J897" s="143" t="s">
        <v>2504</v>
      </c>
      <c r="K897" s="143" t="s">
        <v>2504</v>
      </c>
      <c r="L897" s="143" t="s">
        <v>2504</v>
      </c>
      <c r="M897" s="143" t="s">
        <v>1417</v>
      </c>
      <c r="N897" s="143" t="s">
        <v>2504</v>
      </c>
      <c r="O897" s="143" t="s">
        <v>2504</v>
      </c>
      <c r="P897" s="143" t="s">
        <v>2504</v>
      </c>
      <c r="Q897" s="148" t="s">
        <v>1418</v>
      </c>
      <c r="R897" s="148" t="s">
        <v>1025</v>
      </c>
      <c r="S897" s="148" t="s">
        <v>1416</v>
      </c>
      <c r="T897" s="149">
        <v>19</v>
      </c>
      <c r="U897" s="148" t="s">
        <v>591</v>
      </c>
      <c r="V897" s="150">
        <v>8961.42</v>
      </c>
      <c r="W897" s="151">
        <v>12591.62</v>
      </c>
    </row>
    <row r="898" spans="1:23" ht="15" customHeight="1" x14ac:dyDescent="0.25">
      <c r="A898" s="148">
        <v>10391</v>
      </c>
      <c r="B898" s="148" t="s">
        <v>1419</v>
      </c>
      <c r="C898" s="143" t="s">
        <v>2504</v>
      </c>
      <c r="D898" s="143" t="s">
        <v>2504</v>
      </c>
      <c r="E898" s="143" t="s">
        <v>2504</v>
      </c>
      <c r="F898" s="143" t="s">
        <v>2504</v>
      </c>
      <c r="G898" s="143" t="s">
        <v>2504</v>
      </c>
      <c r="H898" s="143" t="s">
        <v>2504</v>
      </c>
      <c r="I898" s="143" t="s">
        <v>2504</v>
      </c>
      <c r="J898" s="143" t="s">
        <v>2504</v>
      </c>
      <c r="K898" s="143" t="s">
        <v>2504</v>
      </c>
      <c r="L898" s="143" t="s">
        <v>2504</v>
      </c>
      <c r="M898" s="143" t="s">
        <v>1419</v>
      </c>
      <c r="N898" s="143" t="s">
        <v>2504</v>
      </c>
      <c r="O898" s="143" t="s">
        <v>2504</v>
      </c>
      <c r="P898" s="143" t="s">
        <v>2504</v>
      </c>
      <c r="Q898" s="148" t="s">
        <v>1420</v>
      </c>
      <c r="R898" s="148" t="s">
        <v>1025</v>
      </c>
      <c r="S898" s="148" t="s">
        <v>1416</v>
      </c>
      <c r="T898" s="149">
        <v>19</v>
      </c>
      <c r="U898" s="148" t="s">
        <v>591</v>
      </c>
      <c r="V898" s="150">
        <v>6939.2</v>
      </c>
      <c r="W898" s="151">
        <v>13358.48</v>
      </c>
    </row>
    <row r="899" spans="1:23" ht="15" customHeight="1" x14ac:dyDescent="0.25">
      <c r="A899" s="148">
        <v>10392</v>
      </c>
      <c r="B899" s="148" t="s">
        <v>1421</v>
      </c>
      <c r="C899" s="143" t="s">
        <v>2504</v>
      </c>
      <c r="D899" s="143" t="s">
        <v>2504</v>
      </c>
      <c r="E899" s="143" t="s">
        <v>2504</v>
      </c>
      <c r="F899" s="143" t="s">
        <v>2504</v>
      </c>
      <c r="G899" s="143" t="s">
        <v>2504</v>
      </c>
      <c r="H899" s="143" t="s">
        <v>2504</v>
      </c>
      <c r="I899" s="143" t="s">
        <v>2504</v>
      </c>
      <c r="J899" s="143" t="s">
        <v>2504</v>
      </c>
      <c r="K899" s="143" t="s">
        <v>2504</v>
      </c>
      <c r="L899" s="143" t="s">
        <v>2504</v>
      </c>
      <c r="M899" s="143" t="s">
        <v>1421</v>
      </c>
      <c r="N899" s="143" t="s">
        <v>2504</v>
      </c>
      <c r="O899" s="143" t="s">
        <v>2504</v>
      </c>
      <c r="P899" s="143" t="s">
        <v>2504</v>
      </c>
      <c r="Q899" s="148" t="s">
        <v>1422</v>
      </c>
      <c r="R899" s="148" t="s">
        <v>1025</v>
      </c>
      <c r="S899" s="148" t="s">
        <v>1416</v>
      </c>
      <c r="T899" s="149">
        <v>19</v>
      </c>
      <c r="U899" s="148" t="s">
        <v>591</v>
      </c>
      <c r="V899" s="150">
        <v>7448.61</v>
      </c>
      <c r="W899" s="151">
        <v>12805.8</v>
      </c>
    </row>
    <row r="900" spans="1:23" ht="15" customHeight="1" x14ac:dyDescent="0.25">
      <c r="A900" s="148">
        <v>10393</v>
      </c>
      <c r="B900" s="148" t="s">
        <v>1423</v>
      </c>
      <c r="C900" s="143" t="s">
        <v>2504</v>
      </c>
      <c r="D900" s="143" t="s">
        <v>2504</v>
      </c>
      <c r="E900" s="143" t="s">
        <v>2504</v>
      </c>
      <c r="F900" s="143" t="s">
        <v>2504</v>
      </c>
      <c r="G900" s="143" t="s">
        <v>2504</v>
      </c>
      <c r="H900" s="143" t="s">
        <v>2504</v>
      </c>
      <c r="I900" s="143" t="s">
        <v>2504</v>
      </c>
      <c r="J900" s="143" t="s">
        <v>2504</v>
      </c>
      <c r="K900" s="143" t="s">
        <v>2504</v>
      </c>
      <c r="L900" s="143" t="s">
        <v>2504</v>
      </c>
      <c r="M900" s="143" t="s">
        <v>1423</v>
      </c>
      <c r="N900" s="143" t="s">
        <v>2504</v>
      </c>
      <c r="O900" s="143" t="s">
        <v>2504</v>
      </c>
      <c r="P900" s="143" t="s">
        <v>2504</v>
      </c>
      <c r="Q900" s="148" t="s">
        <v>1424</v>
      </c>
      <c r="R900" s="148" t="s">
        <v>1025</v>
      </c>
      <c r="S900" s="148" t="s">
        <v>1416</v>
      </c>
      <c r="T900" s="149">
        <v>19</v>
      </c>
      <c r="U900" s="148" t="s">
        <v>591</v>
      </c>
      <c r="V900" s="150">
        <v>7916.69</v>
      </c>
      <c r="W900" s="151">
        <v>35708.94</v>
      </c>
    </row>
    <row r="901" spans="1:23" ht="15" customHeight="1" x14ac:dyDescent="0.25">
      <c r="A901" s="148">
        <v>10394</v>
      </c>
      <c r="B901" s="148" t="s">
        <v>1425</v>
      </c>
      <c r="C901" s="143" t="s">
        <v>2504</v>
      </c>
      <c r="D901" s="143" t="s">
        <v>2504</v>
      </c>
      <c r="E901" s="143" t="s">
        <v>2504</v>
      </c>
      <c r="F901" s="143" t="s">
        <v>2504</v>
      </c>
      <c r="G901" s="143" t="s">
        <v>2504</v>
      </c>
      <c r="H901" s="143" t="s">
        <v>2504</v>
      </c>
      <c r="I901" s="143" t="s">
        <v>2504</v>
      </c>
      <c r="J901" s="143" t="s">
        <v>2504</v>
      </c>
      <c r="K901" s="143" t="s">
        <v>2504</v>
      </c>
      <c r="L901" s="143" t="s">
        <v>2504</v>
      </c>
      <c r="M901" s="143" t="s">
        <v>1425</v>
      </c>
      <c r="N901" s="143" t="s">
        <v>2504</v>
      </c>
      <c r="O901" s="143" t="s">
        <v>2504</v>
      </c>
      <c r="P901" s="143" t="s">
        <v>2504</v>
      </c>
      <c r="Q901" s="148" t="s">
        <v>1426</v>
      </c>
      <c r="R901" s="148" t="s">
        <v>1025</v>
      </c>
      <c r="S901" s="148" t="s">
        <v>1416</v>
      </c>
      <c r="T901" s="149">
        <v>19</v>
      </c>
      <c r="U901" s="148" t="s">
        <v>591</v>
      </c>
      <c r="V901" s="150">
        <v>7094.77</v>
      </c>
      <c r="W901" s="151">
        <v>22094.87</v>
      </c>
    </row>
    <row r="902" spans="1:23" ht="15" customHeight="1" x14ac:dyDescent="0.25">
      <c r="A902" s="148">
        <v>10689</v>
      </c>
      <c r="B902" s="148" t="s">
        <v>1717</v>
      </c>
      <c r="C902" s="143" t="s">
        <v>2504</v>
      </c>
      <c r="D902" s="143" t="s">
        <v>2504</v>
      </c>
      <c r="E902" s="143" t="s">
        <v>2504</v>
      </c>
      <c r="F902" s="143" t="s">
        <v>2504</v>
      </c>
      <c r="G902" s="143" t="s">
        <v>2504</v>
      </c>
      <c r="H902" s="143" t="s">
        <v>2504</v>
      </c>
      <c r="I902" s="143" t="s">
        <v>2504</v>
      </c>
      <c r="J902" s="143" t="s">
        <v>2504</v>
      </c>
      <c r="K902" s="143" t="s">
        <v>2504</v>
      </c>
      <c r="L902" s="143" t="s">
        <v>2504</v>
      </c>
      <c r="M902" s="143" t="s">
        <v>1717</v>
      </c>
      <c r="N902" s="143" t="s">
        <v>2504</v>
      </c>
      <c r="O902" s="143" t="s">
        <v>2504</v>
      </c>
      <c r="P902" s="143" t="s">
        <v>2504</v>
      </c>
      <c r="Q902" s="148" t="s">
        <v>1718</v>
      </c>
      <c r="R902" s="148" t="s">
        <v>1025</v>
      </c>
      <c r="S902" s="148" t="s">
        <v>1416</v>
      </c>
      <c r="T902" s="149">
        <v>200</v>
      </c>
      <c r="U902" s="148" t="s">
        <v>591</v>
      </c>
      <c r="V902" s="150">
        <v>76561.19</v>
      </c>
      <c r="W902" s="151">
        <v>22036.560000000001</v>
      </c>
    </row>
    <row r="903" spans="1:23" ht="15" customHeight="1" x14ac:dyDescent="0.25">
      <c r="A903" s="148">
        <v>10690</v>
      </c>
      <c r="B903" s="148" t="s">
        <v>1719</v>
      </c>
      <c r="C903" s="143" t="s">
        <v>2504</v>
      </c>
      <c r="D903" s="143" t="s">
        <v>2504</v>
      </c>
      <c r="E903" s="143" t="s">
        <v>2504</v>
      </c>
      <c r="F903" s="143" t="s">
        <v>2504</v>
      </c>
      <c r="G903" s="143" t="s">
        <v>2504</v>
      </c>
      <c r="H903" s="143" t="s">
        <v>2504</v>
      </c>
      <c r="I903" s="143" t="s">
        <v>2504</v>
      </c>
      <c r="J903" s="143" t="s">
        <v>2504</v>
      </c>
      <c r="K903" s="143" t="s">
        <v>2504</v>
      </c>
      <c r="L903" s="143" t="s">
        <v>2504</v>
      </c>
      <c r="M903" s="143" t="s">
        <v>1719</v>
      </c>
      <c r="N903" s="143" t="s">
        <v>2504</v>
      </c>
      <c r="O903" s="143" t="s">
        <v>2504</v>
      </c>
      <c r="P903" s="143" t="s">
        <v>2504</v>
      </c>
      <c r="Q903" s="148" t="s">
        <v>1720</v>
      </c>
      <c r="R903" s="148" t="s">
        <v>1025</v>
      </c>
      <c r="S903" s="148" t="s">
        <v>1416</v>
      </c>
      <c r="T903" s="149">
        <v>200</v>
      </c>
      <c r="U903" s="148" t="s">
        <v>591</v>
      </c>
      <c r="V903" s="150">
        <v>94230.06</v>
      </c>
      <c r="W903" s="151">
        <v>25071.93</v>
      </c>
    </row>
    <row r="904" spans="1:23" ht="15" customHeight="1" x14ac:dyDescent="0.25">
      <c r="A904" s="148">
        <v>10691</v>
      </c>
      <c r="B904" s="148" t="s">
        <v>1721</v>
      </c>
      <c r="C904" s="143" t="s">
        <v>2504</v>
      </c>
      <c r="D904" s="143" t="s">
        <v>2504</v>
      </c>
      <c r="E904" s="143" t="s">
        <v>2504</v>
      </c>
      <c r="F904" s="143" t="s">
        <v>2504</v>
      </c>
      <c r="G904" s="143" t="s">
        <v>2504</v>
      </c>
      <c r="H904" s="143" t="s">
        <v>2504</v>
      </c>
      <c r="I904" s="143" t="s">
        <v>2504</v>
      </c>
      <c r="J904" s="143" t="s">
        <v>2504</v>
      </c>
      <c r="K904" s="143" t="s">
        <v>2504</v>
      </c>
      <c r="L904" s="143" t="s">
        <v>2504</v>
      </c>
      <c r="M904" s="143" t="s">
        <v>1721</v>
      </c>
      <c r="N904" s="143" t="s">
        <v>2504</v>
      </c>
      <c r="O904" s="143" t="s">
        <v>2504</v>
      </c>
      <c r="P904" s="143" t="s">
        <v>2504</v>
      </c>
      <c r="Q904" s="148" t="s">
        <v>1722</v>
      </c>
      <c r="R904" s="148" t="s">
        <v>1025</v>
      </c>
      <c r="S904" s="148" t="s">
        <v>1416</v>
      </c>
      <c r="T904" s="149">
        <v>200</v>
      </c>
      <c r="U904" s="148" t="s">
        <v>591</v>
      </c>
      <c r="V904" s="150">
        <v>72949.210000000006</v>
      </c>
      <c r="W904" s="151">
        <v>25737.74</v>
      </c>
    </row>
    <row r="905" spans="1:23" ht="15" customHeight="1" x14ac:dyDescent="0.25">
      <c r="A905" s="148">
        <v>10692</v>
      </c>
      <c r="B905" s="148" t="s">
        <v>1723</v>
      </c>
      <c r="C905" s="143" t="s">
        <v>2504</v>
      </c>
      <c r="D905" s="143" t="s">
        <v>2504</v>
      </c>
      <c r="E905" s="143" t="s">
        <v>2504</v>
      </c>
      <c r="F905" s="143" t="s">
        <v>2504</v>
      </c>
      <c r="G905" s="143" t="s">
        <v>2504</v>
      </c>
      <c r="H905" s="143" t="s">
        <v>2504</v>
      </c>
      <c r="I905" s="143" t="s">
        <v>2504</v>
      </c>
      <c r="J905" s="143" t="s">
        <v>2504</v>
      </c>
      <c r="K905" s="143" t="s">
        <v>2504</v>
      </c>
      <c r="L905" s="143" t="s">
        <v>2504</v>
      </c>
      <c r="M905" s="143" t="s">
        <v>1723</v>
      </c>
      <c r="N905" s="143" t="s">
        <v>2504</v>
      </c>
      <c r="O905" s="143" t="s">
        <v>2504</v>
      </c>
      <c r="P905" s="143" t="s">
        <v>2504</v>
      </c>
      <c r="Q905" s="148" t="s">
        <v>1724</v>
      </c>
      <c r="R905" s="148" t="s">
        <v>1025</v>
      </c>
      <c r="S905" s="148" t="s">
        <v>1416</v>
      </c>
      <c r="T905" s="149">
        <v>200</v>
      </c>
      <c r="U905" s="148" t="s">
        <v>591</v>
      </c>
      <c r="V905" s="150">
        <v>78311.63</v>
      </c>
      <c r="W905" s="151">
        <v>26735.98</v>
      </c>
    </row>
    <row r="906" spans="1:23" ht="15" customHeight="1" x14ac:dyDescent="0.25">
      <c r="A906" s="148">
        <v>10693</v>
      </c>
      <c r="B906" s="148" t="s">
        <v>1725</v>
      </c>
      <c r="C906" s="143" t="s">
        <v>2504</v>
      </c>
      <c r="D906" s="143" t="s">
        <v>2504</v>
      </c>
      <c r="E906" s="143" t="s">
        <v>2504</v>
      </c>
      <c r="F906" s="143" t="s">
        <v>2504</v>
      </c>
      <c r="G906" s="143" t="s">
        <v>2504</v>
      </c>
      <c r="H906" s="143" t="s">
        <v>2504</v>
      </c>
      <c r="I906" s="143" t="s">
        <v>2504</v>
      </c>
      <c r="J906" s="143" t="s">
        <v>2504</v>
      </c>
      <c r="K906" s="143" t="s">
        <v>2504</v>
      </c>
      <c r="L906" s="143" t="s">
        <v>2504</v>
      </c>
      <c r="M906" s="143" t="s">
        <v>1725</v>
      </c>
      <c r="N906" s="143" t="s">
        <v>2504</v>
      </c>
      <c r="O906" s="143" t="s">
        <v>2504</v>
      </c>
      <c r="P906" s="143" t="s">
        <v>2504</v>
      </c>
      <c r="Q906" s="148" t="s">
        <v>1726</v>
      </c>
      <c r="R906" s="148" t="s">
        <v>1025</v>
      </c>
      <c r="S906" s="148" t="s">
        <v>1416</v>
      </c>
      <c r="T906" s="149">
        <v>200</v>
      </c>
      <c r="U906" s="148" t="s">
        <v>591</v>
      </c>
      <c r="V906" s="150">
        <v>83238.759999999995</v>
      </c>
      <c r="W906" s="151">
        <v>28464.28</v>
      </c>
    </row>
    <row r="907" spans="1:23" ht="15" customHeight="1" x14ac:dyDescent="0.25">
      <c r="A907" s="148">
        <v>10411</v>
      </c>
      <c r="B907" s="148" t="s">
        <v>1463</v>
      </c>
      <c r="C907" s="143" t="s">
        <v>2504</v>
      </c>
      <c r="D907" s="143" t="s">
        <v>2504</v>
      </c>
      <c r="E907" s="143" t="s">
        <v>2504</v>
      </c>
      <c r="F907" s="143" t="s">
        <v>2504</v>
      </c>
      <c r="G907" s="143" t="s">
        <v>2504</v>
      </c>
      <c r="H907" s="143" t="s">
        <v>2504</v>
      </c>
      <c r="I907" s="143" t="s">
        <v>2504</v>
      </c>
      <c r="J907" s="143" t="s">
        <v>2504</v>
      </c>
      <c r="K907" s="143" t="s">
        <v>2504</v>
      </c>
      <c r="L907" s="143" t="s">
        <v>2504</v>
      </c>
      <c r="M907" s="143" t="s">
        <v>1463</v>
      </c>
      <c r="N907" s="143" t="s">
        <v>2504</v>
      </c>
      <c r="O907" s="143" t="s">
        <v>2504</v>
      </c>
      <c r="P907" s="143" t="s">
        <v>2504</v>
      </c>
      <c r="Q907" s="148" t="s">
        <v>1464</v>
      </c>
      <c r="R907" s="148" t="s">
        <v>1025</v>
      </c>
      <c r="S907" s="148" t="s">
        <v>1189</v>
      </c>
      <c r="T907" s="149">
        <v>19</v>
      </c>
      <c r="U907" s="148" t="s">
        <v>591</v>
      </c>
      <c r="V907" s="150">
        <v>3513.96</v>
      </c>
      <c r="W907" s="151">
        <v>42257.25</v>
      </c>
    </row>
    <row r="908" spans="1:23" ht="15" customHeight="1" x14ac:dyDescent="0.25">
      <c r="A908" s="148">
        <v>10740</v>
      </c>
      <c r="B908" s="148" t="s">
        <v>1815</v>
      </c>
      <c r="C908" s="143" t="s">
        <v>2504</v>
      </c>
      <c r="D908" s="143" t="s">
        <v>2504</v>
      </c>
      <c r="E908" s="143" t="s">
        <v>2504</v>
      </c>
      <c r="F908" s="143" t="s">
        <v>2504</v>
      </c>
      <c r="G908" s="143" t="s">
        <v>2504</v>
      </c>
      <c r="H908" s="143" t="s">
        <v>2504</v>
      </c>
      <c r="I908" s="143" t="s">
        <v>2504</v>
      </c>
      <c r="J908" s="143" t="s">
        <v>2504</v>
      </c>
      <c r="K908" s="143" t="s">
        <v>2504</v>
      </c>
      <c r="L908" s="143" t="s">
        <v>2504</v>
      </c>
      <c r="M908" s="143" t="s">
        <v>2504</v>
      </c>
      <c r="N908" s="143" t="s">
        <v>1815</v>
      </c>
      <c r="O908" s="143" t="s">
        <v>2504</v>
      </c>
      <c r="P908" s="143" t="s">
        <v>2504</v>
      </c>
      <c r="Q908" s="148" t="s">
        <v>1816</v>
      </c>
      <c r="R908" s="148" t="s">
        <v>1025</v>
      </c>
      <c r="S908" s="148" t="s">
        <v>1817</v>
      </c>
      <c r="T908" s="149">
        <v>200</v>
      </c>
      <c r="U908" s="148" t="s">
        <v>591</v>
      </c>
      <c r="V908" s="150">
        <v>16894.82</v>
      </c>
      <c r="W908" s="151">
        <v>41876.050000000003</v>
      </c>
    </row>
    <row r="909" spans="1:23" ht="15" customHeight="1" x14ac:dyDescent="0.25">
      <c r="A909" s="148">
        <v>10426</v>
      </c>
      <c r="B909" s="148" t="s">
        <v>1497</v>
      </c>
      <c r="C909" s="143" t="s">
        <v>2504</v>
      </c>
      <c r="D909" s="143" t="s">
        <v>2504</v>
      </c>
      <c r="E909" s="143" t="s">
        <v>2504</v>
      </c>
      <c r="F909" s="143" t="s">
        <v>2504</v>
      </c>
      <c r="G909" s="143" t="s">
        <v>2504</v>
      </c>
      <c r="H909" s="143" t="s">
        <v>2504</v>
      </c>
      <c r="I909" s="143" t="s">
        <v>2504</v>
      </c>
      <c r="J909" s="143" t="s">
        <v>2504</v>
      </c>
      <c r="K909" s="143" t="s">
        <v>2504</v>
      </c>
      <c r="L909" s="143" t="s">
        <v>2504</v>
      </c>
      <c r="M909" s="143" t="s">
        <v>2504</v>
      </c>
      <c r="N909" s="143" t="s">
        <v>1497</v>
      </c>
      <c r="O909" s="143" t="s">
        <v>2504</v>
      </c>
      <c r="P909" s="143" t="s">
        <v>2504</v>
      </c>
      <c r="Q909" s="148" t="s">
        <v>1498</v>
      </c>
      <c r="R909" s="148" t="s">
        <v>1025</v>
      </c>
      <c r="S909" s="148" t="s">
        <v>1499</v>
      </c>
      <c r="T909" s="149">
        <v>19</v>
      </c>
      <c r="U909" s="148" t="s">
        <v>591</v>
      </c>
      <c r="V909" s="150">
        <v>3128.24</v>
      </c>
      <c r="W909" s="151">
        <v>43177.05</v>
      </c>
    </row>
    <row r="910" spans="1:23" ht="15" customHeight="1" x14ac:dyDescent="0.25">
      <c r="A910" s="148">
        <v>10726</v>
      </c>
      <c r="B910" s="148" t="s">
        <v>1785</v>
      </c>
      <c r="C910" s="143" t="s">
        <v>2504</v>
      </c>
      <c r="D910" s="143" t="s">
        <v>2504</v>
      </c>
      <c r="E910" s="143" t="s">
        <v>2504</v>
      </c>
      <c r="F910" s="143" t="s">
        <v>2504</v>
      </c>
      <c r="G910" s="143" t="s">
        <v>2504</v>
      </c>
      <c r="H910" s="143" t="s">
        <v>2504</v>
      </c>
      <c r="I910" s="143" t="s">
        <v>2504</v>
      </c>
      <c r="J910" s="143" t="s">
        <v>2504</v>
      </c>
      <c r="K910" s="143" t="s">
        <v>2504</v>
      </c>
      <c r="L910" s="143" t="s">
        <v>2504</v>
      </c>
      <c r="M910" s="143" t="s">
        <v>2504</v>
      </c>
      <c r="N910" s="143" t="s">
        <v>1785</v>
      </c>
      <c r="O910" s="143" t="s">
        <v>2504</v>
      </c>
      <c r="P910" s="143" t="s">
        <v>2504</v>
      </c>
      <c r="Q910" s="148" t="s">
        <v>1786</v>
      </c>
      <c r="R910" s="148" t="s">
        <v>1025</v>
      </c>
      <c r="S910" s="148" t="s">
        <v>1499</v>
      </c>
      <c r="T910" s="149">
        <v>200</v>
      </c>
      <c r="U910" s="148" t="s">
        <v>591</v>
      </c>
      <c r="V910" s="150">
        <v>32866.65</v>
      </c>
      <c r="W910" s="151">
        <v>42922.86</v>
      </c>
    </row>
    <row r="911" spans="1:23" ht="15" customHeight="1" x14ac:dyDescent="0.25">
      <c r="A911" s="148">
        <v>10430</v>
      </c>
      <c r="B911" s="148" t="s">
        <v>1506</v>
      </c>
      <c r="C911" s="143" t="s">
        <v>2504</v>
      </c>
      <c r="D911" s="143" t="s">
        <v>2504</v>
      </c>
      <c r="E911" s="143" t="s">
        <v>2504</v>
      </c>
      <c r="F911" s="143" t="s">
        <v>2504</v>
      </c>
      <c r="G911" s="143" t="s">
        <v>2504</v>
      </c>
      <c r="H911" s="143" t="s">
        <v>2504</v>
      </c>
      <c r="I911" s="143" t="s">
        <v>2504</v>
      </c>
      <c r="J911" s="143" t="s">
        <v>2504</v>
      </c>
      <c r="K911" s="143" t="s">
        <v>2504</v>
      </c>
      <c r="L911" s="143" t="s">
        <v>2504</v>
      </c>
      <c r="M911" s="143" t="s">
        <v>2504</v>
      </c>
      <c r="N911" s="143" t="s">
        <v>1506</v>
      </c>
      <c r="O911" s="143" t="s">
        <v>2504</v>
      </c>
      <c r="P911" s="143" t="s">
        <v>2504</v>
      </c>
      <c r="Q911" s="148" t="s">
        <v>1507</v>
      </c>
      <c r="R911" s="148" t="s">
        <v>1025</v>
      </c>
      <c r="S911" s="148" t="s">
        <v>1192</v>
      </c>
      <c r="T911" s="149">
        <v>19</v>
      </c>
      <c r="U911" s="148" t="s">
        <v>591</v>
      </c>
      <c r="V911" s="150">
        <v>4185.9399999999996</v>
      </c>
      <c r="W911" s="151">
        <v>39912.35</v>
      </c>
    </row>
    <row r="912" spans="1:23" ht="15" customHeight="1" x14ac:dyDescent="0.25">
      <c r="A912" s="148">
        <v>10730</v>
      </c>
      <c r="B912" s="148" t="s">
        <v>1794</v>
      </c>
      <c r="C912" s="143" t="s">
        <v>2504</v>
      </c>
      <c r="D912" s="143" t="s">
        <v>2504</v>
      </c>
      <c r="E912" s="143" t="s">
        <v>2504</v>
      </c>
      <c r="F912" s="143" t="s">
        <v>2504</v>
      </c>
      <c r="G912" s="143" t="s">
        <v>2504</v>
      </c>
      <c r="H912" s="143" t="s">
        <v>2504</v>
      </c>
      <c r="I912" s="143" t="s">
        <v>2504</v>
      </c>
      <c r="J912" s="143" t="s">
        <v>2504</v>
      </c>
      <c r="K912" s="143" t="s">
        <v>2504</v>
      </c>
      <c r="L912" s="143" t="s">
        <v>2504</v>
      </c>
      <c r="M912" s="143" t="s">
        <v>2504</v>
      </c>
      <c r="N912" s="143" t="s">
        <v>1794</v>
      </c>
      <c r="O912" s="143" t="s">
        <v>2504</v>
      </c>
      <c r="P912" s="143" t="s">
        <v>2504</v>
      </c>
      <c r="Q912" s="148" t="s">
        <v>1795</v>
      </c>
      <c r="R912" s="148" t="s">
        <v>1025</v>
      </c>
      <c r="S912" s="148" t="s">
        <v>1192</v>
      </c>
      <c r="T912" s="149">
        <v>200</v>
      </c>
      <c r="U912" s="148" t="s">
        <v>591</v>
      </c>
      <c r="V912" s="150">
        <v>43946.58</v>
      </c>
      <c r="W912" s="151">
        <v>40194.050000000003</v>
      </c>
    </row>
    <row r="913" spans="1:23" ht="15" customHeight="1" x14ac:dyDescent="0.25">
      <c r="A913" s="148">
        <v>10439</v>
      </c>
      <c r="B913" s="148" t="s">
        <v>1528</v>
      </c>
      <c r="C913" s="143" t="s">
        <v>2504</v>
      </c>
      <c r="D913" s="143" t="s">
        <v>2504</v>
      </c>
      <c r="E913" s="143" t="s">
        <v>2504</v>
      </c>
      <c r="F913" s="143" t="s">
        <v>2504</v>
      </c>
      <c r="G913" s="143" t="s">
        <v>2504</v>
      </c>
      <c r="H913" s="143" t="s">
        <v>2504</v>
      </c>
      <c r="I913" s="143" t="s">
        <v>2504</v>
      </c>
      <c r="J913" s="143" t="s">
        <v>2504</v>
      </c>
      <c r="K913" s="143" t="s">
        <v>2504</v>
      </c>
      <c r="L913" s="143" t="s">
        <v>2504</v>
      </c>
      <c r="M913" s="143" t="s">
        <v>2504</v>
      </c>
      <c r="N913" s="143" t="s">
        <v>1528</v>
      </c>
      <c r="O913" s="143" t="s">
        <v>2504</v>
      </c>
      <c r="P913" s="143" t="s">
        <v>2504</v>
      </c>
      <c r="Q913" s="148" t="s">
        <v>1529</v>
      </c>
      <c r="R913" s="148" t="s">
        <v>1025</v>
      </c>
      <c r="S913" s="148" t="s">
        <v>1206</v>
      </c>
      <c r="T913" s="149">
        <v>19</v>
      </c>
      <c r="U913" s="148" t="s">
        <v>591</v>
      </c>
      <c r="V913" s="150">
        <v>2339.42</v>
      </c>
      <c r="W913" s="151">
        <v>39692.33</v>
      </c>
    </row>
    <row r="914" spans="1:23" ht="15" customHeight="1" x14ac:dyDescent="0.25">
      <c r="A914" s="148">
        <v>10739</v>
      </c>
      <c r="B914" s="148" t="s">
        <v>1813</v>
      </c>
      <c r="C914" s="143" t="s">
        <v>2504</v>
      </c>
      <c r="D914" s="143" t="s">
        <v>2504</v>
      </c>
      <c r="E914" s="143" t="s">
        <v>2504</v>
      </c>
      <c r="F914" s="143" t="s">
        <v>2504</v>
      </c>
      <c r="G914" s="143" t="s">
        <v>2504</v>
      </c>
      <c r="H914" s="143" t="s">
        <v>2504</v>
      </c>
      <c r="I914" s="143" t="s">
        <v>2504</v>
      </c>
      <c r="J914" s="143" t="s">
        <v>2504</v>
      </c>
      <c r="K914" s="143" t="s">
        <v>2504</v>
      </c>
      <c r="L914" s="143" t="s">
        <v>2504</v>
      </c>
      <c r="M914" s="143" t="s">
        <v>2504</v>
      </c>
      <c r="N914" s="143" t="s">
        <v>1813</v>
      </c>
      <c r="O914" s="143" t="s">
        <v>2504</v>
      </c>
      <c r="P914" s="143" t="s">
        <v>2504</v>
      </c>
      <c r="Q914" s="148" t="s">
        <v>1814</v>
      </c>
      <c r="R914" s="148" t="s">
        <v>1025</v>
      </c>
      <c r="S914" s="148" t="s">
        <v>1206</v>
      </c>
      <c r="T914" s="149">
        <v>200</v>
      </c>
      <c r="U914" s="148" t="s">
        <v>591</v>
      </c>
      <c r="V914" s="150">
        <v>24523.11</v>
      </c>
      <c r="W914" s="151">
        <v>18060.8</v>
      </c>
    </row>
    <row r="915" spans="1:23" ht="15" customHeight="1" x14ac:dyDescent="0.25">
      <c r="A915" s="148">
        <v>10423</v>
      </c>
      <c r="B915" s="148" t="s">
        <v>1490</v>
      </c>
      <c r="C915" s="143" t="s">
        <v>2504</v>
      </c>
      <c r="D915" s="143" t="s">
        <v>2504</v>
      </c>
      <c r="E915" s="143" t="s">
        <v>2504</v>
      </c>
      <c r="F915" s="143" t="s">
        <v>2504</v>
      </c>
      <c r="G915" s="143" t="s">
        <v>2504</v>
      </c>
      <c r="H915" s="143" t="s">
        <v>2504</v>
      </c>
      <c r="I915" s="143" t="s">
        <v>2504</v>
      </c>
      <c r="J915" s="143" t="s">
        <v>2504</v>
      </c>
      <c r="K915" s="143" t="s">
        <v>2504</v>
      </c>
      <c r="L915" s="143" t="s">
        <v>2504</v>
      </c>
      <c r="M915" s="143" t="s">
        <v>2504</v>
      </c>
      <c r="N915" s="143" t="s">
        <v>1490</v>
      </c>
      <c r="O915" s="143" t="s">
        <v>2504</v>
      </c>
      <c r="P915" s="143" t="s">
        <v>2504</v>
      </c>
      <c r="Q915" s="148" t="s">
        <v>1491</v>
      </c>
      <c r="R915" s="148" t="s">
        <v>1025</v>
      </c>
      <c r="S915" s="148" t="s">
        <v>1492</v>
      </c>
      <c r="T915" s="149">
        <v>19</v>
      </c>
      <c r="U915" s="148" t="s">
        <v>591</v>
      </c>
      <c r="V915" s="150">
        <v>2167.54</v>
      </c>
      <c r="W915" s="151">
        <v>18032.59</v>
      </c>
    </row>
    <row r="916" spans="1:23" ht="15" customHeight="1" x14ac:dyDescent="0.25">
      <c r="A916" s="148">
        <v>10424</v>
      </c>
      <c r="B916" s="148" t="s">
        <v>1493</v>
      </c>
      <c r="C916" s="143" t="s">
        <v>2504</v>
      </c>
      <c r="D916" s="143" t="s">
        <v>2504</v>
      </c>
      <c r="E916" s="143" t="s">
        <v>2504</v>
      </c>
      <c r="F916" s="143" t="s">
        <v>2504</v>
      </c>
      <c r="G916" s="143" t="s">
        <v>2504</v>
      </c>
      <c r="H916" s="143" t="s">
        <v>2504</v>
      </c>
      <c r="I916" s="143" t="s">
        <v>2504</v>
      </c>
      <c r="J916" s="143" t="s">
        <v>2504</v>
      </c>
      <c r="K916" s="143" t="s">
        <v>2504</v>
      </c>
      <c r="L916" s="143" t="s">
        <v>2504</v>
      </c>
      <c r="M916" s="143" t="s">
        <v>2504</v>
      </c>
      <c r="N916" s="143" t="s">
        <v>1493</v>
      </c>
      <c r="O916" s="143" t="s">
        <v>2504</v>
      </c>
      <c r="P916" s="143" t="s">
        <v>2504</v>
      </c>
      <c r="Q916" s="148" t="s">
        <v>1494</v>
      </c>
      <c r="R916" s="148" t="s">
        <v>1025</v>
      </c>
      <c r="S916" s="148" t="s">
        <v>1492</v>
      </c>
      <c r="T916" s="149">
        <v>19</v>
      </c>
      <c r="U916" s="148" t="s">
        <v>591</v>
      </c>
      <c r="V916" s="150">
        <v>2008.01</v>
      </c>
      <c r="W916" s="151">
        <v>23392.3</v>
      </c>
    </row>
    <row r="917" spans="1:23" ht="15" customHeight="1" x14ac:dyDescent="0.25">
      <c r="A917" s="148">
        <v>10425</v>
      </c>
      <c r="B917" s="148" t="s">
        <v>1495</v>
      </c>
      <c r="C917" s="143" t="s">
        <v>2504</v>
      </c>
      <c r="D917" s="143" t="s">
        <v>2504</v>
      </c>
      <c r="E917" s="143" t="s">
        <v>2504</v>
      </c>
      <c r="F917" s="143" t="s">
        <v>2504</v>
      </c>
      <c r="G917" s="143" t="s">
        <v>2504</v>
      </c>
      <c r="H917" s="143" t="s">
        <v>2504</v>
      </c>
      <c r="I917" s="143" t="s">
        <v>2504</v>
      </c>
      <c r="J917" s="143" t="s">
        <v>2504</v>
      </c>
      <c r="K917" s="143" t="s">
        <v>2504</v>
      </c>
      <c r="L917" s="143" t="s">
        <v>2504</v>
      </c>
      <c r="M917" s="143" t="s">
        <v>2504</v>
      </c>
      <c r="N917" s="143" t="s">
        <v>1495</v>
      </c>
      <c r="O917" s="143" t="s">
        <v>2504</v>
      </c>
      <c r="P917" s="143" t="s">
        <v>2504</v>
      </c>
      <c r="Q917" s="148" t="s">
        <v>1496</v>
      </c>
      <c r="R917" s="148" t="s">
        <v>1025</v>
      </c>
      <c r="S917" s="148" t="s">
        <v>1492</v>
      </c>
      <c r="T917" s="149">
        <v>19</v>
      </c>
      <c r="U917" s="148" t="s">
        <v>591</v>
      </c>
      <c r="V917" s="150">
        <v>1982.11</v>
      </c>
      <c r="W917" s="151">
        <v>35375.33</v>
      </c>
    </row>
    <row r="918" spans="1:23" ht="15" customHeight="1" x14ac:dyDescent="0.25">
      <c r="A918" s="148">
        <v>10723</v>
      </c>
      <c r="B918" s="148" t="s">
        <v>1779</v>
      </c>
      <c r="C918" s="143" t="s">
        <v>2504</v>
      </c>
      <c r="D918" s="143" t="s">
        <v>2504</v>
      </c>
      <c r="E918" s="143" t="s">
        <v>2504</v>
      </c>
      <c r="F918" s="143" t="s">
        <v>2504</v>
      </c>
      <c r="G918" s="143" t="s">
        <v>2504</v>
      </c>
      <c r="H918" s="143" t="s">
        <v>2504</v>
      </c>
      <c r="I918" s="143" t="s">
        <v>2504</v>
      </c>
      <c r="J918" s="143" t="s">
        <v>2504</v>
      </c>
      <c r="K918" s="143" t="s">
        <v>2504</v>
      </c>
      <c r="L918" s="143" t="s">
        <v>2504</v>
      </c>
      <c r="M918" s="143" t="s">
        <v>2504</v>
      </c>
      <c r="N918" s="143" t="s">
        <v>1779</v>
      </c>
      <c r="O918" s="143" t="s">
        <v>2504</v>
      </c>
      <c r="P918" s="143" t="s">
        <v>2504</v>
      </c>
      <c r="Q918" s="148" t="s">
        <v>1780</v>
      </c>
      <c r="R918" s="148" t="s">
        <v>1025</v>
      </c>
      <c r="S918" s="148" t="s">
        <v>1492</v>
      </c>
      <c r="T918" s="149">
        <v>200</v>
      </c>
      <c r="U918" s="148" t="s">
        <v>591</v>
      </c>
      <c r="V918" s="150">
        <v>22727.19</v>
      </c>
      <c r="W918" s="151">
        <v>28949.96</v>
      </c>
    </row>
    <row r="919" spans="1:23" ht="15" customHeight="1" x14ac:dyDescent="0.25">
      <c r="A919" s="148">
        <v>10724</v>
      </c>
      <c r="B919" s="148" t="s">
        <v>1781</v>
      </c>
      <c r="C919" s="143" t="s">
        <v>2504</v>
      </c>
      <c r="D919" s="143" t="s">
        <v>2504</v>
      </c>
      <c r="E919" s="143" t="s">
        <v>2504</v>
      </c>
      <c r="F919" s="143" t="s">
        <v>2504</v>
      </c>
      <c r="G919" s="143" t="s">
        <v>2504</v>
      </c>
      <c r="H919" s="143" t="s">
        <v>2504</v>
      </c>
      <c r="I919" s="143" t="s">
        <v>2504</v>
      </c>
      <c r="J919" s="143" t="s">
        <v>2504</v>
      </c>
      <c r="K919" s="143" t="s">
        <v>2504</v>
      </c>
      <c r="L919" s="143" t="s">
        <v>2504</v>
      </c>
      <c r="M919" s="143" t="s">
        <v>2504</v>
      </c>
      <c r="N919" s="143" t="s">
        <v>1781</v>
      </c>
      <c r="O919" s="143" t="s">
        <v>2504</v>
      </c>
      <c r="P919" s="143" t="s">
        <v>2504</v>
      </c>
      <c r="Q919" s="148" t="s">
        <v>1782</v>
      </c>
      <c r="R919" s="148" t="s">
        <v>1025</v>
      </c>
      <c r="S919" s="148" t="s">
        <v>1492</v>
      </c>
      <c r="T919" s="149">
        <v>200</v>
      </c>
      <c r="U919" s="148" t="s">
        <v>591</v>
      </c>
      <c r="V919" s="150">
        <v>21047.97</v>
      </c>
      <c r="W919" s="151">
        <f>V919*1000</f>
        <v>21047970</v>
      </c>
    </row>
    <row r="920" spans="1:23" ht="15" customHeight="1" x14ac:dyDescent="0.25">
      <c r="A920" s="148">
        <v>10725</v>
      </c>
      <c r="B920" s="148" t="s">
        <v>1783</v>
      </c>
      <c r="C920" s="143" t="s">
        <v>2504</v>
      </c>
      <c r="D920" s="143" t="s">
        <v>2504</v>
      </c>
      <c r="E920" s="143" t="s">
        <v>2504</v>
      </c>
      <c r="F920" s="143" t="s">
        <v>2504</v>
      </c>
      <c r="G920" s="143" t="s">
        <v>2504</v>
      </c>
      <c r="H920" s="143" t="s">
        <v>2504</v>
      </c>
      <c r="I920" s="143" t="s">
        <v>2504</v>
      </c>
      <c r="J920" s="143" t="s">
        <v>2504</v>
      </c>
      <c r="K920" s="143" t="s">
        <v>2504</v>
      </c>
      <c r="L920" s="143" t="s">
        <v>2504</v>
      </c>
      <c r="M920" s="143" t="s">
        <v>2504</v>
      </c>
      <c r="N920" s="143" t="s">
        <v>1783</v>
      </c>
      <c r="O920" s="143" t="s">
        <v>2504</v>
      </c>
      <c r="P920" s="143" t="s">
        <v>2504</v>
      </c>
      <c r="Q920" s="148" t="s">
        <v>1784</v>
      </c>
      <c r="R920" s="148" t="s">
        <v>1025</v>
      </c>
      <c r="S920" s="148" t="s">
        <v>1492</v>
      </c>
      <c r="T920" s="149">
        <v>200</v>
      </c>
      <c r="U920" s="148" t="s">
        <v>591</v>
      </c>
      <c r="V920" s="150">
        <v>20775.25</v>
      </c>
      <c r="W920" s="151">
        <f t="shared" ref="W920:W942" si="5">V920*1000</f>
        <v>20775250</v>
      </c>
    </row>
    <row r="921" spans="1:23" ht="15" customHeight="1" x14ac:dyDescent="0.25">
      <c r="A921" s="148">
        <v>10431</v>
      </c>
      <c r="B921" s="148" t="s">
        <v>1508</v>
      </c>
      <c r="C921" s="143" t="s">
        <v>2504</v>
      </c>
      <c r="D921" s="143" t="s">
        <v>2504</v>
      </c>
      <c r="E921" s="143" t="s">
        <v>2504</v>
      </c>
      <c r="F921" s="143" t="s">
        <v>2504</v>
      </c>
      <c r="G921" s="143" t="s">
        <v>2504</v>
      </c>
      <c r="H921" s="143" t="s">
        <v>2504</v>
      </c>
      <c r="I921" s="143" t="s">
        <v>2504</v>
      </c>
      <c r="J921" s="143" t="s">
        <v>2504</v>
      </c>
      <c r="K921" s="143" t="s">
        <v>2504</v>
      </c>
      <c r="L921" s="143" t="s">
        <v>2504</v>
      </c>
      <c r="M921" s="143" t="s">
        <v>2504</v>
      </c>
      <c r="N921" s="143" t="s">
        <v>1508</v>
      </c>
      <c r="O921" s="143" t="s">
        <v>2504</v>
      </c>
      <c r="P921" s="143" t="s">
        <v>2504</v>
      </c>
      <c r="Q921" s="148" t="s">
        <v>1509</v>
      </c>
      <c r="R921" s="148" t="s">
        <v>1025</v>
      </c>
      <c r="S921" s="148" t="s">
        <v>1510</v>
      </c>
      <c r="T921" s="149">
        <v>19</v>
      </c>
      <c r="U921" s="148" t="s">
        <v>935</v>
      </c>
      <c r="V921" s="150">
        <v>4247.05</v>
      </c>
      <c r="W921" s="151">
        <f t="shared" si="5"/>
        <v>4247050</v>
      </c>
    </row>
    <row r="922" spans="1:23" ht="15" customHeight="1" x14ac:dyDescent="0.25">
      <c r="A922" s="148">
        <v>10731</v>
      </c>
      <c r="B922" s="148" t="s">
        <v>1796</v>
      </c>
      <c r="C922" s="143" t="s">
        <v>2504</v>
      </c>
      <c r="D922" s="143" t="s">
        <v>2504</v>
      </c>
      <c r="E922" s="143" t="s">
        <v>2504</v>
      </c>
      <c r="F922" s="143" t="s">
        <v>2504</v>
      </c>
      <c r="G922" s="143" t="s">
        <v>2504</v>
      </c>
      <c r="H922" s="143" t="s">
        <v>2504</v>
      </c>
      <c r="I922" s="143" t="s">
        <v>2504</v>
      </c>
      <c r="J922" s="143" t="s">
        <v>2504</v>
      </c>
      <c r="K922" s="143" t="s">
        <v>2504</v>
      </c>
      <c r="L922" s="143" t="s">
        <v>2504</v>
      </c>
      <c r="M922" s="143" t="s">
        <v>2504</v>
      </c>
      <c r="N922" s="143" t="s">
        <v>1796</v>
      </c>
      <c r="O922" s="143" t="s">
        <v>2504</v>
      </c>
      <c r="P922" s="143" t="s">
        <v>2504</v>
      </c>
      <c r="Q922" s="148" t="s">
        <v>1797</v>
      </c>
      <c r="R922" s="148" t="s">
        <v>1025</v>
      </c>
      <c r="S922" s="148" t="s">
        <v>1798</v>
      </c>
      <c r="T922" s="149">
        <v>200</v>
      </c>
      <c r="U922" s="148" t="s">
        <v>596</v>
      </c>
      <c r="V922" s="150">
        <v>44616.38</v>
      </c>
      <c r="W922" s="151">
        <f t="shared" si="5"/>
        <v>44616380</v>
      </c>
    </row>
    <row r="923" spans="1:23" ht="15" customHeight="1" x14ac:dyDescent="0.25">
      <c r="A923" s="148">
        <v>10728</v>
      </c>
      <c r="B923" s="148" t="s">
        <v>1789</v>
      </c>
      <c r="C923" s="143" t="s">
        <v>2504</v>
      </c>
      <c r="D923" s="143" t="s">
        <v>2504</v>
      </c>
      <c r="E923" s="143" t="s">
        <v>2504</v>
      </c>
      <c r="F923" s="143" t="s">
        <v>2504</v>
      </c>
      <c r="G923" s="143" t="s">
        <v>2504</v>
      </c>
      <c r="H923" s="143" t="s">
        <v>2504</v>
      </c>
      <c r="I923" s="143" t="s">
        <v>2504</v>
      </c>
      <c r="J923" s="143" t="s">
        <v>2504</v>
      </c>
      <c r="K923" s="143" t="s">
        <v>2504</v>
      </c>
      <c r="L923" s="143" t="s">
        <v>2504</v>
      </c>
      <c r="M923" s="143" t="s">
        <v>2504</v>
      </c>
      <c r="N923" s="143" t="s">
        <v>1789</v>
      </c>
      <c r="O923" s="143" t="s">
        <v>2504</v>
      </c>
      <c r="P923" s="143" t="s">
        <v>2504</v>
      </c>
      <c r="Q923" s="148" t="s">
        <v>1790</v>
      </c>
      <c r="R923" s="148" t="s">
        <v>1025</v>
      </c>
      <c r="S923" s="148" t="s">
        <v>1791</v>
      </c>
      <c r="T923" s="149">
        <v>200</v>
      </c>
      <c r="U923" s="148" t="s">
        <v>935</v>
      </c>
      <c r="V923" s="150">
        <v>27683.38</v>
      </c>
      <c r="W923" s="151">
        <f t="shared" si="5"/>
        <v>27683380</v>
      </c>
    </row>
    <row r="924" spans="1:23" ht="15" customHeight="1" x14ac:dyDescent="0.25">
      <c r="A924" s="148">
        <v>10432</v>
      </c>
      <c r="B924" s="148" t="s">
        <v>1511</v>
      </c>
      <c r="C924" s="143" t="s">
        <v>2504</v>
      </c>
      <c r="D924" s="143" t="s">
        <v>2504</v>
      </c>
      <c r="E924" s="143" t="s">
        <v>2504</v>
      </c>
      <c r="F924" s="143" t="s">
        <v>2504</v>
      </c>
      <c r="G924" s="143" t="s">
        <v>2504</v>
      </c>
      <c r="H924" s="143" t="s">
        <v>2504</v>
      </c>
      <c r="I924" s="143" t="s">
        <v>2504</v>
      </c>
      <c r="J924" s="143" t="s">
        <v>2504</v>
      </c>
      <c r="K924" s="143" t="s">
        <v>2504</v>
      </c>
      <c r="L924" s="143" t="s">
        <v>2504</v>
      </c>
      <c r="M924" s="143" t="s">
        <v>2504</v>
      </c>
      <c r="N924" s="143" t="s">
        <v>1511</v>
      </c>
      <c r="O924" s="143" t="s">
        <v>2504</v>
      </c>
      <c r="P924" s="143" t="s">
        <v>2504</v>
      </c>
      <c r="Q924" s="148" t="s">
        <v>1512</v>
      </c>
      <c r="R924" s="148" t="s">
        <v>1025</v>
      </c>
      <c r="S924" s="148" t="s">
        <v>1513</v>
      </c>
      <c r="T924" s="149">
        <v>19</v>
      </c>
      <c r="U924" s="148" t="s">
        <v>591</v>
      </c>
      <c r="V924" s="150">
        <v>2828.23</v>
      </c>
      <c r="W924" s="151">
        <f t="shared" si="5"/>
        <v>2828230</v>
      </c>
    </row>
    <row r="925" spans="1:23" ht="15" customHeight="1" x14ac:dyDescent="0.25">
      <c r="A925" s="148">
        <v>10732</v>
      </c>
      <c r="B925" s="148" t="s">
        <v>1799</v>
      </c>
      <c r="C925" s="143" t="s">
        <v>2504</v>
      </c>
      <c r="D925" s="143" t="s">
        <v>2504</v>
      </c>
      <c r="E925" s="143" t="s">
        <v>2504</v>
      </c>
      <c r="F925" s="143" t="s">
        <v>2504</v>
      </c>
      <c r="G925" s="143" t="s">
        <v>2504</v>
      </c>
      <c r="H925" s="143" t="s">
        <v>2504</v>
      </c>
      <c r="I925" s="143" t="s">
        <v>2504</v>
      </c>
      <c r="J925" s="143" t="s">
        <v>2504</v>
      </c>
      <c r="K925" s="143" t="s">
        <v>2504</v>
      </c>
      <c r="L925" s="143" t="s">
        <v>2504</v>
      </c>
      <c r="M925" s="143" t="s">
        <v>2504</v>
      </c>
      <c r="N925" s="143" t="s">
        <v>1799</v>
      </c>
      <c r="O925" s="143" t="s">
        <v>2504</v>
      </c>
      <c r="P925" s="143" t="s">
        <v>2504</v>
      </c>
      <c r="Q925" s="148" t="s">
        <v>1800</v>
      </c>
      <c r="R925" s="148" t="s">
        <v>1025</v>
      </c>
      <c r="S925" s="148" t="s">
        <v>1513</v>
      </c>
      <c r="T925" s="149">
        <v>200</v>
      </c>
      <c r="U925" s="148" t="s">
        <v>591</v>
      </c>
      <c r="V925" s="150">
        <v>29675.89</v>
      </c>
      <c r="W925" s="151">
        <f t="shared" si="5"/>
        <v>29675890</v>
      </c>
    </row>
    <row r="926" spans="1:23" ht="15" customHeight="1" x14ac:dyDescent="0.25">
      <c r="A926" s="148">
        <v>10420</v>
      </c>
      <c r="B926" s="148" t="s">
        <v>1483</v>
      </c>
      <c r="C926" s="143" t="s">
        <v>2504</v>
      </c>
      <c r="D926" s="143" t="s">
        <v>2504</v>
      </c>
      <c r="E926" s="143" t="s">
        <v>2504</v>
      </c>
      <c r="F926" s="143" t="s">
        <v>2504</v>
      </c>
      <c r="G926" s="143" t="s">
        <v>2504</v>
      </c>
      <c r="H926" s="143" t="s">
        <v>2504</v>
      </c>
      <c r="I926" s="143" t="s">
        <v>2504</v>
      </c>
      <c r="J926" s="143" t="s">
        <v>2504</v>
      </c>
      <c r="K926" s="143" t="s">
        <v>2504</v>
      </c>
      <c r="L926" s="143" t="s">
        <v>2504</v>
      </c>
      <c r="M926" s="143" t="s">
        <v>2504</v>
      </c>
      <c r="N926" s="143" t="s">
        <v>1483</v>
      </c>
      <c r="O926" s="143" t="s">
        <v>2504</v>
      </c>
      <c r="P926" s="143" t="s">
        <v>2504</v>
      </c>
      <c r="Q926" s="148" t="s">
        <v>1484</v>
      </c>
      <c r="R926" s="148" t="s">
        <v>1025</v>
      </c>
      <c r="S926" s="148" t="s">
        <v>1485</v>
      </c>
      <c r="T926" s="149">
        <v>19</v>
      </c>
      <c r="U926" s="148" t="s">
        <v>591</v>
      </c>
      <c r="V926" s="150">
        <v>7124.17</v>
      </c>
      <c r="W926" s="151">
        <f t="shared" si="5"/>
        <v>7124170</v>
      </c>
    </row>
    <row r="927" spans="1:23" ht="15" customHeight="1" x14ac:dyDescent="0.25">
      <c r="A927" s="148">
        <v>10421</v>
      </c>
      <c r="B927" s="148" t="s">
        <v>1486</v>
      </c>
      <c r="C927" s="143" t="s">
        <v>2504</v>
      </c>
      <c r="D927" s="143" t="s">
        <v>2504</v>
      </c>
      <c r="E927" s="143" t="s">
        <v>2504</v>
      </c>
      <c r="F927" s="143" t="s">
        <v>2504</v>
      </c>
      <c r="G927" s="143" t="s">
        <v>2504</v>
      </c>
      <c r="H927" s="143" t="s">
        <v>2504</v>
      </c>
      <c r="I927" s="143" t="s">
        <v>2504</v>
      </c>
      <c r="J927" s="143" t="s">
        <v>2504</v>
      </c>
      <c r="K927" s="143" t="s">
        <v>2504</v>
      </c>
      <c r="L927" s="143" t="s">
        <v>2504</v>
      </c>
      <c r="M927" s="143" t="s">
        <v>2504</v>
      </c>
      <c r="N927" s="143" t="s">
        <v>1486</v>
      </c>
      <c r="O927" s="143" t="s">
        <v>2504</v>
      </c>
      <c r="P927" s="143" t="s">
        <v>2504</v>
      </c>
      <c r="Q927" s="148" t="s">
        <v>1487</v>
      </c>
      <c r="R927" s="148" t="s">
        <v>1025</v>
      </c>
      <c r="S927" s="148" t="s">
        <v>1485</v>
      </c>
      <c r="T927" s="149">
        <v>19</v>
      </c>
      <c r="U927" s="148" t="s">
        <v>591</v>
      </c>
      <c r="V927" s="150">
        <v>5535.21</v>
      </c>
      <c r="W927" s="151">
        <f t="shared" si="5"/>
        <v>5535210</v>
      </c>
    </row>
    <row r="928" spans="1:23" ht="15" customHeight="1" x14ac:dyDescent="0.25">
      <c r="A928" s="148">
        <v>10422</v>
      </c>
      <c r="B928" s="148" t="s">
        <v>1488</v>
      </c>
      <c r="C928" s="143" t="s">
        <v>2504</v>
      </c>
      <c r="D928" s="143" t="s">
        <v>2504</v>
      </c>
      <c r="E928" s="143" t="s">
        <v>2504</v>
      </c>
      <c r="F928" s="143" t="s">
        <v>2504</v>
      </c>
      <c r="G928" s="143" t="s">
        <v>2504</v>
      </c>
      <c r="H928" s="143" t="s">
        <v>2504</v>
      </c>
      <c r="I928" s="143" t="s">
        <v>2504</v>
      </c>
      <c r="J928" s="143" t="s">
        <v>2504</v>
      </c>
      <c r="K928" s="143" t="s">
        <v>2504</v>
      </c>
      <c r="L928" s="143" t="s">
        <v>2504</v>
      </c>
      <c r="M928" s="143" t="s">
        <v>2504</v>
      </c>
      <c r="N928" s="143" t="s">
        <v>1488</v>
      </c>
      <c r="O928" s="143" t="s">
        <v>2504</v>
      </c>
      <c r="P928" s="143" t="s">
        <v>2504</v>
      </c>
      <c r="Q928" s="148" t="s">
        <v>1489</v>
      </c>
      <c r="R928" s="148" t="s">
        <v>1025</v>
      </c>
      <c r="S928" s="148" t="s">
        <v>1485</v>
      </c>
      <c r="T928" s="149">
        <v>19</v>
      </c>
      <c r="U928" s="148" t="s">
        <v>591</v>
      </c>
      <c r="V928" s="150">
        <v>7844.99</v>
      </c>
      <c r="W928" s="151">
        <f t="shared" si="5"/>
        <v>7844990</v>
      </c>
    </row>
    <row r="929" spans="1:23" ht="15" customHeight="1" x14ac:dyDescent="0.25">
      <c r="A929" s="148">
        <v>10720</v>
      </c>
      <c r="B929" s="148" t="s">
        <v>1773</v>
      </c>
      <c r="C929" s="143" t="s">
        <v>2504</v>
      </c>
      <c r="D929" s="143" t="s">
        <v>2504</v>
      </c>
      <c r="E929" s="143" t="s">
        <v>2504</v>
      </c>
      <c r="F929" s="143" t="s">
        <v>2504</v>
      </c>
      <c r="G929" s="143" t="s">
        <v>2504</v>
      </c>
      <c r="H929" s="143" t="s">
        <v>2504</v>
      </c>
      <c r="I929" s="143" t="s">
        <v>2504</v>
      </c>
      <c r="J929" s="143" t="s">
        <v>2504</v>
      </c>
      <c r="K929" s="143" t="s">
        <v>2504</v>
      </c>
      <c r="L929" s="143" t="s">
        <v>2504</v>
      </c>
      <c r="M929" s="143" t="s">
        <v>2504</v>
      </c>
      <c r="N929" s="143" t="s">
        <v>1773</v>
      </c>
      <c r="O929" s="143" t="s">
        <v>2504</v>
      </c>
      <c r="P929" s="143" t="s">
        <v>2504</v>
      </c>
      <c r="Q929" s="148" t="s">
        <v>1774</v>
      </c>
      <c r="R929" s="148" t="s">
        <v>1025</v>
      </c>
      <c r="S929" s="148" t="s">
        <v>1485</v>
      </c>
      <c r="T929" s="149">
        <v>200</v>
      </c>
      <c r="U929" s="148" t="s">
        <v>591</v>
      </c>
      <c r="V929" s="150">
        <v>74896.34</v>
      </c>
      <c r="W929" s="151">
        <f t="shared" si="5"/>
        <v>74896340</v>
      </c>
    </row>
    <row r="930" spans="1:23" ht="15" customHeight="1" x14ac:dyDescent="0.25">
      <c r="A930" s="148">
        <v>10721</v>
      </c>
      <c r="B930" s="148" t="s">
        <v>1775</v>
      </c>
      <c r="C930" s="143" t="s">
        <v>2504</v>
      </c>
      <c r="D930" s="143" t="s">
        <v>2504</v>
      </c>
      <c r="E930" s="143" t="s">
        <v>2504</v>
      </c>
      <c r="F930" s="143" t="s">
        <v>2504</v>
      </c>
      <c r="G930" s="143" t="s">
        <v>2504</v>
      </c>
      <c r="H930" s="143" t="s">
        <v>2504</v>
      </c>
      <c r="I930" s="143" t="s">
        <v>2504</v>
      </c>
      <c r="J930" s="143" t="s">
        <v>2504</v>
      </c>
      <c r="K930" s="143" t="s">
        <v>2504</v>
      </c>
      <c r="L930" s="143" t="s">
        <v>2504</v>
      </c>
      <c r="M930" s="143" t="s">
        <v>2504</v>
      </c>
      <c r="N930" s="143" t="s">
        <v>1775</v>
      </c>
      <c r="O930" s="143" t="s">
        <v>2504</v>
      </c>
      <c r="P930" s="143" t="s">
        <v>2504</v>
      </c>
      <c r="Q930" s="148" t="s">
        <v>1776</v>
      </c>
      <c r="R930" s="148" t="s">
        <v>1025</v>
      </c>
      <c r="S930" s="148" t="s">
        <v>1485</v>
      </c>
      <c r="T930" s="149">
        <v>200</v>
      </c>
      <c r="U930" s="148" t="s">
        <v>591</v>
      </c>
      <c r="V930" s="150">
        <v>58176.86</v>
      </c>
      <c r="W930" s="151">
        <f t="shared" si="5"/>
        <v>58176860</v>
      </c>
    </row>
    <row r="931" spans="1:23" ht="15" customHeight="1" x14ac:dyDescent="0.25">
      <c r="A931" s="148">
        <v>10722</v>
      </c>
      <c r="B931" s="148" t="s">
        <v>1777</v>
      </c>
      <c r="C931" s="143" t="s">
        <v>2504</v>
      </c>
      <c r="D931" s="143" t="s">
        <v>2504</v>
      </c>
      <c r="E931" s="143" t="s">
        <v>2504</v>
      </c>
      <c r="F931" s="143" t="s">
        <v>2504</v>
      </c>
      <c r="G931" s="143" t="s">
        <v>2504</v>
      </c>
      <c r="H931" s="143" t="s">
        <v>2504</v>
      </c>
      <c r="I931" s="143" t="s">
        <v>2504</v>
      </c>
      <c r="J931" s="143" t="s">
        <v>2504</v>
      </c>
      <c r="K931" s="143" t="s">
        <v>2504</v>
      </c>
      <c r="L931" s="143" t="s">
        <v>2504</v>
      </c>
      <c r="M931" s="143" t="s">
        <v>2504</v>
      </c>
      <c r="N931" s="143" t="s">
        <v>1777</v>
      </c>
      <c r="O931" s="143" t="s">
        <v>2504</v>
      </c>
      <c r="P931" s="143" t="s">
        <v>2504</v>
      </c>
      <c r="Q931" s="148" t="s">
        <v>1778</v>
      </c>
      <c r="R931" s="148" t="s">
        <v>1025</v>
      </c>
      <c r="S931" s="148" t="s">
        <v>1485</v>
      </c>
      <c r="T931" s="149">
        <v>200</v>
      </c>
      <c r="U931" s="148" t="s">
        <v>591</v>
      </c>
      <c r="V931" s="150">
        <v>82481.8</v>
      </c>
      <c r="W931" s="151">
        <f t="shared" si="5"/>
        <v>82481800</v>
      </c>
    </row>
    <row r="932" spans="1:23" ht="15" customHeight="1" x14ac:dyDescent="0.25">
      <c r="A932" s="148">
        <v>10434</v>
      </c>
      <c r="B932" s="148" t="s">
        <v>1517</v>
      </c>
      <c r="C932" s="143" t="s">
        <v>2504</v>
      </c>
      <c r="D932" s="143" t="s">
        <v>2504</v>
      </c>
      <c r="E932" s="143" t="s">
        <v>2504</v>
      </c>
      <c r="F932" s="143" t="s">
        <v>2504</v>
      </c>
      <c r="G932" s="143" t="s">
        <v>2504</v>
      </c>
      <c r="H932" s="143" t="s">
        <v>2504</v>
      </c>
      <c r="I932" s="143" t="s">
        <v>2504</v>
      </c>
      <c r="J932" s="143" t="s">
        <v>2504</v>
      </c>
      <c r="K932" s="143" t="s">
        <v>2504</v>
      </c>
      <c r="L932" s="143" t="s">
        <v>2504</v>
      </c>
      <c r="M932" s="143" t="s">
        <v>2504</v>
      </c>
      <c r="N932" s="143" t="s">
        <v>1517</v>
      </c>
      <c r="O932" s="143" t="s">
        <v>2504</v>
      </c>
      <c r="P932" s="143" t="s">
        <v>2504</v>
      </c>
      <c r="Q932" s="148" t="s">
        <v>1518</v>
      </c>
      <c r="R932" s="148" t="s">
        <v>1025</v>
      </c>
      <c r="S932" s="148" t="s">
        <v>1195</v>
      </c>
      <c r="T932" s="149">
        <v>19</v>
      </c>
      <c r="U932" s="148" t="s">
        <v>591</v>
      </c>
      <c r="V932" s="150">
        <v>2058.6799999999998</v>
      </c>
      <c r="W932" s="151">
        <f t="shared" si="5"/>
        <v>2058679.9999999998</v>
      </c>
    </row>
    <row r="933" spans="1:23" ht="15" customHeight="1" x14ac:dyDescent="0.25">
      <c r="A933" s="148">
        <v>10734</v>
      </c>
      <c r="B933" s="148" t="s">
        <v>1803</v>
      </c>
      <c r="C933" s="143" t="s">
        <v>2504</v>
      </c>
      <c r="D933" s="143" t="s">
        <v>2504</v>
      </c>
      <c r="E933" s="143" t="s">
        <v>2504</v>
      </c>
      <c r="F933" s="143" t="s">
        <v>2504</v>
      </c>
      <c r="G933" s="143" t="s">
        <v>2504</v>
      </c>
      <c r="H933" s="143" t="s">
        <v>2504</v>
      </c>
      <c r="I933" s="143" t="s">
        <v>2504</v>
      </c>
      <c r="J933" s="143" t="s">
        <v>2504</v>
      </c>
      <c r="K933" s="143" t="s">
        <v>2504</v>
      </c>
      <c r="L933" s="143" t="s">
        <v>2504</v>
      </c>
      <c r="M933" s="143" t="s">
        <v>2504</v>
      </c>
      <c r="N933" s="143" t="s">
        <v>1803</v>
      </c>
      <c r="O933" s="143" t="s">
        <v>2504</v>
      </c>
      <c r="P933" s="143" t="s">
        <v>2504</v>
      </c>
      <c r="Q933" s="148" t="s">
        <v>1804</v>
      </c>
      <c r="R933" s="148" t="s">
        <v>1025</v>
      </c>
      <c r="S933" s="148" t="s">
        <v>1195</v>
      </c>
      <c r="T933" s="149">
        <v>200</v>
      </c>
      <c r="U933" s="148" t="s">
        <v>591</v>
      </c>
      <c r="V933" s="150">
        <v>21581.23</v>
      </c>
      <c r="W933" s="151">
        <f t="shared" si="5"/>
        <v>21581230</v>
      </c>
    </row>
    <row r="934" spans="1:23" ht="15" customHeight="1" x14ac:dyDescent="0.25">
      <c r="A934" s="148">
        <v>10435</v>
      </c>
      <c r="B934" s="148" t="s">
        <v>1519</v>
      </c>
      <c r="C934" s="143" t="s">
        <v>2504</v>
      </c>
      <c r="D934" s="143" t="s">
        <v>2504</v>
      </c>
      <c r="E934" s="143" t="s">
        <v>2504</v>
      </c>
      <c r="F934" s="143" t="s">
        <v>2504</v>
      </c>
      <c r="G934" s="143" t="s">
        <v>2504</v>
      </c>
      <c r="H934" s="143" t="s">
        <v>2504</v>
      </c>
      <c r="I934" s="143" t="s">
        <v>2504</v>
      </c>
      <c r="J934" s="143" t="s">
        <v>2504</v>
      </c>
      <c r="K934" s="143" t="s">
        <v>2504</v>
      </c>
      <c r="L934" s="143" t="s">
        <v>2504</v>
      </c>
      <c r="M934" s="143" t="s">
        <v>2504</v>
      </c>
      <c r="N934" s="143" t="s">
        <v>1519</v>
      </c>
      <c r="O934" s="143" t="s">
        <v>2504</v>
      </c>
      <c r="P934" s="143" t="s">
        <v>2504</v>
      </c>
      <c r="Q934" s="148" t="s">
        <v>1520</v>
      </c>
      <c r="R934" s="148" t="s">
        <v>1025</v>
      </c>
      <c r="S934" s="148" t="s">
        <v>1198</v>
      </c>
      <c r="T934" s="149">
        <v>19</v>
      </c>
      <c r="U934" s="148" t="s">
        <v>591</v>
      </c>
      <c r="V934" s="150">
        <v>2094.2399999999998</v>
      </c>
      <c r="W934" s="151">
        <f t="shared" si="5"/>
        <v>2094239.9999999998</v>
      </c>
    </row>
    <row r="935" spans="1:23" ht="15" customHeight="1" x14ac:dyDescent="0.25">
      <c r="A935" s="148">
        <v>10735</v>
      </c>
      <c r="B935" s="148" t="s">
        <v>1805</v>
      </c>
      <c r="C935" s="143" t="s">
        <v>2504</v>
      </c>
      <c r="D935" s="143" t="s">
        <v>2504</v>
      </c>
      <c r="E935" s="143" t="s">
        <v>2504</v>
      </c>
      <c r="F935" s="143" t="s">
        <v>2504</v>
      </c>
      <c r="G935" s="143" t="s">
        <v>2504</v>
      </c>
      <c r="H935" s="143" t="s">
        <v>2504</v>
      </c>
      <c r="I935" s="143" t="s">
        <v>2504</v>
      </c>
      <c r="J935" s="143" t="s">
        <v>2504</v>
      </c>
      <c r="K935" s="143" t="s">
        <v>2504</v>
      </c>
      <c r="L935" s="143" t="s">
        <v>2504</v>
      </c>
      <c r="M935" s="143" t="s">
        <v>2504</v>
      </c>
      <c r="N935" s="143" t="s">
        <v>1805</v>
      </c>
      <c r="O935" s="143" t="s">
        <v>2504</v>
      </c>
      <c r="P935" s="143" t="s">
        <v>2504</v>
      </c>
      <c r="Q935" s="148" t="s">
        <v>1806</v>
      </c>
      <c r="R935" s="148" t="s">
        <v>1025</v>
      </c>
      <c r="S935" s="148" t="s">
        <v>1198</v>
      </c>
      <c r="T935" s="149">
        <v>200</v>
      </c>
      <c r="U935" s="148" t="s">
        <v>591</v>
      </c>
      <c r="V935" s="150">
        <v>21955.67</v>
      </c>
      <c r="W935" s="151">
        <f t="shared" si="5"/>
        <v>21955670</v>
      </c>
    </row>
    <row r="936" spans="1:23" ht="15" customHeight="1" x14ac:dyDescent="0.25">
      <c r="A936" s="148">
        <v>10711</v>
      </c>
      <c r="B936" s="148" t="s">
        <v>1755</v>
      </c>
      <c r="C936" s="143" t="s">
        <v>2504</v>
      </c>
      <c r="D936" s="143" t="s">
        <v>2504</v>
      </c>
      <c r="E936" s="143" t="s">
        <v>2504</v>
      </c>
      <c r="F936" s="143" t="s">
        <v>2504</v>
      </c>
      <c r="G936" s="143" t="s">
        <v>2504</v>
      </c>
      <c r="H936" s="143" t="s">
        <v>2504</v>
      </c>
      <c r="I936" s="143" t="s">
        <v>2504</v>
      </c>
      <c r="J936" s="143" t="s">
        <v>2504</v>
      </c>
      <c r="K936" s="143" t="s">
        <v>2504</v>
      </c>
      <c r="L936" s="143" t="s">
        <v>2504</v>
      </c>
      <c r="M936" s="143" t="s">
        <v>2504</v>
      </c>
      <c r="N936" s="143" t="s">
        <v>1755</v>
      </c>
      <c r="O936" s="143" t="s">
        <v>2504</v>
      </c>
      <c r="P936" s="143" t="s">
        <v>2504</v>
      </c>
      <c r="Q936" s="148" t="s">
        <v>1756</v>
      </c>
      <c r="R936" s="148" t="s">
        <v>1025</v>
      </c>
      <c r="S936" s="148" t="s">
        <v>1189</v>
      </c>
      <c r="T936" s="149">
        <v>200</v>
      </c>
      <c r="U936" s="148" t="s">
        <v>591</v>
      </c>
      <c r="V936" s="150">
        <v>36899.85</v>
      </c>
      <c r="W936" s="151">
        <f t="shared" si="5"/>
        <v>36899850</v>
      </c>
    </row>
    <row r="937" spans="1:23" ht="15" customHeight="1" x14ac:dyDescent="0.25">
      <c r="A937" s="148">
        <v>10900</v>
      </c>
      <c r="B937" s="148" t="s">
        <v>1852</v>
      </c>
      <c r="C937" s="143" t="s">
        <v>2504</v>
      </c>
      <c r="D937" s="143" t="s">
        <v>2504</v>
      </c>
      <c r="E937" s="143" t="s">
        <v>2504</v>
      </c>
      <c r="F937" s="143" t="s">
        <v>2504</v>
      </c>
      <c r="G937" s="143" t="s">
        <v>2504</v>
      </c>
      <c r="H937" s="143" t="s">
        <v>2504</v>
      </c>
      <c r="I937" s="143" t="s">
        <v>2504</v>
      </c>
      <c r="J937" s="143" t="s">
        <v>2504</v>
      </c>
      <c r="K937" s="143" t="s">
        <v>2504</v>
      </c>
      <c r="L937" s="143" t="s">
        <v>2504</v>
      </c>
      <c r="M937" s="143" t="s">
        <v>2504</v>
      </c>
      <c r="N937" s="143" t="s">
        <v>1852</v>
      </c>
      <c r="O937" s="143" t="s">
        <v>2504</v>
      </c>
      <c r="P937" s="143" t="s">
        <v>2504</v>
      </c>
      <c r="Q937" s="148" t="s">
        <v>1853</v>
      </c>
      <c r="R937" s="148" t="s">
        <v>705</v>
      </c>
      <c r="S937" s="148" t="s">
        <v>1854</v>
      </c>
      <c r="T937" s="149">
        <v>16</v>
      </c>
      <c r="U937" s="148" t="s">
        <v>591</v>
      </c>
      <c r="V937" s="150">
        <v>2081.69</v>
      </c>
      <c r="W937" s="151">
        <f t="shared" si="5"/>
        <v>2081690</v>
      </c>
    </row>
    <row r="938" spans="1:23" ht="15" customHeight="1" x14ac:dyDescent="0.25">
      <c r="A938" s="148">
        <v>10901</v>
      </c>
      <c r="B938" s="148" t="s">
        <v>1855</v>
      </c>
      <c r="C938" s="143" t="s">
        <v>2504</v>
      </c>
      <c r="D938" s="143" t="s">
        <v>2504</v>
      </c>
      <c r="E938" s="143" t="s">
        <v>2504</v>
      </c>
      <c r="F938" s="143" t="s">
        <v>2504</v>
      </c>
      <c r="G938" s="143" t="s">
        <v>2504</v>
      </c>
      <c r="H938" s="143" t="s">
        <v>2504</v>
      </c>
      <c r="I938" s="143" t="s">
        <v>2504</v>
      </c>
      <c r="J938" s="143" t="s">
        <v>2504</v>
      </c>
      <c r="K938" s="143" t="s">
        <v>2504</v>
      </c>
      <c r="L938" s="143" t="s">
        <v>2504</v>
      </c>
      <c r="M938" s="143" t="s">
        <v>2504</v>
      </c>
      <c r="N938" s="143" t="s">
        <v>1855</v>
      </c>
      <c r="O938" s="143" t="s">
        <v>2504</v>
      </c>
      <c r="P938" s="143" t="s">
        <v>2504</v>
      </c>
      <c r="Q938" s="148" t="s">
        <v>1856</v>
      </c>
      <c r="R938" s="148" t="s">
        <v>705</v>
      </c>
      <c r="S938" s="148" t="s">
        <v>1854</v>
      </c>
      <c r="T938" s="149">
        <v>16</v>
      </c>
      <c r="U938" s="148" t="s">
        <v>591</v>
      </c>
      <c r="V938" s="150">
        <v>2149.4499999999998</v>
      </c>
      <c r="W938" s="151">
        <f t="shared" si="5"/>
        <v>2149450</v>
      </c>
    </row>
    <row r="939" spans="1:23" ht="15" customHeight="1" x14ac:dyDescent="0.25">
      <c r="A939" s="148">
        <v>11101</v>
      </c>
      <c r="B939" s="148" t="s">
        <v>1960</v>
      </c>
      <c r="C939" s="143" t="s">
        <v>2504</v>
      </c>
      <c r="D939" s="143" t="s">
        <v>2504</v>
      </c>
      <c r="E939" s="143" t="s">
        <v>2504</v>
      </c>
      <c r="F939" s="143" t="s">
        <v>2504</v>
      </c>
      <c r="G939" s="143" t="s">
        <v>2504</v>
      </c>
      <c r="H939" s="143" t="s">
        <v>2504</v>
      </c>
      <c r="I939" s="143" t="s">
        <v>2504</v>
      </c>
      <c r="J939" s="143" t="s">
        <v>2504</v>
      </c>
      <c r="K939" s="143" t="s">
        <v>2504</v>
      </c>
      <c r="L939" s="143" t="s">
        <v>2504</v>
      </c>
      <c r="M939" s="143" t="s">
        <v>2504</v>
      </c>
      <c r="N939" s="143" t="s">
        <v>1960</v>
      </c>
      <c r="O939" s="143" t="s">
        <v>2504</v>
      </c>
      <c r="P939" s="143" t="s">
        <v>2504</v>
      </c>
      <c r="Q939" s="148" t="s">
        <v>1961</v>
      </c>
      <c r="R939" s="148" t="s">
        <v>705</v>
      </c>
      <c r="S939" s="148" t="s">
        <v>1854</v>
      </c>
      <c r="T939" s="149">
        <v>170</v>
      </c>
      <c r="U939" s="148" t="s">
        <v>591</v>
      </c>
      <c r="V939" s="150">
        <v>22566.27</v>
      </c>
      <c r="W939" s="151">
        <f t="shared" si="5"/>
        <v>22566270</v>
      </c>
    </row>
    <row r="940" spans="1:23" ht="15" customHeight="1" x14ac:dyDescent="0.25">
      <c r="A940" s="148">
        <v>10907</v>
      </c>
      <c r="B940" s="148" t="s">
        <v>1869</v>
      </c>
      <c r="C940" s="143" t="s">
        <v>2504</v>
      </c>
      <c r="D940" s="143" t="s">
        <v>2504</v>
      </c>
      <c r="E940" s="143" t="s">
        <v>2504</v>
      </c>
      <c r="F940" s="143" t="s">
        <v>2504</v>
      </c>
      <c r="G940" s="143" t="s">
        <v>2504</v>
      </c>
      <c r="H940" s="143" t="s">
        <v>2504</v>
      </c>
      <c r="I940" s="143" t="s">
        <v>2504</v>
      </c>
      <c r="J940" s="143" t="s">
        <v>2504</v>
      </c>
      <c r="K940" s="143" t="s">
        <v>2504</v>
      </c>
      <c r="L940" s="143" t="s">
        <v>2504</v>
      </c>
      <c r="M940" s="143" t="s">
        <v>2504</v>
      </c>
      <c r="N940" s="143" t="s">
        <v>2504</v>
      </c>
      <c r="O940" s="143" t="s">
        <v>1869</v>
      </c>
      <c r="P940" s="143" t="s">
        <v>2504</v>
      </c>
      <c r="Q940" s="148" t="s">
        <v>1870</v>
      </c>
      <c r="R940" s="148" t="s">
        <v>705</v>
      </c>
      <c r="S940" s="148" t="s">
        <v>1871</v>
      </c>
      <c r="T940" s="149">
        <v>16</v>
      </c>
      <c r="U940" s="148" t="s">
        <v>591</v>
      </c>
      <c r="V940" s="150">
        <v>1760.66</v>
      </c>
      <c r="W940" s="151">
        <f t="shared" si="5"/>
        <v>1760660</v>
      </c>
    </row>
    <row r="941" spans="1:23" ht="15" customHeight="1" x14ac:dyDescent="0.25">
      <c r="A941" s="148">
        <v>10908</v>
      </c>
      <c r="B941" s="148" t="s">
        <v>1872</v>
      </c>
      <c r="C941" s="143" t="s">
        <v>2504</v>
      </c>
      <c r="D941" s="143" t="s">
        <v>2504</v>
      </c>
      <c r="E941" s="143" t="s">
        <v>2504</v>
      </c>
      <c r="F941" s="143" t="s">
        <v>2504</v>
      </c>
      <c r="G941" s="143" t="s">
        <v>2504</v>
      </c>
      <c r="H941" s="143" t="s">
        <v>2504</v>
      </c>
      <c r="I941" s="143" t="s">
        <v>2504</v>
      </c>
      <c r="J941" s="143" t="s">
        <v>2504</v>
      </c>
      <c r="K941" s="143" t="s">
        <v>2504</v>
      </c>
      <c r="L941" s="143" t="s">
        <v>2504</v>
      </c>
      <c r="M941" s="143" t="s">
        <v>2504</v>
      </c>
      <c r="N941" s="143" t="s">
        <v>2504</v>
      </c>
      <c r="O941" s="143" t="s">
        <v>1872</v>
      </c>
      <c r="P941" s="143" t="s">
        <v>2504</v>
      </c>
      <c r="Q941" s="148" t="s">
        <v>1873</v>
      </c>
      <c r="R941" s="148" t="s">
        <v>705</v>
      </c>
      <c r="S941" s="148" t="s">
        <v>1871</v>
      </c>
      <c r="T941" s="149">
        <v>16</v>
      </c>
      <c r="U941" s="148" t="s">
        <v>591</v>
      </c>
      <c r="V941" s="150">
        <v>1765.65</v>
      </c>
      <c r="W941" s="151">
        <f t="shared" si="5"/>
        <v>1765650</v>
      </c>
    </row>
    <row r="942" spans="1:23" ht="15" customHeight="1" x14ac:dyDescent="0.25">
      <c r="A942" s="148">
        <v>10909</v>
      </c>
      <c r="B942" s="148" t="s">
        <v>1874</v>
      </c>
      <c r="C942" s="143" t="s">
        <v>2504</v>
      </c>
      <c r="D942" s="143" t="s">
        <v>2504</v>
      </c>
      <c r="E942" s="143" t="s">
        <v>2504</v>
      </c>
      <c r="F942" s="143" t="s">
        <v>2504</v>
      </c>
      <c r="G942" s="143" t="s">
        <v>2504</v>
      </c>
      <c r="H942" s="143" t="s">
        <v>2504</v>
      </c>
      <c r="I942" s="143" t="s">
        <v>2504</v>
      </c>
      <c r="J942" s="143" t="s">
        <v>2504</v>
      </c>
      <c r="K942" s="143" t="s">
        <v>2504</v>
      </c>
      <c r="L942" s="143" t="s">
        <v>2504</v>
      </c>
      <c r="M942" s="143" t="s">
        <v>2504</v>
      </c>
      <c r="N942" s="143" t="s">
        <v>2504</v>
      </c>
      <c r="O942" s="143" t="s">
        <v>1874</v>
      </c>
      <c r="P942" s="143" t="s">
        <v>2504</v>
      </c>
      <c r="Q942" s="148" t="s">
        <v>1875</v>
      </c>
      <c r="R942" s="148" t="s">
        <v>705</v>
      </c>
      <c r="S942" s="148" t="s">
        <v>1871</v>
      </c>
      <c r="T942" s="149">
        <v>16</v>
      </c>
      <c r="U942" s="148" t="s">
        <v>591</v>
      </c>
      <c r="V942" s="150">
        <v>1776.31</v>
      </c>
      <c r="W942" s="151">
        <f t="shared" si="5"/>
        <v>1776310</v>
      </c>
    </row>
    <row r="943" spans="1:23" ht="15" customHeight="1" x14ac:dyDescent="0.25">
      <c r="A943" s="148">
        <v>10910</v>
      </c>
      <c r="B943" s="148" t="s">
        <v>1876</v>
      </c>
      <c r="C943" s="143" t="s">
        <v>2504</v>
      </c>
      <c r="D943" s="143" t="s">
        <v>2504</v>
      </c>
      <c r="E943" s="143" t="s">
        <v>2504</v>
      </c>
      <c r="F943" s="143" t="s">
        <v>2504</v>
      </c>
      <c r="G943" s="143" t="s">
        <v>2504</v>
      </c>
      <c r="H943" s="143" t="s">
        <v>2504</v>
      </c>
      <c r="I943" s="143" t="s">
        <v>2504</v>
      </c>
      <c r="J943" s="143" t="s">
        <v>2504</v>
      </c>
      <c r="K943" s="143" t="s">
        <v>2504</v>
      </c>
      <c r="L943" s="143" t="s">
        <v>2504</v>
      </c>
      <c r="M943" s="143" t="s">
        <v>2504</v>
      </c>
      <c r="N943" s="143" t="s">
        <v>2504</v>
      </c>
      <c r="O943" s="143" t="s">
        <v>1876</v>
      </c>
      <c r="P943" s="143" t="s">
        <v>2504</v>
      </c>
      <c r="Q943" s="148" t="s">
        <v>1877</v>
      </c>
      <c r="R943" s="148" t="s">
        <v>705</v>
      </c>
      <c r="S943" s="148" t="s">
        <v>1871</v>
      </c>
      <c r="T943" s="149">
        <v>16</v>
      </c>
      <c r="U943" s="148" t="s">
        <v>591</v>
      </c>
      <c r="V943" s="150">
        <v>1817.68</v>
      </c>
      <c r="W943" s="151">
        <v>27427.96</v>
      </c>
    </row>
    <row r="944" spans="1:23" ht="15" customHeight="1" x14ac:dyDescent="0.25">
      <c r="A944" s="148">
        <v>10911</v>
      </c>
      <c r="B944" s="148" t="s">
        <v>1878</v>
      </c>
      <c r="C944" s="143" t="s">
        <v>2504</v>
      </c>
      <c r="D944" s="143" t="s">
        <v>2504</v>
      </c>
      <c r="E944" s="143" t="s">
        <v>2504</v>
      </c>
      <c r="F944" s="143" t="s">
        <v>2504</v>
      </c>
      <c r="G944" s="143" t="s">
        <v>2504</v>
      </c>
      <c r="H944" s="143" t="s">
        <v>2504</v>
      </c>
      <c r="I944" s="143" t="s">
        <v>2504</v>
      </c>
      <c r="J944" s="143" t="s">
        <v>2504</v>
      </c>
      <c r="K944" s="143" t="s">
        <v>2504</v>
      </c>
      <c r="L944" s="143" t="s">
        <v>2504</v>
      </c>
      <c r="M944" s="143" t="s">
        <v>2504</v>
      </c>
      <c r="N944" s="143" t="s">
        <v>2504</v>
      </c>
      <c r="O944" s="143" t="s">
        <v>1878</v>
      </c>
      <c r="P944" s="143" t="s">
        <v>2504</v>
      </c>
      <c r="Q944" s="148" t="s">
        <v>1879</v>
      </c>
      <c r="R944" s="148" t="s">
        <v>705</v>
      </c>
      <c r="S944" s="148" t="s">
        <v>1871</v>
      </c>
      <c r="T944" s="149">
        <v>16</v>
      </c>
      <c r="U944" s="148" t="s">
        <v>591</v>
      </c>
      <c r="V944" s="150">
        <v>1823.49</v>
      </c>
      <c r="W944" s="151">
        <f>V944*1000</f>
        <v>1823490</v>
      </c>
    </row>
    <row r="945" spans="1:23" ht="15" customHeight="1" x14ac:dyDescent="0.25">
      <c r="A945" s="148">
        <v>10912</v>
      </c>
      <c r="B945" s="148" t="s">
        <v>1880</v>
      </c>
      <c r="C945" s="143" t="s">
        <v>2504</v>
      </c>
      <c r="D945" s="143" t="s">
        <v>2504</v>
      </c>
      <c r="E945" s="143" t="s">
        <v>2504</v>
      </c>
      <c r="F945" s="143" t="s">
        <v>2504</v>
      </c>
      <c r="G945" s="143" t="s">
        <v>2504</v>
      </c>
      <c r="H945" s="143" t="s">
        <v>2504</v>
      </c>
      <c r="I945" s="143" t="s">
        <v>2504</v>
      </c>
      <c r="J945" s="143" t="s">
        <v>2504</v>
      </c>
      <c r="K945" s="143" t="s">
        <v>2504</v>
      </c>
      <c r="L945" s="143" t="s">
        <v>2504</v>
      </c>
      <c r="M945" s="143" t="s">
        <v>2504</v>
      </c>
      <c r="N945" s="143" t="s">
        <v>2504</v>
      </c>
      <c r="O945" s="143" t="s">
        <v>1880</v>
      </c>
      <c r="P945" s="143" t="s">
        <v>2504</v>
      </c>
      <c r="Q945" s="148" t="s">
        <v>1881</v>
      </c>
      <c r="R945" s="148" t="s">
        <v>705</v>
      </c>
      <c r="S945" s="148" t="s">
        <v>1871</v>
      </c>
      <c r="T945" s="149">
        <v>16</v>
      </c>
      <c r="U945" s="148" t="s">
        <v>591</v>
      </c>
      <c r="V945" s="150">
        <v>1863.56</v>
      </c>
      <c r="W945" s="151">
        <f>V945*15</f>
        <v>27953.399999999998</v>
      </c>
    </row>
    <row r="946" spans="1:23" ht="15" customHeight="1" x14ac:dyDescent="0.25">
      <c r="A946" s="148">
        <v>11107</v>
      </c>
      <c r="B946" s="148" t="s">
        <v>1972</v>
      </c>
      <c r="C946" s="143" t="s">
        <v>2504</v>
      </c>
      <c r="D946" s="143" t="s">
        <v>2504</v>
      </c>
      <c r="E946" s="143" t="s">
        <v>2504</v>
      </c>
      <c r="F946" s="143" t="s">
        <v>2504</v>
      </c>
      <c r="G946" s="143" t="s">
        <v>2504</v>
      </c>
      <c r="H946" s="143" t="s">
        <v>2504</v>
      </c>
      <c r="I946" s="143" t="s">
        <v>2504</v>
      </c>
      <c r="J946" s="143" t="s">
        <v>2504</v>
      </c>
      <c r="K946" s="143" t="s">
        <v>2504</v>
      </c>
      <c r="L946" s="143" t="s">
        <v>2504</v>
      </c>
      <c r="M946" s="143" t="s">
        <v>2504</v>
      </c>
      <c r="N946" s="143" t="s">
        <v>2504</v>
      </c>
      <c r="O946" s="143" t="s">
        <v>1972</v>
      </c>
      <c r="P946" s="143" t="s">
        <v>2504</v>
      </c>
      <c r="Q946" s="148" t="s">
        <v>1973</v>
      </c>
      <c r="R946" s="148" t="s">
        <v>705</v>
      </c>
      <c r="S946" s="148" t="s">
        <v>1871</v>
      </c>
      <c r="T946" s="149">
        <v>170</v>
      </c>
      <c r="U946" s="148" t="s">
        <v>591</v>
      </c>
      <c r="V946" s="150">
        <v>18484.759999999998</v>
      </c>
      <c r="W946" s="151">
        <f t="shared" ref="W946:W981" si="6">V946*15</f>
        <v>277271.39999999997</v>
      </c>
    </row>
    <row r="947" spans="1:23" ht="15" customHeight="1" x14ac:dyDescent="0.25">
      <c r="A947" s="148">
        <v>11108</v>
      </c>
      <c r="B947" s="148" t="s">
        <v>1974</v>
      </c>
      <c r="C947" s="143" t="s">
        <v>2504</v>
      </c>
      <c r="D947" s="143" t="s">
        <v>2504</v>
      </c>
      <c r="E947" s="143" t="s">
        <v>2504</v>
      </c>
      <c r="F947" s="143" t="s">
        <v>2504</v>
      </c>
      <c r="G947" s="143" t="s">
        <v>2504</v>
      </c>
      <c r="H947" s="143" t="s">
        <v>2504</v>
      </c>
      <c r="I947" s="143" t="s">
        <v>2504</v>
      </c>
      <c r="J947" s="143" t="s">
        <v>2504</v>
      </c>
      <c r="K947" s="143" t="s">
        <v>2504</v>
      </c>
      <c r="L947" s="143" t="s">
        <v>2504</v>
      </c>
      <c r="M947" s="143" t="s">
        <v>2504</v>
      </c>
      <c r="N947" s="143" t="s">
        <v>2504</v>
      </c>
      <c r="O947" s="143" t="s">
        <v>1974</v>
      </c>
      <c r="P947" s="143" t="s">
        <v>2504</v>
      </c>
      <c r="Q947" s="148" t="s">
        <v>1975</v>
      </c>
      <c r="R947" s="148" t="s">
        <v>705</v>
      </c>
      <c r="S947" s="148" t="s">
        <v>1871</v>
      </c>
      <c r="T947" s="149">
        <v>170</v>
      </c>
      <c r="U947" s="148" t="s">
        <v>591</v>
      </c>
      <c r="V947" s="150">
        <v>18537.77</v>
      </c>
      <c r="W947" s="151">
        <f t="shared" si="6"/>
        <v>278066.55</v>
      </c>
    </row>
    <row r="948" spans="1:23" ht="15" customHeight="1" x14ac:dyDescent="0.25">
      <c r="A948" s="148">
        <v>11110</v>
      </c>
      <c r="B948" s="148" t="s">
        <v>1976</v>
      </c>
      <c r="C948" s="143" t="s">
        <v>2504</v>
      </c>
      <c r="D948" s="143" t="s">
        <v>2504</v>
      </c>
      <c r="E948" s="143" t="s">
        <v>2504</v>
      </c>
      <c r="F948" s="143" t="s">
        <v>2504</v>
      </c>
      <c r="G948" s="143" t="s">
        <v>2504</v>
      </c>
      <c r="H948" s="143" t="s">
        <v>2504</v>
      </c>
      <c r="I948" s="143" t="s">
        <v>2504</v>
      </c>
      <c r="J948" s="143" t="s">
        <v>2504</v>
      </c>
      <c r="K948" s="143" t="s">
        <v>2504</v>
      </c>
      <c r="L948" s="143" t="s">
        <v>2504</v>
      </c>
      <c r="M948" s="143" t="s">
        <v>2504</v>
      </c>
      <c r="N948" s="143" t="s">
        <v>2504</v>
      </c>
      <c r="O948" s="143" t="s">
        <v>1976</v>
      </c>
      <c r="P948" s="143" t="s">
        <v>2504</v>
      </c>
      <c r="Q948" s="148" t="s">
        <v>1977</v>
      </c>
      <c r="R948" s="148" t="s">
        <v>705</v>
      </c>
      <c r="S948" s="148" t="s">
        <v>1871</v>
      </c>
      <c r="T948" s="149">
        <v>170</v>
      </c>
      <c r="U948" s="148" t="s">
        <v>591</v>
      </c>
      <c r="V948" s="150">
        <v>19090.72</v>
      </c>
      <c r="W948" s="151">
        <f t="shared" si="6"/>
        <v>286360.80000000005</v>
      </c>
    </row>
    <row r="949" spans="1:23" ht="15" customHeight="1" x14ac:dyDescent="0.25">
      <c r="A949" s="148">
        <v>11111</v>
      </c>
      <c r="B949" s="148" t="s">
        <v>1978</v>
      </c>
      <c r="C949" s="143" t="s">
        <v>2504</v>
      </c>
      <c r="D949" s="143" t="s">
        <v>2504</v>
      </c>
      <c r="E949" s="143" t="s">
        <v>2504</v>
      </c>
      <c r="F949" s="143" t="s">
        <v>2504</v>
      </c>
      <c r="G949" s="143" t="s">
        <v>2504</v>
      </c>
      <c r="H949" s="143" t="s">
        <v>2504</v>
      </c>
      <c r="I949" s="143" t="s">
        <v>2504</v>
      </c>
      <c r="J949" s="143" t="s">
        <v>2504</v>
      </c>
      <c r="K949" s="143" t="s">
        <v>2504</v>
      </c>
      <c r="L949" s="143" t="s">
        <v>2504</v>
      </c>
      <c r="M949" s="143" t="s">
        <v>2504</v>
      </c>
      <c r="N949" s="143" t="s">
        <v>2504</v>
      </c>
      <c r="O949" s="143" t="s">
        <v>1978</v>
      </c>
      <c r="P949" s="143" t="s">
        <v>2504</v>
      </c>
      <c r="Q949" s="148" t="s">
        <v>1979</v>
      </c>
      <c r="R949" s="148" t="s">
        <v>705</v>
      </c>
      <c r="S949" s="148" t="s">
        <v>1871</v>
      </c>
      <c r="T949" s="149">
        <v>170</v>
      </c>
      <c r="U949" s="148" t="s">
        <v>591</v>
      </c>
      <c r="V949" s="150">
        <v>19146.55</v>
      </c>
      <c r="W949" s="151">
        <f t="shared" si="6"/>
        <v>287198.25</v>
      </c>
    </row>
    <row r="950" spans="1:23" ht="15" customHeight="1" x14ac:dyDescent="0.25">
      <c r="A950" s="148">
        <v>11112</v>
      </c>
      <c r="B950" s="148" t="s">
        <v>1980</v>
      </c>
      <c r="C950" s="143" t="s">
        <v>2504</v>
      </c>
      <c r="D950" s="143" t="s">
        <v>2504</v>
      </c>
      <c r="E950" s="143" t="s">
        <v>2504</v>
      </c>
      <c r="F950" s="143" t="s">
        <v>2504</v>
      </c>
      <c r="G950" s="143" t="s">
        <v>2504</v>
      </c>
      <c r="H950" s="143" t="s">
        <v>2504</v>
      </c>
      <c r="I950" s="143" t="s">
        <v>2504</v>
      </c>
      <c r="J950" s="143" t="s">
        <v>2504</v>
      </c>
      <c r="K950" s="143" t="s">
        <v>2504</v>
      </c>
      <c r="L950" s="143" t="s">
        <v>2504</v>
      </c>
      <c r="M950" s="143" t="s">
        <v>2504</v>
      </c>
      <c r="N950" s="143" t="s">
        <v>2504</v>
      </c>
      <c r="O950" s="143" t="s">
        <v>1980</v>
      </c>
      <c r="P950" s="143" t="s">
        <v>2504</v>
      </c>
      <c r="Q950" s="148" t="s">
        <v>1981</v>
      </c>
      <c r="R950" s="148" t="s">
        <v>705</v>
      </c>
      <c r="S950" s="148" t="s">
        <v>1871</v>
      </c>
      <c r="T950" s="149">
        <v>170</v>
      </c>
      <c r="U950" s="148" t="s">
        <v>591</v>
      </c>
      <c r="V950" s="150">
        <v>19578.05</v>
      </c>
      <c r="W950" s="151">
        <f t="shared" si="6"/>
        <v>293670.75</v>
      </c>
    </row>
    <row r="951" spans="1:23" ht="15" customHeight="1" x14ac:dyDescent="0.25">
      <c r="A951" s="148">
        <v>10913</v>
      </c>
      <c r="B951" s="148" t="s">
        <v>1882</v>
      </c>
      <c r="C951" s="143" t="s">
        <v>2504</v>
      </c>
      <c r="D951" s="143" t="s">
        <v>2504</v>
      </c>
      <c r="E951" s="143" t="s">
        <v>2504</v>
      </c>
      <c r="F951" s="143" t="s">
        <v>2504</v>
      </c>
      <c r="G951" s="143" t="s">
        <v>2504</v>
      </c>
      <c r="H951" s="143" t="s">
        <v>2504</v>
      </c>
      <c r="I951" s="143" t="s">
        <v>2504</v>
      </c>
      <c r="J951" s="143" t="s">
        <v>2504</v>
      </c>
      <c r="K951" s="143" t="s">
        <v>2504</v>
      </c>
      <c r="L951" s="143" t="s">
        <v>2504</v>
      </c>
      <c r="M951" s="143" t="s">
        <v>2504</v>
      </c>
      <c r="N951" s="143" t="s">
        <v>2504</v>
      </c>
      <c r="O951" s="143" t="s">
        <v>1882</v>
      </c>
      <c r="P951" s="143" t="s">
        <v>2504</v>
      </c>
      <c r="Q951" s="148" t="s">
        <v>1883</v>
      </c>
      <c r="R951" s="148" t="s">
        <v>705</v>
      </c>
      <c r="S951" s="148" t="s">
        <v>1884</v>
      </c>
      <c r="T951" s="149">
        <v>16</v>
      </c>
      <c r="U951" s="148" t="s">
        <v>591</v>
      </c>
      <c r="V951" s="150">
        <v>1926.05</v>
      </c>
      <c r="W951" s="151">
        <f t="shared" si="6"/>
        <v>28890.75</v>
      </c>
    </row>
    <row r="952" spans="1:23" ht="15" customHeight="1" x14ac:dyDescent="0.25">
      <c r="A952" s="148">
        <v>10914</v>
      </c>
      <c r="B952" s="148" t="s">
        <v>1885</v>
      </c>
      <c r="C952" s="143" t="s">
        <v>2504</v>
      </c>
      <c r="D952" s="143" t="s">
        <v>2504</v>
      </c>
      <c r="E952" s="143" t="s">
        <v>2504</v>
      </c>
      <c r="F952" s="143" t="s">
        <v>2504</v>
      </c>
      <c r="G952" s="143" t="s">
        <v>2504</v>
      </c>
      <c r="H952" s="143" t="s">
        <v>2504</v>
      </c>
      <c r="I952" s="143" t="s">
        <v>2504</v>
      </c>
      <c r="J952" s="143" t="s">
        <v>2504</v>
      </c>
      <c r="K952" s="143" t="s">
        <v>2504</v>
      </c>
      <c r="L952" s="143" t="s">
        <v>2504</v>
      </c>
      <c r="M952" s="143" t="s">
        <v>2504</v>
      </c>
      <c r="N952" s="143" t="s">
        <v>2504</v>
      </c>
      <c r="O952" s="143" t="s">
        <v>1885</v>
      </c>
      <c r="P952" s="143" t="s">
        <v>2504</v>
      </c>
      <c r="Q952" s="148" t="s">
        <v>1886</v>
      </c>
      <c r="R952" s="148" t="s">
        <v>705</v>
      </c>
      <c r="S952" s="148" t="s">
        <v>1884</v>
      </c>
      <c r="T952" s="149">
        <v>16</v>
      </c>
      <c r="U952" s="148" t="s">
        <v>591</v>
      </c>
      <c r="V952" s="150">
        <v>1925.33</v>
      </c>
      <c r="W952" s="151">
        <f t="shared" si="6"/>
        <v>28879.949999999997</v>
      </c>
    </row>
    <row r="953" spans="1:23" ht="15" customHeight="1" x14ac:dyDescent="0.25">
      <c r="A953" s="148">
        <v>10915</v>
      </c>
      <c r="B953" s="148" t="s">
        <v>1887</v>
      </c>
      <c r="C953" s="143" t="s">
        <v>2504</v>
      </c>
      <c r="D953" s="143" t="s">
        <v>2504</v>
      </c>
      <c r="E953" s="143" t="s">
        <v>2504</v>
      </c>
      <c r="F953" s="143" t="s">
        <v>2504</v>
      </c>
      <c r="G953" s="143" t="s">
        <v>2504</v>
      </c>
      <c r="H953" s="143" t="s">
        <v>2504</v>
      </c>
      <c r="I953" s="143" t="s">
        <v>2504</v>
      </c>
      <c r="J953" s="143" t="s">
        <v>2504</v>
      </c>
      <c r="K953" s="143" t="s">
        <v>2504</v>
      </c>
      <c r="L953" s="143" t="s">
        <v>2504</v>
      </c>
      <c r="M953" s="143" t="s">
        <v>2504</v>
      </c>
      <c r="N953" s="143" t="s">
        <v>2504</v>
      </c>
      <c r="O953" s="143" t="s">
        <v>1887</v>
      </c>
      <c r="P953" s="143" t="s">
        <v>2504</v>
      </c>
      <c r="Q953" s="148" t="s">
        <v>1888</v>
      </c>
      <c r="R953" s="148" t="s">
        <v>705</v>
      </c>
      <c r="S953" s="148" t="s">
        <v>1884</v>
      </c>
      <c r="T953" s="149">
        <v>16</v>
      </c>
      <c r="U953" s="148" t="s">
        <v>591</v>
      </c>
      <c r="V953" s="150">
        <v>1933.15</v>
      </c>
      <c r="W953" s="151">
        <f t="shared" si="6"/>
        <v>28997.25</v>
      </c>
    </row>
    <row r="954" spans="1:23" ht="15" customHeight="1" x14ac:dyDescent="0.25">
      <c r="A954" s="148">
        <v>10916</v>
      </c>
      <c r="B954" s="148" t="s">
        <v>1889</v>
      </c>
      <c r="C954" s="143" t="s">
        <v>2504</v>
      </c>
      <c r="D954" s="143" t="s">
        <v>2504</v>
      </c>
      <c r="E954" s="143" t="s">
        <v>2504</v>
      </c>
      <c r="F954" s="143" t="s">
        <v>2504</v>
      </c>
      <c r="G954" s="143" t="s">
        <v>2504</v>
      </c>
      <c r="H954" s="143" t="s">
        <v>2504</v>
      </c>
      <c r="I954" s="143" t="s">
        <v>2504</v>
      </c>
      <c r="J954" s="143" t="s">
        <v>2504</v>
      </c>
      <c r="K954" s="143" t="s">
        <v>2504</v>
      </c>
      <c r="L954" s="143" t="s">
        <v>2504</v>
      </c>
      <c r="M954" s="143" t="s">
        <v>2504</v>
      </c>
      <c r="N954" s="143" t="s">
        <v>2504</v>
      </c>
      <c r="O954" s="143" t="s">
        <v>1889</v>
      </c>
      <c r="P954" s="143" t="s">
        <v>2504</v>
      </c>
      <c r="Q954" s="148" t="s">
        <v>1890</v>
      </c>
      <c r="R954" s="148" t="s">
        <v>705</v>
      </c>
      <c r="S954" s="148" t="s">
        <v>1884</v>
      </c>
      <c r="T954" s="149">
        <v>16</v>
      </c>
      <c r="U954" s="148" t="s">
        <v>591</v>
      </c>
      <c r="V954" s="150">
        <v>1977</v>
      </c>
      <c r="W954" s="151">
        <f t="shared" si="6"/>
        <v>29655</v>
      </c>
    </row>
    <row r="955" spans="1:23" ht="15" customHeight="1" x14ac:dyDescent="0.25">
      <c r="A955" s="148">
        <v>10917</v>
      </c>
      <c r="B955" s="148" t="s">
        <v>1891</v>
      </c>
      <c r="C955" s="143" t="s">
        <v>2504</v>
      </c>
      <c r="D955" s="143" t="s">
        <v>2504</v>
      </c>
      <c r="E955" s="143" t="s">
        <v>2504</v>
      </c>
      <c r="F955" s="143" t="s">
        <v>2504</v>
      </c>
      <c r="G955" s="143" t="s">
        <v>2504</v>
      </c>
      <c r="H955" s="143" t="s">
        <v>2504</v>
      </c>
      <c r="I955" s="143" t="s">
        <v>2504</v>
      </c>
      <c r="J955" s="143" t="s">
        <v>2504</v>
      </c>
      <c r="K955" s="143" t="s">
        <v>2504</v>
      </c>
      <c r="L955" s="143" t="s">
        <v>2504</v>
      </c>
      <c r="M955" s="143" t="s">
        <v>2504</v>
      </c>
      <c r="N955" s="143" t="s">
        <v>2504</v>
      </c>
      <c r="O955" s="143" t="s">
        <v>1891</v>
      </c>
      <c r="P955" s="143" t="s">
        <v>2504</v>
      </c>
      <c r="Q955" s="148" t="s">
        <v>1892</v>
      </c>
      <c r="R955" s="148" t="s">
        <v>705</v>
      </c>
      <c r="S955" s="148" t="s">
        <v>1884</v>
      </c>
      <c r="T955" s="149">
        <v>16</v>
      </c>
      <c r="U955" s="148" t="s">
        <v>591</v>
      </c>
      <c r="V955" s="150">
        <v>1982.61</v>
      </c>
      <c r="W955" s="151">
        <f t="shared" si="6"/>
        <v>29739.149999999998</v>
      </c>
    </row>
    <row r="956" spans="1:23" ht="15" customHeight="1" x14ac:dyDescent="0.25">
      <c r="A956" s="148">
        <v>10918</v>
      </c>
      <c r="B956" s="148" t="s">
        <v>1893</v>
      </c>
      <c r="C956" s="143" t="s">
        <v>2504</v>
      </c>
      <c r="D956" s="143" t="s">
        <v>2504</v>
      </c>
      <c r="E956" s="143" t="s">
        <v>2504</v>
      </c>
      <c r="F956" s="143" t="s">
        <v>2504</v>
      </c>
      <c r="G956" s="143" t="s">
        <v>2504</v>
      </c>
      <c r="H956" s="143" t="s">
        <v>2504</v>
      </c>
      <c r="I956" s="143" t="s">
        <v>2504</v>
      </c>
      <c r="J956" s="143" t="s">
        <v>2504</v>
      </c>
      <c r="K956" s="143" t="s">
        <v>2504</v>
      </c>
      <c r="L956" s="143" t="s">
        <v>2504</v>
      </c>
      <c r="M956" s="143" t="s">
        <v>2504</v>
      </c>
      <c r="N956" s="143" t="s">
        <v>2504</v>
      </c>
      <c r="O956" s="143" t="s">
        <v>1893</v>
      </c>
      <c r="P956" s="143" t="s">
        <v>2504</v>
      </c>
      <c r="Q956" s="148" t="s">
        <v>1894</v>
      </c>
      <c r="R956" s="148" t="s">
        <v>705</v>
      </c>
      <c r="S956" s="148" t="s">
        <v>1884</v>
      </c>
      <c r="T956" s="149">
        <v>16</v>
      </c>
      <c r="U956" s="148" t="s">
        <v>591</v>
      </c>
      <c r="V956" s="150">
        <v>2021.46</v>
      </c>
      <c r="W956" s="151">
        <f>V956*16</f>
        <v>32343.360000000001</v>
      </c>
    </row>
    <row r="957" spans="1:23" ht="15" customHeight="1" x14ac:dyDescent="0.25">
      <c r="A957" s="148">
        <v>11113</v>
      </c>
      <c r="B957" s="148" t="s">
        <v>1982</v>
      </c>
      <c r="C957" s="143" t="s">
        <v>2504</v>
      </c>
      <c r="D957" s="143" t="s">
        <v>2504</v>
      </c>
      <c r="E957" s="143" t="s">
        <v>2504</v>
      </c>
      <c r="F957" s="143" t="s">
        <v>2504</v>
      </c>
      <c r="G957" s="143" t="s">
        <v>2504</v>
      </c>
      <c r="H957" s="143" t="s">
        <v>2504</v>
      </c>
      <c r="I957" s="143" t="s">
        <v>2504</v>
      </c>
      <c r="J957" s="143" t="s">
        <v>2504</v>
      </c>
      <c r="K957" s="143" t="s">
        <v>2504</v>
      </c>
      <c r="L957" s="143" t="s">
        <v>2504</v>
      </c>
      <c r="M957" s="143" t="s">
        <v>2504</v>
      </c>
      <c r="N957" s="143" t="s">
        <v>2504</v>
      </c>
      <c r="O957" s="143" t="s">
        <v>1982</v>
      </c>
      <c r="P957" s="143" t="s">
        <v>2504</v>
      </c>
      <c r="Q957" s="148" t="s">
        <v>1983</v>
      </c>
      <c r="R957" s="148" t="s">
        <v>705</v>
      </c>
      <c r="S957" s="148" t="s">
        <v>1884</v>
      </c>
      <c r="T957" s="149">
        <v>170</v>
      </c>
      <c r="U957" s="148" t="s">
        <v>591</v>
      </c>
      <c r="V957" s="150">
        <v>20242.07</v>
      </c>
      <c r="W957" s="151">
        <f t="shared" si="6"/>
        <v>303631.05</v>
      </c>
    </row>
    <row r="958" spans="1:23" ht="15" customHeight="1" x14ac:dyDescent="0.25">
      <c r="A958" s="148">
        <v>11114</v>
      </c>
      <c r="B958" s="148" t="s">
        <v>1984</v>
      </c>
      <c r="C958" s="143" t="s">
        <v>2504</v>
      </c>
      <c r="D958" s="143" t="s">
        <v>2504</v>
      </c>
      <c r="E958" s="143" t="s">
        <v>2504</v>
      </c>
      <c r="F958" s="143" t="s">
        <v>2504</v>
      </c>
      <c r="G958" s="143" t="s">
        <v>2504</v>
      </c>
      <c r="H958" s="143" t="s">
        <v>2504</v>
      </c>
      <c r="I958" s="143" t="s">
        <v>2504</v>
      </c>
      <c r="J958" s="143" t="s">
        <v>2504</v>
      </c>
      <c r="K958" s="143" t="s">
        <v>2504</v>
      </c>
      <c r="L958" s="143" t="s">
        <v>2504</v>
      </c>
      <c r="M958" s="143" t="s">
        <v>2504</v>
      </c>
      <c r="N958" s="143" t="s">
        <v>2504</v>
      </c>
      <c r="O958" s="143" t="s">
        <v>1984</v>
      </c>
      <c r="P958" s="143" t="s">
        <v>2504</v>
      </c>
      <c r="Q958" s="148" t="s">
        <v>1985</v>
      </c>
      <c r="R958" s="148" t="s">
        <v>705</v>
      </c>
      <c r="S958" s="148" t="s">
        <v>1884</v>
      </c>
      <c r="T958" s="149">
        <v>170</v>
      </c>
      <c r="U958" s="148" t="s">
        <v>591</v>
      </c>
      <c r="V958" s="150">
        <v>20234.490000000002</v>
      </c>
      <c r="W958" s="151">
        <f t="shared" si="6"/>
        <v>303517.35000000003</v>
      </c>
    </row>
    <row r="959" spans="1:23" ht="15" customHeight="1" x14ac:dyDescent="0.25">
      <c r="A959" s="148">
        <v>11115</v>
      </c>
      <c r="B959" s="148" t="s">
        <v>1986</v>
      </c>
      <c r="C959" s="143" t="s">
        <v>2504</v>
      </c>
      <c r="D959" s="143" t="s">
        <v>2504</v>
      </c>
      <c r="E959" s="143" t="s">
        <v>2504</v>
      </c>
      <c r="F959" s="143" t="s">
        <v>2504</v>
      </c>
      <c r="G959" s="143" t="s">
        <v>2504</v>
      </c>
      <c r="H959" s="143" t="s">
        <v>2504</v>
      </c>
      <c r="I959" s="143" t="s">
        <v>2504</v>
      </c>
      <c r="J959" s="143" t="s">
        <v>2504</v>
      </c>
      <c r="K959" s="143" t="s">
        <v>2504</v>
      </c>
      <c r="L959" s="143" t="s">
        <v>2504</v>
      </c>
      <c r="M959" s="143" t="s">
        <v>2504</v>
      </c>
      <c r="N959" s="143" t="s">
        <v>2504</v>
      </c>
      <c r="O959" s="143" t="s">
        <v>1986</v>
      </c>
      <c r="P959" s="143" t="s">
        <v>2504</v>
      </c>
      <c r="Q959" s="148" t="s">
        <v>1987</v>
      </c>
      <c r="R959" s="148" t="s">
        <v>705</v>
      </c>
      <c r="S959" s="148" t="s">
        <v>1884</v>
      </c>
      <c r="T959" s="149">
        <v>170</v>
      </c>
      <c r="U959" s="148" t="s">
        <v>591</v>
      </c>
      <c r="V959" s="150">
        <v>20378.41</v>
      </c>
      <c r="W959" s="151">
        <f t="shared" si="6"/>
        <v>305676.15000000002</v>
      </c>
    </row>
    <row r="960" spans="1:23" ht="15" customHeight="1" x14ac:dyDescent="0.25">
      <c r="A960" s="148">
        <v>11116</v>
      </c>
      <c r="B960" s="148" t="s">
        <v>1988</v>
      </c>
      <c r="C960" s="143" t="s">
        <v>2504</v>
      </c>
      <c r="D960" s="143" t="s">
        <v>2504</v>
      </c>
      <c r="E960" s="143" t="s">
        <v>2504</v>
      </c>
      <c r="F960" s="143" t="s">
        <v>2504</v>
      </c>
      <c r="G960" s="143" t="s">
        <v>2504</v>
      </c>
      <c r="H960" s="143" t="s">
        <v>2504</v>
      </c>
      <c r="I960" s="143" t="s">
        <v>2504</v>
      </c>
      <c r="J960" s="143" t="s">
        <v>2504</v>
      </c>
      <c r="K960" s="143" t="s">
        <v>2504</v>
      </c>
      <c r="L960" s="143" t="s">
        <v>2504</v>
      </c>
      <c r="M960" s="143" t="s">
        <v>2504</v>
      </c>
      <c r="N960" s="143" t="s">
        <v>2504</v>
      </c>
      <c r="O960" s="143" t="s">
        <v>1988</v>
      </c>
      <c r="P960" s="143" t="s">
        <v>2504</v>
      </c>
      <c r="Q960" s="148" t="s">
        <v>1989</v>
      </c>
      <c r="R960" s="148" t="s">
        <v>705</v>
      </c>
      <c r="S960" s="148" t="s">
        <v>1884</v>
      </c>
      <c r="T960" s="149">
        <v>170</v>
      </c>
      <c r="U960" s="148" t="s">
        <v>591</v>
      </c>
      <c r="V960" s="150">
        <v>20783.34</v>
      </c>
      <c r="W960" s="151">
        <f t="shared" si="6"/>
        <v>311750.09999999998</v>
      </c>
    </row>
    <row r="961" spans="1:23" ht="15" customHeight="1" x14ac:dyDescent="0.25">
      <c r="A961" s="148">
        <v>11117</v>
      </c>
      <c r="B961" s="148" t="s">
        <v>1990</v>
      </c>
      <c r="C961" s="143" t="s">
        <v>2504</v>
      </c>
      <c r="D961" s="143" t="s">
        <v>2504</v>
      </c>
      <c r="E961" s="143" t="s">
        <v>2504</v>
      </c>
      <c r="F961" s="143" t="s">
        <v>2504</v>
      </c>
      <c r="G961" s="143" t="s">
        <v>2504</v>
      </c>
      <c r="H961" s="143" t="s">
        <v>2504</v>
      </c>
      <c r="I961" s="143" t="s">
        <v>2504</v>
      </c>
      <c r="J961" s="143" t="s">
        <v>2504</v>
      </c>
      <c r="K961" s="143" t="s">
        <v>2504</v>
      </c>
      <c r="L961" s="143" t="s">
        <v>2504</v>
      </c>
      <c r="M961" s="143" t="s">
        <v>2504</v>
      </c>
      <c r="N961" s="143" t="s">
        <v>2504</v>
      </c>
      <c r="O961" s="143" t="s">
        <v>1990</v>
      </c>
      <c r="P961" s="143" t="s">
        <v>2504</v>
      </c>
      <c r="Q961" s="148" t="s">
        <v>1991</v>
      </c>
      <c r="R961" s="148" t="s">
        <v>705</v>
      </c>
      <c r="S961" s="148" t="s">
        <v>1884</v>
      </c>
      <c r="T961" s="149">
        <v>170</v>
      </c>
      <c r="U961" s="148" t="s">
        <v>591</v>
      </c>
      <c r="V961" s="150">
        <v>20840.59</v>
      </c>
      <c r="W961" s="151">
        <f t="shared" si="6"/>
        <v>312608.84999999998</v>
      </c>
    </row>
    <row r="962" spans="1:23" ht="15" customHeight="1" x14ac:dyDescent="0.25">
      <c r="A962" s="148">
        <v>11118</v>
      </c>
      <c r="B962" s="148" t="s">
        <v>1992</v>
      </c>
      <c r="C962" s="143" t="s">
        <v>2504</v>
      </c>
      <c r="D962" s="143" t="s">
        <v>2504</v>
      </c>
      <c r="E962" s="143" t="s">
        <v>2504</v>
      </c>
      <c r="F962" s="143" t="s">
        <v>2504</v>
      </c>
      <c r="G962" s="143" t="s">
        <v>2504</v>
      </c>
      <c r="H962" s="143" t="s">
        <v>2504</v>
      </c>
      <c r="I962" s="143" t="s">
        <v>2504</v>
      </c>
      <c r="J962" s="143" t="s">
        <v>2504</v>
      </c>
      <c r="K962" s="143" t="s">
        <v>2504</v>
      </c>
      <c r="L962" s="143" t="s">
        <v>2504</v>
      </c>
      <c r="M962" s="143" t="s">
        <v>2504</v>
      </c>
      <c r="N962" s="143" t="s">
        <v>2504</v>
      </c>
      <c r="O962" s="143" t="s">
        <v>1992</v>
      </c>
      <c r="P962" s="143" t="s">
        <v>2504</v>
      </c>
      <c r="Q962" s="148" t="s">
        <v>1993</v>
      </c>
      <c r="R962" s="148" t="s">
        <v>705</v>
      </c>
      <c r="S962" s="148" t="s">
        <v>1884</v>
      </c>
      <c r="T962" s="149">
        <v>170</v>
      </c>
      <c r="U962" s="148" t="s">
        <v>591</v>
      </c>
      <c r="V962" s="150">
        <v>21250.12</v>
      </c>
      <c r="W962" s="151">
        <f t="shared" si="6"/>
        <v>318751.8</v>
      </c>
    </row>
    <row r="963" spans="1:23" ht="15" customHeight="1" x14ac:dyDescent="0.25">
      <c r="A963" s="148">
        <v>10919</v>
      </c>
      <c r="B963" s="148" t="s">
        <v>1895</v>
      </c>
      <c r="C963" s="143" t="s">
        <v>2504</v>
      </c>
      <c r="D963" s="143" t="s">
        <v>2504</v>
      </c>
      <c r="E963" s="143" t="s">
        <v>2504</v>
      </c>
      <c r="F963" s="143" t="s">
        <v>2504</v>
      </c>
      <c r="G963" s="143" t="s">
        <v>2504</v>
      </c>
      <c r="H963" s="143" t="s">
        <v>2504</v>
      </c>
      <c r="I963" s="143" t="s">
        <v>2504</v>
      </c>
      <c r="J963" s="143" t="s">
        <v>2504</v>
      </c>
      <c r="K963" s="143" t="s">
        <v>2504</v>
      </c>
      <c r="L963" s="143" t="s">
        <v>2504</v>
      </c>
      <c r="M963" s="143" t="s">
        <v>2504</v>
      </c>
      <c r="N963" s="143" t="s">
        <v>2504</v>
      </c>
      <c r="O963" s="143" t="s">
        <v>1895</v>
      </c>
      <c r="P963" s="143" t="s">
        <v>2504</v>
      </c>
      <c r="Q963" s="148" t="s">
        <v>1896</v>
      </c>
      <c r="R963" s="148" t="s">
        <v>705</v>
      </c>
      <c r="S963" s="148" t="s">
        <v>1897</v>
      </c>
      <c r="T963" s="149">
        <v>16</v>
      </c>
      <c r="U963" s="148" t="s">
        <v>591</v>
      </c>
      <c r="V963" s="150">
        <v>2046.96</v>
      </c>
      <c r="W963" s="151">
        <f t="shared" si="6"/>
        <v>30704.400000000001</v>
      </c>
    </row>
    <row r="964" spans="1:23" ht="15" customHeight="1" x14ac:dyDescent="0.25">
      <c r="A964" s="148">
        <v>10920</v>
      </c>
      <c r="B964" s="148" t="s">
        <v>1898</v>
      </c>
      <c r="C964" s="143" t="s">
        <v>2504</v>
      </c>
      <c r="D964" s="143" t="s">
        <v>2504</v>
      </c>
      <c r="E964" s="143" t="s">
        <v>2504</v>
      </c>
      <c r="F964" s="143" t="s">
        <v>2504</v>
      </c>
      <c r="G964" s="143" t="s">
        <v>2504</v>
      </c>
      <c r="H964" s="143" t="s">
        <v>2504</v>
      </c>
      <c r="I964" s="143" t="s">
        <v>2504</v>
      </c>
      <c r="J964" s="143" t="s">
        <v>2504</v>
      </c>
      <c r="K964" s="143" t="s">
        <v>2504</v>
      </c>
      <c r="L964" s="143" t="s">
        <v>2504</v>
      </c>
      <c r="M964" s="143" t="s">
        <v>2504</v>
      </c>
      <c r="N964" s="143" t="s">
        <v>2504</v>
      </c>
      <c r="O964" s="143" t="s">
        <v>1898</v>
      </c>
      <c r="P964" s="143" t="s">
        <v>2504</v>
      </c>
      <c r="Q964" s="148" t="s">
        <v>1899</v>
      </c>
      <c r="R964" s="148" t="s">
        <v>705</v>
      </c>
      <c r="S964" s="148" t="s">
        <v>1897</v>
      </c>
      <c r="T964" s="149">
        <v>16</v>
      </c>
      <c r="U964" s="148" t="s">
        <v>591</v>
      </c>
      <c r="V964" s="150">
        <v>2049.44</v>
      </c>
      <c r="W964" s="151">
        <f t="shared" si="6"/>
        <v>30741.600000000002</v>
      </c>
    </row>
    <row r="965" spans="1:23" ht="15" customHeight="1" x14ac:dyDescent="0.25">
      <c r="A965" s="148">
        <v>10921</v>
      </c>
      <c r="B965" s="148" t="s">
        <v>1900</v>
      </c>
      <c r="C965" s="143" t="s">
        <v>2504</v>
      </c>
      <c r="D965" s="143" t="s">
        <v>2504</v>
      </c>
      <c r="E965" s="143" t="s">
        <v>2504</v>
      </c>
      <c r="F965" s="143" t="s">
        <v>2504</v>
      </c>
      <c r="G965" s="143" t="s">
        <v>2504</v>
      </c>
      <c r="H965" s="143" t="s">
        <v>2504</v>
      </c>
      <c r="I965" s="143" t="s">
        <v>2504</v>
      </c>
      <c r="J965" s="143" t="s">
        <v>2504</v>
      </c>
      <c r="K965" s="143" t="s">
        <v>2504</v>
      </c>
      <c r="L965" s="143" t="s">
        <v>2504</v>
      </c>
      <c r="M965" s="143" t="s">
        <v>2504</v>
      </c>
      <c r="N965" s="143" t="s">
        <v>2504</v>
      </c>
      <c r="O965" s="143" t="s">
        <v>1900</v>
      </c>
      <c r="P965" s="143" t="s">
        <v>2504</v>
      </c>
      <c r="Q965" s="148" t="s">
        <v>1901</v>
      </c>
      <c r="R965" s="148" t="s">
        <v>705</v>
      </c>
      <c r="S965" s="148" t="s">
        <v>1897</v>
      </c>
      <c r="T965" s="149">
        <v>16</v>
      </c>
      <c r="U965" s="148" t="s">
        <v>591</v>
      </c>
      <c r="V965" s="150">
        <v>2090.09</v>
      </c>
      <c r="W965" s="151">
        <f t="shared" si="6"/>
        <v>31351.350000000002</v>
      </c>
    </row>
    <row r="966" spans="1:23" ht="15" customHeight="1" x14ac:dyDescent="0.25">
      <c r="A966" s="148">
        <v>11120</v>
      </c>
      <c r="B966" s="148" t="s">
        <v>1994</v>
      </c>
      <c r="C966" s="143" t="s">
        <v>2504</v>
      </c>
      <c r="D966" s="143" t="s">
        <v>2504</v>
      </c>
      <c r="E966" s="143" t="s">
        <v>2504</v>
      </c>
      <c r="F966" s="143" t="s">
        <v>2504</v>
      </c>
      <c r="G966" s="143" t="s">
        <v>2504</v>
      </c>
      <c r="H966" s="143" t="s">
        <v>2504</v>
      </c>
      <c r="I966" s="143" t="s">
        <v>2504</v>
      </c>
      <c r="J966" s="143" t="s">
        <v>2504</v>
      </c>
      <c r="K966" s="143" t="s">
        <v>2504</v>
      </c>
      <c r="L966" s="143" t="s">
        <v>2504</v>
      </c>
      <c r="M966" s="143" t="s">
        <v>2504</v>
      </c>
      <c r="N966" s="143" t="s">
        <v>2504</v>
      </c>
      <c r="O966" s="143" t="s">
        <v>1994</v>
      </c>
      <c r="P966" s="143" t="s">
        <v>2504</v>
      </c>
      <c r="Q966" s="148" t="s">
        <v>1995</v>
      </c>
      <c r="R966" s="148" t="s">
        <v>705</v>
      </c>
      <c r="S966" s="148" t="s">
        <v>1897</v>
      </c>
      <c r="T966" s="149">
        <v>170</v>
      </c>
      <c r="U966" s="148" t="s">
        <v>591</v>
      </c>
      <c r="V966" s="150">
        <v>21553.17</v>
      </c>
      <c r="W966" s="151">
        <f t="shared" si="6"/>
        <v>323297.55</v>
      </c>
    </row>
    <row r="967" spans="1:23" ht="15" customHeight="1" x14ac:dyDescent="0.25">
      <c r="A967" s="148">
        <v>10922</v>
      </c>
      <c r="B967" s="148" t="s">
        <v>1902</v>
      </c>
      <c r="C967" s="143" t="s">
        <v>2504</v>
      </c>
      <c r="D967" s="143" t="s">
        <v>2504</v>
      </c>
      <c r="E967" s="143" t="s">
        <v>2504</v>
      </c>
      <c r="F967" s="143" t="s">
        <v>2504</v>
      </c>
      <c r="G967" s="143" t="s">
        <v>2504</v>
      </c>
      <c r="H967" s="143" t="s">
        <v>2504</v>
      </c>
      <c r="I967" s="143" t="s">
        <v>2504</v>
      </c>
      <c r="J967" s="143" t="s">
        <v>2504</v>
      </c>
      <c r="K967" s="143" t="s">
        <v>2504</v>
      </c>
      <c r="L967" s="143" t="s">
        <v>2504</v>
      </c>
      <c r="M967" s="143" t="s">
        <v>2504</v>
      </c>
      <c r="N967" s="143" t="s">
        <v>2504</v>
      </c>
      <c r="O967" s="143" t="s">
        <v>1902</v>
      </c>
      <c r="P967" s="143" t="s">
        <v>2504</v>
      </c>
      <c r="Q967" s="148" t="s">
        <v>1903</v>
      </c>
      <c r="R967" s="148" t="s">
        <v>705</v>
      </c>
      <c r="S967" s="148" t="s">
        <v>1904</v>
      </c>
      <c r="T967" s="149">
        <v>16</v>
      </c>
      <c r="U967" s="148" t="s">
        <v>591</v>
      </c>
      <c r="V967" s="150">
        <v>3140.45</v>
      </c>
      <c r="W967" s="151">
        <f t="shared" si="6"/>
        <v>47106.75</v>
      </c>
    </row>
    <row r="968" spans="1:23" ht="15" customHeight="1" x14ac:dyDescent="0.25">
      <c r="A968" s="148">
        <v>10923</v>
      </c>
      <c r="B968" s="148" t="s">
        <v>1905</v>
      </c>
      <c r="C968" s="143" t="s">
        <v>2504</v>
      </c>
      <c r="D968" s="143" t="s">
        <v>2504</v>
      </c>
      <c r="E968" s="143" t="s">
        <v>2504</v>
      </c>
      <c r="F968" s="143" t="s">
        <v>2504</v>
      </c>
      <c r="G968" s="143" t="s">
        <v>2504</v>
      </c>
      <c r="H968" s="143" t="s">
        <v>2504</v>
      </c>
      <c r="I968" s="143" t="s">
        <v>2504</v>
      </c>
      <c r="J968" s="143" t="s">
        <v>2504</v>
      </c>
      <c r="K968" s="143" t="s">
        <v>2504</v>
      </c>
      <c r="L968" s="143" t="s">
        <v>2504</v>
      </c>
      <c r="M968" s="143" t="s">
        <v>2504</v>
      </c>
      <c r="N968" s="143" t="s">
        <v>2504</v>
      </c>
      <c r="O968" s="143" t="s">
        <v>1905</v>
      </c>
      <c r="P968" s="143" t="s">
        <v>2504</v>
      </c>
      <c r="Q968" s="148" t="s">
        <v>1906</v>
      </c>
      <c r="R968" s="148" t="s">
        <v>705</v>
      </c>
      <c r="S968" s="148" t="s">
        <v>1904</v>
      </c>
      <c r="T968" s="149">
        <v>16</v>
      </c>
      <c r="U968" s="148" t="s">
        <v>591</v>
      </c>
      <c r="V968" s="150">
        <v>3145.87</v>
      </c>
      <c r="W968" s="151">
        <f t="shared" si="6"/>
        <v>47188.049999999996</v>
      </c>
    </row>
    <row r="969" spans="1:23" ht="15" customHeight="1" x14ac:dyDescent="0.25">
      <c r="A969" s="148">
        <v>10924</v>
      </c>
      <c r="B969" s="148" t="s">
        <v>1907</v>
      </c>
      <c r="C969" s="143" t="s">
        <v>2504</v>
      </c>
      <c r="D969" s="143" t="s">
        <v>2504</v>
      </c>
      <c r="E969" s="143" t="s">
        <v>2504</v>
      </c>
      <c r="F969" s="143" t="s">
        <v>2504</v>
      </c>
      <c r="G969" s="143" t="s">
        <v>2504</v>
      </c>
      <c r="H969" s="143" t="s">
        <v>2504</v>
      </c>
      <c r="I969" s="143" t="s">
        <v>2504</v>
      </c>
      <c r="J969" s="143" t="s">
        <v>2504</v>
      </c>
      <c r="K969" s="143" t="s">
        <v>2504</v>
      </c>
      <c r="L969" s="143" t="s">
        <v>2504</v>
      </c>
      <c r="M969" s="143" t="s">
        <v>2504</v>
      </c>
      <c r="N969" s="143" t="s">
        <v>2504</v>
      </c>
      <c r="O969" s="143" t="s">
        <v>1907</v>
      </c>
      <c r="P969" s="143" t="s">
        <v>2504</v>
      </c>
      <c r="Q969" s="148" t="s">
        <v>1908</v>
      </c>
      <c r="R969" s="148" t="s">
        <v>705</v>
      </c>
      <c r="S969" s="148" t="s">
        <v>1904</v>
      </c>
      <c r="T969" s="149">
        <v>16</v>
      </c>
      <c r="U969" s="148" t="s">
        <v>591</v>
      </c>
      <c r="V969" s="150">
        <v>3183.43</v>
      </c>
      <c r="W969" s="151">
        <f t="shared" si="6"/>
        <v>47751.45</v>
      </c>
    </row>
    <row r="970" spans="1:23" ht="15" customHeight="1" x14ac:dyDescent="0.25">
      <c r="A970" s="148">
        <v>11123</v>
      </c>
      <c r="B970" s="148" t="s">
        <v>1996</v>
      </c>
      <c r="C970" s="143" t="s">
        <v>2504</v>
      </c>
      <c r="D970" s="143" t="s">
        <v>2504</v>
      </c>
      <c r="E970" s="143" t="s">
        <v>2504</v>
      </c>
      <c r="F970" s="143" t="s">
        <v>2504</v>
      </c>
      <c r="G970" s="143" t="s">
        <v>2504</v>
      </c>
      <c r="H970" s="143" t="s">
        <v>2504</v>
      </c>
      <c r="I970" s="143" t="s">
        <v>2504</v>
      </c>
      <c r="J970" s="143" t="s">
        <v>2504</v>
      </c>
      <c r="K970" s="143" t="s">
        <v>2504</v>
      </c>
      <c r="L970" s="143" t="s">
        <v>2504</v>
      </c>
      <c r="M970" s="143" t="s">
        <v>2504</v>
      </c>
      <c r="N970" s="143" t="s">
        <v>2504</v>
      </c>
      <c r="O970" s="143" t="s">
        <v>1996</v>
      </c>
      <c r="P970" s="143" t="s">
        <v>2504</v>
      </c>
      <c r="Q970" s="148" t="s">
        <v>1997</v>
      </c>
      <c r="R970" s="148" t="s">
        <v>705</v>
      </c>
      <c r="S970" s="148" t="s">
        <v>1904</v>
      </c>
      <c r="T970" s="149">
        <v>170</v>
      </c>
      <c r="U970" s="148" t="s">
        <v>591</v>
      </c>
      <c r="V970" s="150">
        <v>33202.75</v>
      </c>
      <c r="W970" s="151">
        <f t="shared" si="6"/>
        <v>498041.25</v>
      </c>
    </row>
    <row r="971" spans="1:23" ht="15" customHeight="1" x14ac:dyDescent="0.25">
      <c r="A971" s="148">
        <v>10902</v>
      </c>
      <c r="B971" s="148" t="s">
        <v>1857</v>
      </c>
      <c r="C971" s="143" t="s">
        <v>2504</v>
      </c>
      <c r="D971" s="143" t="s">
        <v>2504</v>
      </c>
      <c r="E971" s="143" t="s">
        <v>2504</v>
      </c>
      <c r="F971" s="143" t="s">
        <v>2504</v>
      </c>
      <c r="G971" s="143" t="s">
        <v>2504</v>
      </c>
      <c r="H971" s="143" t="s">
        <v>2504</v>
      </c>
      <c r="I971" s="143" t="s">
        <v>2504</v>
      </c>
      <c r="J971" s="143" t="s">
        <v>2504</v>
      </c>
      <c r="K971" s="143" t="s">
        <v>2504</v>
      </c>
      <c r="L971" s="143" t="s">
        <v>2504</v>
      </c>
      <c r="M971" s="143" t="s">
        <v>2504</v>
      </c>
      <c r="N971" s="143" t="s">
        <v>2504</v>
      </c>
      <c r="O971" s="143" t="s">
        <v>1857</v>
      </c>
      <c r="P971" s="143" t="s">
        <v>2504</v>
      </c>
      <c r="Q971" s="148" t="s">
        <v>1858</v>
      </c>
      <c r="R971" s="148" t="s">
        <v>705</v>
      </c>
      <c r="S971" s="148" t="s">
        <v>1854</v>
      </c>
      <c r="T971" s="149">
        <v>16</v>
      </c>
      <c r="U971" s="148" t="s">
        <v>591</v>
      </c>
      <c r="V971" s="150">
        <v>1974.23</v>
      </c>
      <c r="W971" s="151">
        <f t="shared" si="6"/>
        <v>29613.45</v>
      </c>
    </row>
    <row r="972" spans="1:23" ht="15" customHeight="1" x14ac:dyDescent="0.25">
      <c r="A972" s="148">
        <v>11102</v>
      </c>
      <c r="B972" s="148" t="s">
        <v>1962</v>
      </c>
      <c r="C972" s="143" t="s">
        <v>2504</v>
      </c>
      <c r="D972" s="143" t="s">
        <v>2504</v>
      </c>
      <c r="E972" s="143" t="s">
        <v>2504</v>
      </c>
      <c r="F972" s="143" t="s">
        <v>2504</v>
      </c>
      <c r="G972" s="143" t="s">
        <v>2504</v>
      </c>
      <c r="H972" s="143" t="s">
        <v>2504</v>
      </c>
      <c r="I972" s="143" t="s">
        <v>2504</v>
      </c>
      <c r="J972" s="143" t="s">
        <v>2504</v>
      </c>
      <c r="K972" s="143" t="s">
        <v>2504</v>
      </c>
      <c r="L972" s="143" t="s">
        <v>2504</v>
      </c>
      <c r="M972" s="143" t="s">
        <v>2504</v>
      </c>
      <c r="N972" s="143" t="s">
        <v>2504</v>
      </c>
      <c r="O972" s="143" t="s">
        <v>1962</v>
      </c>
      <c r="P972" s="143" t="s">
        <v>2504</v>
      </c>
      <c r="Q972" s="148" t="s">
        <v>1963</v>
      </c>
      <c r="R972" s="148" t="s">
        <v>705</v>
      </c>
      <c r="S972" s="148" t="s">
        <v>1854</v>
      </c>
      <c r="T972" s="149">
        <v>170</v>
      </c>
      <c r="U972" s="148" t="s">
        <v>591</v>
      </c>
      <c r="V972" s="150">
        <v>20754.05</v>
      </c>
      <c r="W972" s="151">
        <f t="shared" si="6"/>
        <v>311310.75</v>
      </c>
    </row>
    <row r="973" spans="1:23" ht="15" customHeight="1" x14ac:dyDescent="0.25">
      <c r="A973" s="148">
        <v>10903</v>
      </c>
      <c r="B973" s="148" t="s">
        <v>1859</v>
      </c>
      <c r="C973" s="143" t="s">
        <v>2504</v>
      </c>
      <c r="D973" s="143" t="s">
        <v>2504</v>
      </c>
      <c r="E973" s="143" t="s">
        <v>2504</v>
      </c>
      <c r="F973" s="143" t="s">
        <v>2504</v>
      </c>
      <c r="G973" s="143" t="s">
        <v>2504</v>
      </c>
      <c r="H973" s="143" t="s">
        <v>2504</v>
      </c>
      <c r="I973" s="143" t="s">
        <v>2504</v>
      </c>
      <c r="J973" s="143" t="s">
        <v>2504</v>
      </c>
      <c r="K973" s="143" t="s">
        <v>2504</v>
      </c>
      <c r="L973" s="143" t="s">
        <v>2504</v>
      </c>
      <c r="M973" s="143" t="s">
        <v>2504</v>
      </c>
      <c r="N973" s="143" t="s">
        <v>2504</v>
      </c>
      <c r="O973" s="143" t="s">
        <v>1859</v>
      </c>
      <c r="P973" s="143" t="s">
        <v>2504</v>
      </c>
      <c r="Q973" s="148" t="s">
        <v>1860</v>
      </c>
      <c r="R973" s="148" t="s">
        <v>705</v>
      </c>
      <c r="S973" s="148" t="s">
        <v>1861</v>
      </c>
      <c r="T973" s="149">
        <v>16</v>
      </c>
      <c r="U973" s="148" t="s">
        <v>591</v>
      </c>
      <c r="V973" s="150">
        <v>2221.8200000000002</v>
      </c>
      <c r="W973" s="151">
        <f t="shared" si="6"/>
        <v>33327.300000000003</v>
      </c>
    </row>
    <row r="974" spans="1:23" ht="15" customHeight="1" x14ac:dyDescent="0.25">
      <c r="A974" s="148">
        <v>10904</v>
      </c>
      <c r="B974" s="148" t="s">
        <v>1862</v>
      </c>
      <c r="C974" s="143" t="s">
        <v>2504</v>
      </c>
      <c r="D974" s="143" t="s">
        <v>2504</v>
      </c>
      <c r="E974" s="143" t="s">
        <v>2504</v>
      </c>
      <c r="F974" s="143" t="s">
        <v>2504</v>
      </c>
      <c r="G974" s="143" t="s">
        <v>2504</v>
      </c>
      <c r="H974" s="143" t="s">
        <v>2504</v>
      </c>
      <c r="I974" s="143" t="s">
        <v>2504</v>
      </c>
      <c r="J974" s="143" t="s">
        <v>2504</v>
      </c>
      <c r="K974" s="143" t="s">
        <v>2504</v>
      </c>
      <c r="L974" s="143" t="s">
        <v>2504</v>
      </c>
      <c r="M974" s="143" t="s">
        <v>2504</v>
      </c>
      <c r="N974" s="143" t="s">
        <v>2504</v>
      </c>
      <c r="O974" s="143" t="s">
        <v>1862</v>
      </c>
      <c r="P974" s="143" t="s">
        <v>2504</v>
      </c>
      <c r="Q974" s="148" t="s">
        <v>1863</v>
      </c>
      <c r="R974" s="148" t="s">
        <v>705</v>
      </c>
      <c r="S974" s="148" t="s">
        <v>1861</v>
      </c>
      <c r="T974" s="149">
        <v>16</v>
      </c>
      <c r="U974" s="148" t="s">
        <v>591</v>
      </c>
      <c r="V974" s="150">
        <v>2281.31</v>
      </c>
      <c r="W974" s="151">
        <f t="shared" si="6"/>
        <v>34219.65</v>
      </c>
    </row>
    <row r="975" spans="1:23" ht="15" customHeight="1" x14ac:dyDescent="0.25">
      <c r="A975" s="148">
        <v>11103</v>
      </c>
      <c r="B975" s="148" t="s">
        <v>1964</v>
      </c>
      <c r="C975" s="143" t="s">
        <v>2504</v>
      </c>
      <c r="D975" s="143" t="s">
        <v>2504</v>
      </c>
      <c r="E975" s="143" t="s">
        <v>2504</v>
      </c>
      <c r="F975" s="143" t="s">
        <v>2504</v>
      </c>
      <c r="G975" s="143" t="s">
        <v>2504</v>
      </c>
      <c r="H975" s="143" t="s">
        <v>2504</v>
      </c>
      <c r="I975" s="143" t="s">
        <v>2504</v>
      </c>
      <c r="J975" s="143" t="s">
        <v>2504</v>
      </c>
      <c r="K975" s="143" t="s">
        <v>2504</v>
      </c>
      <c r="L975" s="143" t="s">
        <v>2504</v>
      </c>
      <c r="M975" s="143" t="s">
        <v>2504</v>
      </c>
      <c r="N975" s="143" t="s">
        <v>2504</v>
      </c>
      <c r="O975" s="143" t="s">
        <v>1964</v>
      </c>
      <c r="P975" s="143" t="s">
        <v>2504</v>
      </c>
      <c r="Q975" s="148" t="s">
        <v>1965</v>
      </c>
      <c r="R975" s="148" t="s">
        <v>705</v>
      </c>
      <c r="S975" s="148" t="s">
        <v>1861</v>
      </c>
      <c r="T975" s="149">
        <v>170</v>
      </c>
      <c r="U975" s="148" t="s">
        <v>591</v>
      </c>
      <c r="V975" s="150">
        <v>23384.71</v>
      </c>
      <c r="W975" s="151">
        <f t="shared" si="6"/>
        <v>350770.64999999997</v>
      </c>
    </row>
    <row r="976" spans="1:23" ht="15" customHeight="1" x14ac:dyDescent="0.25">
      <c r="A976" s="148">
        <v>11104</v>
      </c>
      <c r="B976" s="148" t="s">
        <v>1966</v>
      </c>
      <c r="C976" s="143" t="s">
        <v>2504</v>
      </c>
      <c r="D976" s="143" t="s">
        <v>2504</v>
      </c>
      <c r="E976" s="143" t="s">
        <v>2504</v>
      </c>
      <c r="F976" s="143" t="s">
        <v>2504</v>
      </c>
      <c r="G976" s="143" t="s">
        <v>2504</v>
      </c>
      <c r="H976" s="143" t="s">
        <v>2504</v>
      </c>
      <c r="I976" s="143" t="s">
        <v>2504</v>
      </c>
      <c r="J976" s="143" t="s">
        <v>2504</v>
      </c>
      <c r="K976" s="143" t="s">
        <v>2504</v>
      </c>
      <c r="L976" s="143" t="s">
        <v>2504</v>
      </c>
      <c r="M976" s="143" t="s">
        <v>2504</v>
      </c>
      <c r="N976" s="143" t="s">
        <v>2504</v>
      </c>
      <c r="O976" s="143" t="s">
        <v>1966</v>
      </c>
      <c r="P976" s="143" t="s">
        <v>2504</v>
      </c>
      <c r="Q976" s="148" t="s">
        <v>1967</v>
      </c>
      <c r="R976" s="148" t="s">
        <v>705</v>
      </c>
      <c r="S976" s="148" t="s">
        <v>1861</v>
      </c>
      <c r="T976" s="149">
        <v>170</v>
      </c>
      <c r="U976" s="148" t="s">
        <v>591</v>
      </c>
      <c r="V976" s="150">
        <v>24016.74</v>
      </c>
      <c r="W976" s="151">
        <f t="shared" si="6"/>
        <v>360251.10000000003</v>
      </c>
    </row>
    <row r="977" spans="1:23" ht="15" customHeight="1" x14ac:dyDescent="0.25">
      <c r="A977" s="148">
        <v>10905</v>
      </c>
      <c r="B977" s="148" t="s">
        <v>1864</v>
      </c>
      <c r="C977" s="143" t="s">
        <v>2504</v>
      </c>
      <c r="D977" s="143" t="s">
        <v>2504</v>
      </c>
      <c r="E977" s="143" t="s">
        <v>2504</v>
      </c>
      <c r="F977" s="143" t="s">
        <v>2504</v>
      </c>
      <c r="G977" s="143" t="s">
        <v>2504</v>
      </c>
      <c r="H977" s="143" t="s">
        <v>2504</v>
      </c>
      <c r="I977" s="143" t="s">
        <v>2504</v>
      </c>
      <c r="J977" s="143" t="s">
        <v>2504</v>
      </c>
      <c r="K977" s="143" t="s">
        <v>2504</v>
      </c>
      <c r="L977" s="143" t="s">
        <v>2504</v>
      </c>
      <c r="M977" s="143" t="s">
        <v>2504</v>
      </c>
      <c r="N977" s="143" t="s">
        <v>2504</v>
      </c>
      <c r="O977" s="143" t="s">
        <v>1864</v>
      </c>
      <c r="P977" s="143" t="s">
        <v>2504</v>
      </c>
      <c r="Q977" s="148" t="s">
        <v>1865</v>
      </c>
      <c r="R977" s="148" t="s">
        <v>705</v>
      </c>
      <c r="S977" s="148" t="s">
        <v>1866</v>
      </c>
      <c r="T977" s="149">
        <v>16</v>
      </c>
      <c r="U977" s="148" t="s">
        <v>591</v>
      </c>
      <c r="V977" s="150">
        <v>2333.29</v>
      </c>
      <c r="W977" s="151">
        <f t="shared" si="6"/>
        <v>34999.35</v>
      </c>
    </row>
    <row r="978" spans="1:23" ht="15" customHeight="1" x14ac:dyDescent="0.25">
      <c r="A978" s="148">
        <v>10906</v>
      </c>
      <c r="B978" s="148" t="s">
        <v>1867</v>
      </c>
      <c r="C978" s="143" t="s">
        <v>2504</v>
      </c>
      <c r="D978" s="143" t="s">
        <v>2504</v>
      </c>
      <c r="E978" s="143" t="s">
        <v>2504</v>
      </c>
      <c r="F978" s="143" t="s">
        <v>2504</v>
      </c>
      <c r="G978" s="143" t="s">
        <v>2504</v>
      </c>
      <c r="H978" s="143" t="s">
        <v>2504</v>
      </c>
      <c r="I978" s="143" t="s">
        <v>2504</v>
      </c>
      <c r="J978" s="143" t="s">
        <v>2504</v>
      </c>
      <c r="K978" s="143" t="s">
        <v>2504</v>
      </c>
      <c r="L978" s="143" t="s">
        <v>2504</v>
      </c>
      <c r="M978" s="143" t="s">
        <v>2504</v>
      </c>
      <c r="N978" s="143" t="s">
        <v>2504</v>
      </c>
      <c r="O978" s="143" t="s">
        <v>1867</v>
      </c>
      <c r="P978" s="143" t="s">
        <v>2504</v>
      </c>
      <c r="Q978" s="148" t="s">
        <v>1868</v>
      </c>
      <c r="R978" s="148" t="s">
        <v>705</v>
      </c>
      <c r="S978" s="148" t="s">
        <v>1866</v>
      </c>
      <c r="T978" s="149">
        <v>16</v>
      </c>
      <c r="U978" s="148" t="s">
        <v>591</v>
      </c>
      <c r="V978" s="150">
        <v>2328.6799999999998</v>
      </c>
      <c r="W978" s="151">
        <f t="shared" si="6"/>
        <v>34930.199999999997</v>
      </c>
    </row>
    <row r="979" spans="1:23" ht="15" customHeight="1" x14ac:dyDescent="0.25">
      <c r="A979" s="148">
        <v>11105</v>
      </c>
      <c r="B979" s="148" t="s">
        <v>1968</v>
      </c>
      <c r="C979" s="143" t="s">
        <v>2504</v>
      </c>
      <c r="D979" s="143" t="s">
        <v>2504</v>
      </c>
      <c r="E979" s="143" t="s">
        <v>2504</v>
      </c>
      <c r="F979" s="143" t="s">
        <v>2504</v>
      </c>
      <c r="G979" s="143" t="s">
        <v>2504</v>
      </c>
      <c r="H979" s="143" t="s">
        <v>2504</v>
      </c>
      <c r="I979" s="143" t="s">
        <v>2504</v>
      </c>
      <c r="J979" s="143" t="s">
        <v>2504</v>
      </c>
      <c r="K979" s="143" t="s">
        <v>2504</v>
      </c>
      <c r="L979" s="143" t="s">
        <v>2504</v>
      </c>
      <c r="M979" s="143" t="s">
        <v>2504</v>
      </c>
      <c r="N979" s="143" t="s">
        <v>2504</v>
      </c>
      <c r="O979" s="143" t="s">
        <v>1968</v>
      </c>
      <c r="P979" s="143" t="s">
        <v>2504</v>
      </c>
      <c r="Q979" s="148" t="s">
        <v>1969</v>
      </c>
      <c r="R979" s="148" t="s">
        <v>705</v>
      </c>
      <c r="S979" s="148" t="s">
        <v>1866</v>
      </c>
      <c r="T979" s="149">
        <v>170</v>
      </c>
      <c r="U979" s="148" t="s">
        <v>591</v>
      </c>
      <c r="V979" s="150">
        <v>24569.06</v>
      </c>
      <c r="W979" s="151">
        <f t="shared" si="6"/>
        <v>368535.9</v>
      </c>
    </row>
    <row r="980" spans="1:23" ht="15" customHeight="1" x14ac:dyDescent="0.25">
      <c r="A980" s="148">
        <v>11106</v>
      </c>
      <c r="B980" s="148" t="s">
        <v>1970</v>
      </c>
      <c r="C980" s="143" t="s">
        <v>2504</v>
      </c>
      <c r="D980" s="143" t="s">
        <v>2504</v>
      </c>
      <c r="E980" s="143" t="s">
        <v>2504</v>
      </c>
      <c r="F980" s="143" t="s">
        <v>2504</v>
      </c>
      <c r="G980" s="143" t="s">
        <v>2504</v>
      </c>
      <c r="H980" s="143" t="s">
        <v>2504</v>
      </c>
      <c r="I980" s="143" t="s">
        <v>2504</v>
      </c>
      <c r="J980" s="143" t="s">
        <v>2504</v>
      </c>
      <c r="K980" s="143" t="s">
        <v>2504</v>
      </c>
      <c r="L980" s="143" t="s">
        <v>2504</v>
      </c>
      <c r="M980" s="143" t="s">
        <v>2504</v>
      </c>
      <c r="N980" s="143" t="s">
        <v>2504</v>
      </c>
      <c r="O980" s="143" t="s">
        <v>1970</v>
      </c>
      <c r="P980" s="143" t="s">
        <v>2504</v>
      </c>
      <c r="Q980" s="148" t="s">
        <v>1971</v>
      </c>
      <c r="R980" s="148" t="s">
        <v>705</v>
      </c>
      <c r="S980" s="148" t="s">
        <v>1866</v>
      </c>
      <c r="T980" s="149">
        <v>170</v>
      </c>
      <c r="U980" s="148" t="s">
        <v>591</v>
      </c>
      <c r="V980" s="150">
        <v>24519.96</v>
      </c>
      <c r="W980" s="151">
        <f t="shared" si="6"/>
        <v>367799.39999999997</v>
      </c>
    </row>
    <row r="981" spans="1:23" ht="15" customHeight="1" x14ac:dyDescent="0.25">
      <c r="A981" s="148">
        <v>10925</v>
      </c>
      <c r="B981" s="148" t="s">
        <v>1909</v>
      </c>
      <c r="C981" s="143" t="s">
        <v>2504</v>
      </c>
      <c r="D981" s="143" t="s">
        <v>2504</v>
      </c>
      <c r="E981" s="143" t="s">
        <v>2504</v>
      </c>
      <c r="F981" s="143" t="s">
        <v>2504</v>
      </c>
      <c r="G981" s="143" t="s">
        <v>2504</v>
      </c>
      <c r="H981" s="143" t="s">
        <v>2504</v>
      </c>
      <c r="I981" s="143" t="s">
        <v>2504</v>
      </c>
      <c r="J981" s="143" t="s">
        <v>2504</v>
      </c>
      <c r="K981" s="143" t="s">
        <v>2504</v>
      </c>
      <c r="L981" s="143" t="s">
        <v>2504</v>
      </c>
      <c r="M981" s="143" t="s">
        <v>2504</v>
      </c>
      <c r="N981" s="143" t="s">
        <v>2504</v>
      </c>
      <c r="O981" s="143" t="s">
        <v>1909</v>
      </c>
      <c r="P981" s="143" t="s">
        <v>2504</v>
      </c>
      <c r="Q981" s="148" t="s">
        <v>1910</v>
      </c>
      <c r="R981" s="148" t="s">
        <v>705</v>
      </c>
      <c r="S981" s="148" t="s">
        <v>1911</v>
      </c>
      <c r="T981" s="149">
        <v>16</v>
      </c>
      <c r="U981" s="148" t="s">
        <v>591</v>
      </c>
      <c r="V981" s="150">
        <v>2090.1799999999998</v>
      </c>
      <c r="W981" s="151">
        <f t="shared" si="6"/>
        <v>31352.699999999997</v>
      </c>
    </row>
    <row r="982" spans="1:23" ht="15" customHeight="1" x14ac:dyDescent="0.25">
      <c r="A982" s="148">
        <v>10926</v>
      </c>
      <c r="B982" s="148" t="s">
        <v>1912</v>
      </c>
      <c r="C982" s="143" t="s">
        <v>2504</v>
      </c>
      <c r="D982" s="143" t="s">
        <v>2504</v>
      </c>
      <c r="E982" s="143" t="s">
        <v>2504</v>
      </c>
      <c r="F982" s="143" t="s">
        <v>2504</v>
      </c>
      <c r="G982" s="143" t="s">
        <v>2504</v>
      </c>
      <c r="H982" s="143" t="s">
        <v>2504</v>
      </c>
      <c r="I982" s="143" t="s">
        <v>2504</v>
      </c>
      <c r="J982" s="143" t="s">
        <v>2504</v>
      </c>
      <c r="K982" s="143" t="s">
        <v>2504</v>
      </c>
      <c r="L982" s="143" t="s">
        <v>2504</v>
      </c>
      <c r="M982" s="143" t="s">
        <v>2504</v>
      </c>
      <c r="N982" s="143" t="s">
        <v>2504</v>
      </c>
      <c r="O982" s="143" t="s">
        <v>1912</v>
      </c>
      <c r="P982" s="143" t="s">
        <v>2504</v>
      </c>
      <c r="Q982" s="148" t="s">
        <v>1913</v>
      </c>
      <c r="R982" s="148" t="s">
        <v>705</v>
      </c>
      <c r="S982" s="148" t="s">
        <v>1911</v>
      </c>
      <c r="T982" s="149">
        <v>16</v>
      </c>
      <c r="U982" s="148" t="s">
        <v>591</v>
      </c>
      <c r="V982" s="150">
        <v>2092.66</v>
      </c>
      <c r="W982" s="151">
        <v>129836.41</v>
      </c>
    </row>
    <row r="983" spans="1:23" ht="15" customHeight="1" x14ac:dyDescent="0.25">
      <c r="A983" s="148">
        <v>10935</v>
      </c>
      <c r="B983" s="148" t="s">
        <v>1935</v>
      </c>
      <c r="C983" s="143" t="s">
        <v>2504</v>
      </c>
      <c r="D983" s="143" t="s">
        <v>2504</v>
      </c>
      <c r="E983" s="143" t="s">
        <v>2504</v>
      </c>
      <c r="F983" s="143" t="s">
        <v>2504</v>
      </c>
      <c r="G983" s="143" t="s">
        <v>2504</v>
      </c>
      <c r="H983" s="143" t="s">
        <v>2504</v>
      </c>
      <c r="I983" s="143" t="s">
        <v>2504</v>
      </c>
      <c r="J983" s="143" t="s">
        <v>2504</v>
      </c>
      <c r="K983" s="143" t="s">
        <v>2504</v>
      </c>
      <c r="L983" s="143" t="s">
        <v>2504</v>
      </c>
      <c r="M983" s="143" t="s">
        <v>2504</v>
      </c>
      <c r="N983" s="143" t="s">
        <v>2504</v>
      </c>
      <c r="O983" s="143" t="s">
        <v>2504</v>
      </c>
      <c r="P983" s="143" t="s">
        <v>1935</v>
      </c>
      <c r="Q983" s="148" t="s">
        <v>1936</v>
      </c>
      <c r="R983" s="148" t="s">
        <v>705</v>
      </c>
      <c r="S983" s="148" t="s">
        <v>1937</v>
      </c>
      <c r="T983" s="149">
        <v>16</v>
      </c>
      <c r="U983" s="148" t="s">
        <v>591</v>
      </c>
      <c r="V983" s="150">
        <v>1772.13</v>
      </c>
      <c r="W983" s="151">
        <v>134070.34</v>
      </c>
    </row>
    <row r="984" spans="1:23" ht="15" customHeight="1" x14ac:dyDescent="0.25">
      <c r="A984" s="148">
        <v>10936</v>
      </c>
      <c r="B984" s="148" t="s">
        <v>1938</v>
      </c>
      <c r="C984" s="143" t="s">
        <v>2504</v>
      </c>
      <c r="D984" s="143" t="s">
        <v>2504</v>
      </c>
      <c r="E984" s="143" t="s">
        <v>2504</v>
      </c>
      <c r="F984" s="143" t="s">
        <v>2504</v>
      </c>
      <c r="G984" s="143" t="s">
        <v>2504</v>
      </c>
      <c r="H984" s="143" t="s">
        <v>2504</v>
      </c>
      <c r="I984" s="143" t="s">
        <v>2504</v>
      </c>
      <c r="J984" s="143" t="s">
        <v>2504</v>
      </c>
      <c r="K984" s="143" t="s">
        <v>2504</v>
      </c>
      <c r="L984" s="143" t="s">
        <v>2504</v>
      </c>
      <c r="M984" s="143" t="s">
        <v>2504</v>
      </c>
      <c r="N984" s="143" t="s">
        <v>2504</v>
      </c>
      <c r="O984" s="143" t="s">
        <v>2504</v>
      </c>
      <c r="P984" s="143" t="s">
        <v>1938</v>
      </c>
      <c r="Q984" s="148" t="s">
        <v>1939</v>
      </c>
      <c r="R984" s="148" t="s">
        <v>705</v>
      </c>
      <c r="S984" s="148" t="s">
        <v>1937</v>
      </c>
      <c r="T984" s="149">
        <v>16</v>
      </c>
      <c r="U984" s="148" t="s">
        <v>591</v>
      </c>
      <c r="V984" s="150">
        <v>1773.49</v>
      </c>
      <c r="W984" s="151">
        <v>185530.56</v>
      </c>
    </row>
    <row r="985" spans="1:23" ht="15" customHeight="1" x14ac:dyDescent="0.25">
      <c r="A985" s="148">
        <v>11136</v>
      </c>
      <c r="B985" s="148" t="s">
        <v>2014</v>
      </c>
      <c r="C985" s="143" t="s">
        <v>2504</v>
      </c>
      <c r="D985" s="143" t="s">
        <v>2504</v>
      </c>
      <c r="E985" s="143" t="s">
        <v>2504</v>
      </c>
      <c r="F985" s="143" t="s">
        <v>2504</v>
      </c>
      <c r="G985" s="143" t="s">
        <v>2504</v>
      </c>
      <c r="H985" s="143" t="s">
        <v>2504</v>
      </c>
      <c r="I985" s="143" t="s">
        <v>2504</v>
      </c>
      <c r="J985" s="143" t="s">
        <v>2504</v>
      </c>
      <c r="K985" s="143" t="s">
        <v>2504</v>
      </c>
      <c r="L985" s="143" t="s">
        <v>2504</v>
      </c>
      <c r="M985" s="143" t="s">
        <v>2504</v>
      </c>
      <c r="N985" s="143" t="s">
        <v>2504</v>
      </c>
      <c r="O985" s="143" t="s">
        <v>2504</v>
      </c>
      <c r="P985" s="143" t="s">
        <v>2014</v>
      </c>
      <c r="Q985" s="148" t="s">
        <v>2015</v>
      </c>
      <c r="R985" s="148" t="s">
        <v>705</v>
      </c>
      <c r="S985" s="148" t="s">
        <v>1937</v>
      </c>
      <c r="T985" s="149">
        <v>170</v>
      </c>
      <c r="U985" s="148" t="s">
        <v>591</v>
      </c>
      <c r="V985" s="150">
        <v>18621.11</v>
      </c>
      <c r="W985" s="151">
        <v>88695.15</v>
      </c>
    </row>
    <row r="986" spans="1:23" ht="15" customHeight="1" x14ac:dyDescent="0.25">
      <c r="A986" s="148">
        <v>10941</v>
      </c>
      <c r="B986" s="148" t="s">
        <v>1951</v>
      </c>
      <c r="C986" s="143" t="s">
        <v>2504</v>
      </c>
      <c r="D986" s="143" t="s">
        <v>2504</v>
      </c>
      <c r="E986" s="143" t="s">
        <v>2504</v>
      </c>
      <c r="F986" s="143" t="s">
        <v>2504</v>
      </c>
      <c r="G986" s="143" t="s">
        <v>2504</v>
      </c>
      <c r="H986" s="143" t="s">
        <v>2504</v>
      </c>
      <c r="I986" s="143" t="s">
        <v>2504</v>
      </c>
      <c r="J986" s="143" t="s">
        <v>2504</v>
      </c>
      <c r="K986" s="143" t="s">
        <v>2504</v>
      </c>
      <c r="L986" s="143" t="s">
        <v>2504</v>
      </c>
      <c r="M986" s="143" t="s">
        <v>2504</v>
      </c>
      <c r="N986" s="143" t="s">
        <v>2504</v>
      </c>
      <c r="O986" s="143" t="s">
        <v>2504</v>
      </c>
      <c r="P986" s="143" t="s">
        <v>1951</v>
      </c>
      <c r="Q986" s="148" t="s">
        <v>1952</v>
      </c>
      <c r="R986" s="148" t="s">
        <v>705</v>
      </c>
      <c r="S986" s="148" t="s">
        <v>1953</v>
      </c>
      <c r="T986" s="149">
        <v>16</v>
      </c>
      <c r="U986" s="148" t="s">
        <v>591</v>
      </c>
      <c r="V986" s="150">
        <v>2838.17</v>
      </c>
      <c r="W986" s="151">
        <v>117043.01</v>
      </c>
    </row>
    <row r="987" spans="1:23" ht="15" customHeight="1" x14ac:dyDescent="0.25">
      <c r="A987" s="148">
        <v>11141</v>
      </c>
      <c r="B987" s="148" t="s">
        <v>2020</v>
      </c>
      <c r="C987" s="143" t="s">
        <v>2504</v>
      </c>
      <c r="D987" s="143" t="s">
        <v>2504</v>
      </c>
      <c r="E987" s="143" t="s">
        <v>2504</v>
      </c>
      <c r="F987" s="143" t="s">
        <v>2504</v>
      </c>
      <c r="G987" s="143" t="s">
        <v>2504</v>
      </c>
      <c r="H987" s="143" t="s">
        <v>2504</v>
      </c>
      <c r="I987" s="143" t="s">
        <v>2504</v>
      </c>
      <c r="J987" s="143" t="s">
        <v>2504</v>
      </c>
      <c r="K987" s="143" t="s">
        <v>2504</v>
      </c>
      <c r="L987" s="143" t="s">
        <v>2504</v>
      </c>
      <c r="M987" s="143" t="s">
        <v>2504</v>
      </c>
      <c r="N987" s="143" t="s">
        <v>2504</v>
      </c>
      <c r="O987" s="143" t="s">
        <v>2504</v>
      </c>
      <c r="P987" s="143" t="s">
        <v>2020</v>
      </c>
      <c r="Q987" s="148" t="s">
        <v>2021</v>
      </c>
      <c r="R987" s="148" t="s">
        <v>705</v>
      </c>
      <c r="S987" s="148" t="s">
        <v>1953</v>
      </c>
      <c r="T987" s="149">
        <v>170</v>
      </c>
      <c r="U987" s="148" t="s">
        <v>935</v>
      </c>
      <c r="V987" s="150">
        <v>29933.27</v>
      </c>
      <c r="W987" s="151">
        <v>89551</v>
      </c>
    </row>
    <row r="988" spans="1:23" ht="15" customHeight="1" x14ac:dyDescent="0.25">
      <c r="A988" s="148">
        <v>10943</v>
      </c>
      <c r="B988" s="148" t="s">
        <v>1954</v>
      </c>
      <c r="C988" s="143" t="s">
        <v>2504</v>
      </c>
      <c r="D988" s="143" t="s">
        <v>2504</v>
      </c>
      <c r="E988" s="143" t="s">
        <v>2504</v>
      </c>
      <c r="F988" s="143" t="s">
        <v>2504</v>
      </c>
      <c r="G988" s="143" t="s">
        <v>2504</v>
      </c>
      <c r="H988" s="143" t="s">
        <v>2504</v>
      </c>
      <c r="I988" s="143" t="s">
        <v>2504</v>
      </c>
      <c r="J988" s="143" t="s">
        <v>2504</v>
      </c>
      <c r="K988" s="143" t="s">
        <v>2504</v>
      </c>
      <c r="L988" s="143" t="s">
        <v>2504</v>
      </c>
      <c r="M988" s="143" t="s">
        <v>2504</v>
      </c>
      <c r="N988" s="143" t="s">
        <v>2504</v>
      </c>
      <c r="O988" s="143" t="s">
        <v>2504</v>
      </c>
      <c r="P988" s="143" t="s">
        <v>1954</v>
      </c>
      <c r="Q988" s="148" t="s">
        <v>1955</v>
      </c>
      <c r="R988" s="148" t="s">
        <v>705</v>
      </c>
      <c r="S988" s="148" t="s">
        <v>1956</v>
      </c>
      <c r="T988" s="149">
        <v>16</v>
      </c>
      <c r="U988" s="148" t="s">
        <v>591</v>
      </c>
      <c r="V988" s="150">
        <v>1831.86</v>
      </c>
      <c r="W988" s="151">
        <v>89969.95</v>
      </c>
    </row>
    <row r="989" spans="1:23" ht="15" customHeight="1" x14ac:dyDescent="0.25">
      <c r="A989" s="148">
        <v>11143</v>
      </c>
      <c r="B989" s="148" t="s">
        <v>2022</v>
      </c>
      <c r="C989" s="143" t="s">
        <v>2504</v>
      </c>
      <c r="D989" s="143" t="s">
        <v>2504</v>
      </c>
      <c r="E989" s="143" t="s">
        <v>2504</v>
      </c>
      <c r="F989" s="143" t="s">
        <v>2504</v>
      </c>
      <c r="G989" s="143" t="s">
        <v>2504</v>
      </c>
      <c r="H989" s="143" t="s">
        <v>2504</v>
      </c>
      <c r="I989" s="143" t="s">
        <v>2504</v>
      </c>
      <c r="J989" s="143" t="s">
        <v>2504</v>
      </c>
      <c r="K989" s="143" t="s">
        <v>2504</v>
      </c>
      <c r="L989" s="143" t="s">
        <v>2504</v>
      </c>
      <c r="M989" s="143" t="s">
        <v>2504</v>
      </c>
      <c r="N989" s="143" t="s">
        <v>2504</v>
      </c>
      <c r="O989" s="143" t="s">
        <v>2504</v>
      </c>
      <c r="P989" s="143" t="s">
        <v>2022</v>
      </c>
      <c r="Q989" s="148" t="s">
        <v>2023</v>
      </c>
      <c r="R989" s="148" t="s">
        <v>705</v>
      </c>
      <c r="S989" s="148" t="s">
        <v>1956</v>
      </c>
      <c r="T989" s="149">
        <v>170</v>
      </c>
      <c r="U989" s="148" t="s">
        <v>935</v>
      </c>
      <c r="V989" s="150">
        <v>18993.189999999999</v>
      </c>
      <c r="W989" s="151">
        <v>109447.75</v>
      </c>
    </row>
    <row r="990" spans="1:23" ht="15" customHeight="1" x14ac:dyDescent="0.25">
      <c r="A990" s="148">
        <v>10938</v>
      </c>
      <c r="B990" s="148" t="s">
        <v>1943</v>
      </c>
      <c r="C990" s="143" t="s">
        <v>2504</v>
      </c>
      <c r="D990" s="143" t="s">
        <v>2504</v>
      </c>
      <c r="E990" s="143" t="s">
        <v>2504</v>
      </c>
      <c r="F990" s="143" t="s">
        <v>2504</v>
      </c>
      <c r="G990" s="143" t="s">
        <v>2504</v>
      </c>
      <c r="H990" s="143" t="s">
        <v>2504</v>
      </c>
      <c r="I990" s="143" t="s">
        <v>2504</v>
      </c>
      <c r="J990" s="143" t="s">
        <v>2504</v>
      </c>
      <c r="K990" s="143" t="s">
        <v>2504</v>
      </c>
      <c r="L990" s="143" t="s">
        <v>2504</v>
      </c>
      <c r="M990" s="143" t="s">
        <v>2504</v>
      </c>
      <c r="N990" s="143" t="s">
        <v>2504</v>
      </c>
      <c r="O990" s="143" t="s">
        <v>2504</v>
      </c>
      <c r="P990" s="143" t="s">
        <v>1943</v>
      </c>
      <c r="Q990" s="148" t="s">
        <v>1944</v>
      </c>
      <c r="R990" s="148" t="s">
        <v>705</v>
      </c>
      <c r="S990" s="148" t="s">
        <v>1945</v>
      </c>
      <c r="T990" s="149">
        <v>16</v>
      </c>
      <c r="U990" s="148" t="s">
        <v>591</v>
      </c>
      <c r="V990" s="150">
        <v>1636.52</v>
      </c>
      <c r="W990" s="151">
        <v>84446.87</v>
      </c>
    </row>
    <row r="991" spans="1:23" ht="15" customHeight="1" x14ac:dyDescent="0.25">
      <c r="A991" s="148">
        <v>10939</v>
      </c>
      <c r="B991" s="148" t="s">
        <v>1946</v>
      </c>
      <c r="C991" s="143" t="s">
        <v>2504</v>
      </c>
      <c r="D991" s="143" t="s">
        <v>2504</v>
      </c>
      <c r="E991" s="143" t="s">
        <v>2504</v>
      </c>
      <c r="F991" s="143" t="s">
        <v>2504</v>
      </c>
      <c r="G991" s="143" t="s">
        <v>2504</v>
      </c>
      <c r="H991" s="143" t="s">
        <v>2504</v>
      </c>
      <c r="I991" s="143" t="s">
        <v>2504</v>
      </c>
      <c r="J991" s="143" t="s">
        <v>2504</v>
      </c>
      <c r="K991" s="143" t="s">
        <v>2504</v>
      </c>
      <c r="L991" s="143" t="s">
        <v>2504</v>
      </c>
      <c r="M991" s="143" t="s">
        <v>2504</v>
      </c>
      <c r="N991" s="143" t="s">
        <v>2504</v>
      </c>
      <c r="O991" s="143" t="s">
        <v>2504</v>
      </c>
      <c r="P991" s="143" t="s">
        <v>1946</v>
      </c>
      <c r="Q991" s="148" t="s">
        <v>1947</v>
      </c>
      <c r="R991" s="148" t="s">
        <v>705</v>
      </c>
      <c r="S991" s="148" t="s">
        <v>1945</v>
      </c>
      <c r="T991" s="149">
        <v>16</v>
      </c>
      <c r="U991" s="148" t="s">
        <v>591</v>
      </c>
      <c r="V991" s="150">
        <v>1651.81</v>
      </c>
      <c r="W991" s="151">
        <v>92977.74</v>
      </c>
    </row>
    <row r="992" spans="1:23" ht="15" customHeight="1" x14ac:dyDescent="0.25">
      <c r="A992" s="148">
        <v>11139</v>
      </c>
      <c r="B992" s="148" t="s">
        <v>2016</v>
      </c>
      <c r="C992" s="143" t="s">
        <v>2504</v>
      </c>
      <c r="D992" s="143" t="s">
        <v>2504</v>
      </c>
      <c r="E992" s="143" t="s">
        <v>2504</v>
      </c>
      <c r="F992" s="143" t="s">
        <v>2504</v>
      </c>
      <c r="G992" s="143" t="s">
        <v>2504</v>
      </c>
      <c r="H992" s="143" t="s">
        <v>2504</v>
      </c>
      <c r="I992" s="143" t="s">
        <v>2504</v>
      </c>
      <c r="J992" s="143" t="s">
        <v>2504</v>
      </c>
      <c r="K992" s="143" t="s">
        <v>2504</v>
      </c>
      <c r="L992" s="143" t="s">
        <v>2504</v>
      </c>
      <c r="M992" s="143" t="s">
        <v>2504</v>
      </c>
      <c r="N992" s="143" t="s">
        <v>2504</v>
      </c>
      <c r="O992" s="143" t="s">
        <v>2504</v>
      </c>
      <c r="P992" s="143" t="s">
        <v>2016</v>
      </c>
      <c r="Q992" s="148" t="s">
        <v>2017</v>
      </c>
      <c r="R992" s="148" t="s">
        <v>705</v>
      </c>
      <c r="S992" s="148" t="s">
        <v>1945</v>
      </c>
      <c r="T992" s="149">
        <v>170</v>
      </c>
      <c r="U992" s="148" t="s">
        <v>591</v>
      </c>
      <c r="V992" s="150">
        <v>17328.23</v>
      </c>
      <c r="W992" s="151">
        <v>202027.31</v>
      </c>
    </row>
    <row r="993" spans="1:23" ht="15" customHeight="1" x14ac:dyDescent="0.25">
      <c r="A993" s="148">
        <v>10927</v>
      </c>
      <c r="B993" s="148" t="s">
        <v>1914</v>
      </c>
      <c r="C993" s="143" t="s">
        <v>2504</v>
      </c>
      <c r="D993" s="143" t="s">
        <v>2504</v>
      </c>
      <c r="E993" s="143" t="s">
        <v>2504</v>
      </c>
      <c r="F993" s="143" t="s">
        <v>2504</v>
      </c>
      <c r="G993" s="143" t="s">
        <v>2504</v>
      </c>
      <c r="H993" s="143" t="s">
        <v>2504</v>
      </c>
      <c r="I993" s="143" t="s">
        <v>2504</v>
      </c>
      <c r="J993" s="143" t="s">
        <v>2504</v>
      </c>
      <c r="K993" s="143" t="s">
        <v>2504</v>
      </c>
      <c r="L993" s="143" t="s">
        <v>2504</v>
      </c>
      <c r="M993" s="143" t="s">
        <v>2504</v>
      </c>
      <c r="N993" s="143" t="s">
        <v>2504</v>
      </c>
      <c r="O993" s="143" t="s">
        <v>2504</v>
      </c>
      <c r="P993" s="143" t="s">
        <v>1914</v>
      </c>
      <c r="Q993" s="148" t="s">
        <v>1915</v>
      </c>
      <c r="R993" s="148" t="s">
        <v>705</v>
      </c>
      <c r="S993" s="148" t="s">
        <v>1911</v>
      </c>
      <c r="T993" s="149">
        <v>16</v>
      </c>
      <c r="U993" s="148" t="s">
        <v>591</v>
      </c>
      <c r="V993" s="150">
        <v>2292.23</v>
      </c>
      <c r="W993" s="151">
        <v>155273.43</v>
      </c>
    </row>
    <row r="994" spans="1:23" ht="15" customHeight="1" x14ac:dyDescent="0.25">
      <c r="A994" s="148">
        <v>11126</v>
      </c>
      <c r="B994" s="148" t="s">
        <v>1998</v>
      </c>
      <c r="C994" s="143" t="s">
        <v>2504</v>
      </c>
      <c r="D994" s="143" t="s">
        <v>2504</v>
      </c>
      <c r="E994" s="143" t="s">
        <v>2504</v>
      </c>
      <c r="F994" s="143" t="s">
        <v>2504</v>
      </c>
      <c r="G994" s="143" t="s">
        <v>2504</v>
      </c>
      <c r="H994" s="143" t="s">
        <v>2504</v>
      </c>
      <c r="I994" s="143" t="s">
        <v>2504</v>
      </c>
      <c r="J994" s="143" t="s">
        <v>2504</v>
      </c>
      <c r="K994" s="143" t="s">
        <v>2504</v>
      </c>
      <c r="L994" s="143" t="s">
        <v>2504</v>
      </c>
      <c r="M994" s="143" t="s">
        <v>2504</v>
      </c>
      <c r="N994" s="143" t="s">
        <v>2504</v>
      </c>
      <c r="O994" s="143" t="s">
        <v>2504</v>
      </c>
      <c r="P994" s="143" t="s">
        <v>1998</v>
      </c>
      <c r="Q994" s="148" t="s">
        <v>1999</v>
      </c>
      <c r="R994" s="148" t="s">
        <v>705</v>
      </c>
      <c r="S994" s="148" t="s">
        <v>1911</v>
      </c>
      <c r="T994" s="149">
        <v>170</v>
      </c>
      <c r="U994" s="148" t="s">
        <v>591</v>
      </c>
      <c r="V994" s="150">
        <v>22012.2</v>
      </c>
      <c r="W994" s="151">
        <v>99269.15</v>
      </c>
    </row>
    <row r="995" spans="1:23" ht="15" customHeight="1" x14ac:dyDescent="0.25">
      <c r="A995" s="148">
        <v>10928</v>
      </c>
      <c r="B995" s="148" t="s">
        <v>1916</v>
      </c>
      <c r="C995" s="143" t="s">
        <v>2504</v>
      </c>
      <c r="D995" s="143" t="s">
        <v>2504</v>
      </c>
      <c r="E995" s="143" t="s">
        <v>2504</v>
      </c>
      <c r="F995" s="143" t="s">
        <v>2504</v>
      </c>
      <c r="G995" s="143" t="s">
        <v>2504</v>
      </c>
      <c r="H995" s="143" t="s">
        <v>2504</v>
      </c>
      <c r="I995" s="143" t="s">
        <v>2504</v>
      </c>
      <c r="J995" s="143" t="s">
        <v>2504</v>
      </c>
      <c r="K995" s="143" t="s">
        <v>2504</v>
      </c>
      <c r="L995" s="143" t="s">
        <v>2504</v>
      </c>
      <c r="M995" s="143" t="s">
        <v>2504</v>
      </c>
      <c r="N995" s="143" t="s">
        <v>2504</v>
      </c>
      <c r="O995" s="143" t="s">
        <v>2504</v>
      </c>
      <c r="P995" s="143" t="s">
        <v>1916</v>
      </c>
      <c r="Q995" s="148" t="s">
        <v>1917</v>
      </c>
      <c r="R995" s="148" t="s">
        <v>705</v>
      </c>
      <c r="S995" s="148" t="s">
        <v>1918</v>
      </c>
      <c r="T995" s="149">
        <v>16</v>
      </c>
      <c r="U995" s="148" t="s">
        <v>591</v>
      </c>
      <c r="V995" s="150">
        <v>2263.79</v>
      </c>
      <c r="W995" s="151">
        <v>113930.69</v>
      </c>
    </row>
    <row r="996" spans="1:23" ht="15" customHeight="1" x14ac:dyDescent="0.25">
      <c r="A996" s="148">
        <v>10929</v>
      </c>
      <c r="B996" s="148" t="s">
        <v>1919</v>
      </c>
      <c r="C996" s="143" t="s">
        <v>2504</v>
      </c>
      <c r="D996" s="143" t="s">
        <v>2504</v>
      </c>
      <c r="E996" s="143" t="s">
        <v>2504</v>
      </c>
      <c r="F996" s="143" t="s">
        <v>2504</v>
      </c>
      <c r="G996" s="143" t="s">
        <v>2504</v>
      </c>
      <c r="H996" s="143" t="s">
        <v>2504</v>
      </c>
      <c r="I996" s="143" t="s">
        <v>2504</v>
      </c>
      <c r="J996" s="143" t="s">
        <v>2504</v>
      </c>
      <c r="K996" s="143" t="s">
        <v>2504</v>
      </c>
      <c r="L996" s="143" t="s">
        <v>2504</v>
      </c>
      <c r="M996" s="143" t="s">
        <v>2504</v>
      </c>
      <c r="N996" s="143" t="s">
        <v>2504</v>
      </c>
      <c r="O996" s="143" t="s">
        <v>2504</v>
      </c>
      <c r="P996" s="143" t="s">
        <v>1919</v>
      </c>
      <c r="Q996" s="148" t="s">
        <v>1920</v>
      </c>
      <c r="R996" s="148" t="s">
        <v>705</v>
      </c>
      <c r="S996" s="148" t="s">
        <v>1918</v>
      </c>
      <c r="T996" s="149">
        <v>16</v>
      </c>
      <c r="U996" s="148" t="s">
        <v>591</v>
      </c>
      <c r="V996" s="150">
        <v>2413.6</v>
      </c>
      <c r="W996" s="151">
        <v>105580.69</v>
      </c>
    </row>
    <row r="997" spans="1:23" ht="15" customHeight="1" x14ac:dyDescent="0.25">
      <c r="A997" s="148">
        <v>10930</v>
      </c>
      <c r="B997" s="148" t="s">
        <v>1921</v>
      </c>
      <c r="C997" s="143" t="s">
        <v>2504</v>
      </c>
      <c r="D997" s="143" t="s">
        <v>2504</v>
      </c>
      <c r="E997" s="143" t="s">
        <v>2504</v>
      </c>
      <c r="F997" s="143" t="s">
        <v>2504</v>
      </c>
      <c r="G997" s="143" t="s">
        <v>2504</v>
      </c>
      <c r="H997" s="143" t="s">
        <v>2504</v>
      </c>
      <c r="I997" s="143" t="s">
        <v>2504</v>
      </c>
      <c r="J997" s="143" t="s">
        <v>2504</v>
      </c>
      <c r="K997" s="143" t="s">
        <v>2504</v>
      </c>
      <c r="L997" s="143" t="s">
        <v>2504</v>
      </c>
      <c r="M997" s="143" t="s">
        <v>2504</v>
      </c>
      <c r="N997" s="143" t="s">
        <v>2504</v>
      </c>
      <c r="O997" s="143" t="s">
        <v>2504</v>
      </c>
      <c r="P997" s="143" t="s">
        <v>1921</v>
      </c>
      <c r="Q997" s="148" t="s">
        <v>1922</v>
      </c>
      <c r="R997" s="148" t="s">
        <v>705</v>
      </c>
      <c r="S997" s="148" t="s">
        <v>1918</v>
      </c>
      <c r="T997" s="149">
        <v>16</v>
      </c>
      <c r="U997" s="148" t="s">
        <v>591</v>
      </c>
      <c r="V997" s="150">
        <v>2543.83</v>
      </c>
      <c r="W997" s="151">
        <v>109071.37</v>
      </c>
    </row>
    <row r="998" spans="1:23" ht="15" customHeight="1" x14ac:dyDescent="0.25">
      <c r="A998" s="148">
        <v>11128</v>
      </c>
      <c r="B998" s="148" t="s">
        <v>2000</v>
      </c>
      <c r="C998" s="143" t="s">
        <v>2504</v>
      </c>
      <c r="D998" s="143" t="s">
        <v>2504</v>
      </c>
      <c r="E998" s="143" t="s">
        <v>2504</v>
      </c>
      <c r="F998" s="143" t="s">
        <v>2504</v>
      </c>
      <c r="G998" s="143" t="s">
        <v>2504</v>
      </c>
      <c r="H998" s="143" t="s">
        <v>2504</v>
      </c>
      <c r="I998" s="143" t="s">
        <v>2504</v>
      </c>
      <c r="J998" s="143" t="s">
        <v>2504</v>
      </c>
      <c r="K998" s="143" t="s">
        <v>2504</v>
      </c>
      <c r="L998" s="143" t="s">
        <v>2504</v>
      </c>
      <c r="M998" s="143" t="s">
        <v>2504</v>
      </c>
      <c r="N998" s="143" t="s">
        <v>2504</v>
      </c>
      <c r="O998" s="143" t="s">
        <v>2504</v>
      </c>
      <c r="P998" s="143" t="s">
        <v>2000</v>
      </c>
      <c r="Q998" s="148" t="s">
        <v>2001</v>
      </c>
      <c r="R998" s="148" t="s">
        <v>705</v>
      </c>
      <c r="S998" s="148" t="s">
        <v>1918</v>
      </c>
      <c r="T998" s="149">
        <v>170</v>
      </c>
      <c r="U998" s="148" t="s">
        <v>591</v>
      </c>
      <c r="V998" s="150">
        <v>23830.6</v>
      </c>
      <c r="W998" s="151">
        <v>175519.38</v>
      </c>
    </row>
    <row r="999" spans="1:23" ht="15" customHeight="1" x14ac:dyDescent="0.25">
      <c r="A999" s="148">
        <v>11129</v>
      </c>
      <c r="B999" s="148" t="s">
        <v>2002</v>
      </c>
      <c r="C999" s="143" t="s">
        <v>2504</v>
      </c>
      <c r="D999" s="143" t="s">
        <v>2504</v>
      </c>
      <c r="E999" s="143" t="s">
        <v>2504</v>
      </c>
      <c r="F999" s="143" t="s">
        <v>2504</v>
      </c>
      <c r="G999" s="143" t="s">
        <v>2504</v>
      </c>
      <c r="H999" s="143" t="s">
        <v>2504</v>
      </c>
      <c r="I999" s="143" t="s">
        <v>2504</v>
      </c>
      <c r="J999" s="143" t="s">
        <v>2504</v>
      </c>
      <c r="K999" s="143" t="s">
        <v>2504</v>
      </c>
      <c r="L999" s="143" t="s">
        <v>2504</v>
      </c>
      <c r="M999" s="143" t="s">
        <v>2504</v>
      </c>
      <c r="N999" s="143" t="s">
        <v>2504</v>
      </c>
      <c r="O999" s="143" t="s">
        <v>2504</v>
      </c>
      <c r="P999" s="143" t="s">
        <v>2002</v>
      </c>
      <c r="Q999" s="148" t="s">
        <v>2003</v>
      </c>
      <c r="R999" s="148" t="s">
        <v>705</v>
      </c>
      <c r="S999" s="148" t="s">
        <v>1918</v>
      </c>
      <c r="T999" s="149">
        <v>170</v>
      </c>
      <c r="U999" s="148" t="s">
        <v>591</v>
      </c>
      <c r="V999" s="150">
        <v>25422.21</v>
      </c>
      <c r="W999" s="151">
        <v>28863.08</v>
      </c>
    </row>
    <row r="1000" spans="1:23" ht="15" customHeight="1" x14ac:dyDescent="0.25">
      <c r="A1000" s="148">
        <v>11130</v>
      </c>
      <c r="B1000" s="148" t="s">
        <v>2004</v>
      </c>
      <c r="C1000" s="143" t="s">
        <v>2504</v>
      </c>
      <c r="D1000" s="143" t="s">
        <v>2504</v>
      </c>
      <c r="E1000" s="143" t="s">
        <v>2504</v>
      </c>
      <c r="F1000" s="143" t="s">
        <v>2504</v>
      </c>
      <c r="G1000" s="143" t="s">
        <v>2504</v>
      </c>
      <c r="H1000" s="143" t="s">
        <v>2504</v>
      </c>
      <c r="I1000" s="143" t="s">
        <v>2504</v>
      </c>
      <c r="J1000" s="143" t="s">
        <v>2504</v>
      </c>
      <c r="K1000" s="143" t="s">
        <v>2504</v>
      </c>
      <c r="L1000" s="143" t="s">
        <v>2504</v>
      </c>
      <c r="M1000" s="143" t="s">
        <v>2504</v>
      </c>
      <c r="N1000" s="143" t="s">
        <v>2504</v>
      </c>
      <c r="O1000" s="143" t="s">
        <v>2504</v>
      </c>
      <c r="P1000" s="143" t="s">
        <v>2004</v>
      </c>
      <c r="Q1000" s="148" t="s">
        <v>2005</v>
      </c>
      <c r="R1000" s="148" t="s">
        <v>705</v>
      </c>
      <c r="S1000" s="148" t="s">
        <v>1918</v>
      </c>
      <c r="T1000" s="149">
        <v>170</v>
      </c>
      <c r="U1000" s="148" t="s">
        <v>591</v>
      </c>
      <c r="V1000" s="150">
        <v>26806.080000000002</v>
      </c>
      <c r="W1000" s="151">
        <v>38764.86</v>
      </c>
    </row>
    <row r="1001" spans="1:23" ht="15" customHeight="1" x14ac:dyDescent="0.25">
      <c r="A1001" s="148">
        <v>11131</v>
      </c>
      <c r="B1001" s="148" t="s">
        <v>2006</v>
      </c>
      <c r="C1001" s="143" t="s">
        <v>2504</v>
      </c>
      <c r="D1001" s="143" t="s">
        <v>2504</v>
      </c>
      <c r="E1001" s="143" t="s">
        <v>2504</v>
      </c>
      <c r="F1001" s="143" t="s">
        <v>2504</v>
      </c>
      <c r="G1001" s="143" t="s">
        <v>2504</v>
      </c>
      <c r="H1001" s="143" t="s">
        <v>2504</v>
      </c>
      <c r="I1001" s="143" t="s">
        <v>2504</v>
      </c>
      <c r="J1001" s="143" t="s">
        <v>2504</v>
      </c>
      <c r="K1001" s="143" t="s">
        <v>2504</v>
      </c>
      <c r="L1001" s="143" t="s">
        <v>2504</v>
      </c>
      <c r="M1001" s="143" t="s">
        <v>2504</v>
      </c>
      <c r="N1001" s="143" t="s">
        <v>2504</v>
      </c>
      <c r="O1001" s="143" t="s">
        <v>2504</v>
      </c>
      <c r="P1001" s="143" t="s">
        <v>2006</v>
      </c>
      <c r="Q1001" s="148" t="s">
        <v>2007</v>
      </c>
      <c r="R1001" s="148" t="s">
        <v>705</v>
      </c>
      <c r="S1001" s="148" t="s">
        <v>1918</v>
      </c>
      <c r="T1001" s="149">
        <v>170</v>
      </c>
      <c r="U1001" s="148" t="s">
        <v>591</v>
      </c>
      <c r="V1001" s="150">
        <v>26028.400000000001</v>
      </c>
      <c r="W1001" s="151">
        <f>V1001*16</f>
        <v>416454.40000000002</v>
      </c>
    </row>
    <row r="1002" spans="1:23" ht="15" customHeight="1" x14ac:dyDescent="0.25">
      <c r="A1002" s="148">
        <v>10931</v>
      </c>
      <c r="B1002" s="148" t="s">
        <v>1923</v>
      </c>
      <c r="C1002" s="143" t="s">
        <v>2504</v>
      </c>
      <c r="D1002" s="143" t="s">
        <v>2504</v>
      </c>
      <c r="E1002" s="143" t="s">
        <v>2504</v>
      </c>
      <c r="F1002" s="143" t="s">
        <v>2504</v>
      </c>
      <c r="G1002" s="143" t="s">
        <v>2504</v>
      </c>
      <c r="H1002" s="143" t="s">
        <v>2504</v>
      </c>
      <c r="I1002" s="143" t="s">
        <v>2504</v>
      </c>
      <c r="J1002" s="143" t="s">
        <v>2504</v>
      </c>
      <c r="K1002" s="143" t="s">
        <v>2504</v>
      </c>
      <c r="L1002" s="143" t="s">
        <v>2504</v>
      </c>
      <c r="M1002" s="143" t="s">
        <v>2504</v>
      </c>
      <c r="N1002" s="143" t="s">
        <v>2504</v>
      </c>
      <c r="O1002" s="143" t="s">
        <v>2504</v>
      </c>
      <c r="P1002" s="143" t="s">
        <v>1923</v>
      </c>
      <c r="Q1002" s="148" t="s">
        <v>1924</v>
      </c>
      <c r="R1002" s="148" t="s">
        <v>705</v>
      </c>
      <c r="S1002" s="148" t="s">
        <v>1925</v>
      </c>
      <c r="T1002" s="149">
        <v>16</v>
      </c>
      <c r="U1002" s="148" t="s">
        <v>591</v>
      </c>
      <c r="V1002" s="150">
        <v>2470.65</v>
      </c>
      <c r="W1002" s="151">
        <f>V1002*4</f>
        <v>9882.6</v>
      </c>
    </row>
    <row r="1003" spans="1:23" ht="15" customHeight="1" x14ac:dyDescent="0.25">
      <c r="A1003" s="148">
        <v>10932</v>
      </c>
      <c r="B1003" s="148" t="s">
        <v>1926</v>
      </c>
      <c r="C1003" s="143" t="s">
        <v>2504</v>
      </c>
      <c r="D1003" s="143" t="s">
        <v>2504</v>
      </c>
      <c r="E1003" s="143" t="s">
        <v>2504</v>
      </c>
      <c r="F1003" s="143" t="s">
        <v>2504</v>
      </c>
      <c r="G1003" s="143" t="s">
        <v>2504</v>
      </c>
      <c r="H1003" s="143" t="s">
        <v>2504</v>
      </c>
      <c r="I1003" s="143" t="s">
        <v>2504</v>
      </c>
      <c r="J1003" s="143" t="s">
        <v>2504</v>
      </c>
      <c r="K1003" s="143" t="s">
        <v>2504</v>
      </c>
      <c r="L1003" s="143" t="s">
        <v>2504</v>
      </c>
      <c r="M1003" s="143" t="s">
        <v>2504</v>
      </c>
      <c r="N1003" s="143" t="s">
        <v>2504</v>
      </c>
      <c r="O1003" s="143" t="s">
        <v>2504</v>
      </c>
      <c r="P1003" s="143" t="s">
        <v>1926</v>
      </c>
      <c r="Q1003" s="148" t="s">
        <v>1927</v>
      </c>
      <c r="R1003" s="148" t="s">
        <v>705</v>
      </c>
      <c r="S1003" s="148" t="s">
        <v>1928</v>
      </c>
      <c r="T1003" s="149">
        <v>16</v>
      </c>
      <c r="U1003" s="148" t="s">
        <v>591</v>
      </c>
      <c r="V1003" s="150">
        <v>3543.09</v>
      </c>
      <c r="W1003" s="151">
        <f>V1003*16</f>
        <v>56689.440000000002</v>
      </c>
    </row>
    <row r="1004" spans="1:23" ht="15" customHeight="1" x14ac:dyDescent="0.25">
      <c r="A1004" s="148">
        <v>11132</v>
      </c>
      <c r="B1004" s="148" t="s">
        <v>2008</v>
      </c>
      <c r="C1004" s="143" t="s">
        <v>2504</v>
      </c>
      <c r="D1004" s="143" t="s">
        <v>2504</v>
      </c>
      <c r="E1004" s="143" t="s">
        <v>2504</v>
      </c>
      <c r="F1004" s="143" t="s">
        <v>2504</v>
      </c>
      <c r="G1004" s="143" t="s">
        <v>2504</v>
      </c>
      <c r="H1004" s="143" t="s">
        <v>2504</v>
      </c>
      <c r="I1004" s="143" t="s">
        <v>2504</v>
      </c>
      <c r="J1004" s="143" t="s">
        <v>2504</v>
      </c>
      <c r="K1004" s="143" t="s">
        <v>2504</v>
      </c>
      <c r="L1004" s="143" t="s">
        <v>2504</v>
      </c>
      <c r="M1004" s="143" t="s">
        <v>2504</v>
      </c>
      <c r="N1004" s="143" t="s">
        <v>2504</v>
      </c>
      <c r="O1004" s="143" t="s">
        <v>2504</v>
      </c>
      <c r="P1004" s="143" t="s">
        <v>2008</v>
      </c>
      <c r="Q1004" s="148" t="s">
        <v>2009</v>
      </c>
      <c r="R1004" s="148" t="s">
        <v>705</v>
      </c>
      <c r="S1004" s="148" t="s">
        <v>1928</v>
      </c>
      <c r="T1004" s="149">
        <v>170</v>
      </c>
      <c r="U1004" s="148" t="s">
        <v>591</v>
      </c>
      <c r="V1004" s="150">
        <v>37423.160000000003</v>
      </c>
      <c r="W1004" s="151">
        <f>V1004*1000</f>
        <v>37423160</v>
      </c>
    </row>
    <row r="1005" spans="1:23" ht="15" customHeight="1" x14ac:dyDescent="0.25">
      <c r="A1005" s="148">
        <v>10933</v>
      </c>
      <c r="B1005" s="148" t="s">
        <v>1929</v>
      </c>
      <c r="C1005" s="143" t="s">
        <v>2504</v>
      </c>
      <c r="D1005" s="143" t="s">
        <v>2504</v>
      </c>
      <c r="E1005" s="143" t="s">
        <v>2504</v>
      </c>
      <c r="F1005" s="143" t="s">
        <v>2504</v>
      </c>
      <c r="G1005" s="143" t="s">
        <v>2504</v>
      </c>
      <c r="H1005" s="143" t="s">
        <v>2504</v>
      </c>
      <c r="I1005" s="143" t="s">
        <v>2504</v>
      </c>
      <c r="J1005" s="143" t="s">
        <v>2504</v>
      </c>
      <c r="K1005" s="143" t="s">
        <v>2504</v>
      </c>
      <c r="L1005" s="143" t="s">
        <v>2504</v>
      </c>
      <c r="M1005" s="143" t="s">
        <v>2504</v>
      </c>
      <c r="N1005" s="143" t="s">
        <v>2504</v>
      </c>
      <c r="O1005" s="143" t="s">
        <v>2504</v>
      </c>
      <c r="P1005" s="143" t="s">
        <v>1929</v>
      </c>
      <c r="Q1005" s="148" t="s">
        <v>1930</v>
      </c>
      <c r="R1005" s="148" t="s">
        <v>705</v>
      </c>
      <c r="S1005" s="148" t="s">
        <v>1931</v>
      </c>
      <c r="T1005" s="149">
        <v>16</v>
      </c>
      <c r="U1005" s="148" t="s">
        <v>591</v>
      </c>
      <c r="V1005" s="150">
        <v>3952.11</v>
      </c>
      <c r="W1005" s="151">
        <f>V1005*1000</f>
        <v>3952110</v>
      </c>
    </row>
    <row r="1006" spans="1:23" ht="15" customHeight="1" x14ac:dyDescent="0.25">
      <c r="A1006" s="148">
        <v>11133</v>
      </c>
      <c r="B1006" s="148" t="s">
        <v>2010</v>
      </c>
      <c r="C1006" s="143" t="s">
        <v>2504</v>
      </c>
      <c r="D1006" s="143" t="s">
        <v>2504</v>
      </c>
      <c r="E1006" s="143" t="s">
        <v>2504</v>
      </c>
      <c r="F1006" s="143" t="s">
        <v>2504</v>
      </c>
      <c r="G1006" s="143" t="s">
        <v>2504</v>
      </c>
      <c r="H1006" s="143" t="s">
        <v>2504</v>
      </c>
      <c r="I1006" s="143" t="s">
        <v>2504</v>
      </c>
      <c r="J1006" s="143" t="s">
        <v>2504</v>
      </c>
      <c r="K1006" s="143" t="s">
        <v>2504</v>
      </c>
      <c r="L1006" s="143" t="s">
        <v>2504</v>
      </c>
      <c r="M1006" s="143" t="s">
        <v>2504</v>
      </c>
      <c r="N1006" s="143" t="s">
        <v>2504</v>
      </c>
      <c r="O1006" s="143" t="s">
        <v>2504</v>
      </c>
      <c r="P1006" s="143" t="s">
        <v>2010</v>
      </c>
      <c r="Q1006" s="148" t="s">
        <v>2011</v>
      </c>
      <c r="R1006" s="148" t="s">
        <v>705</v>
      </c>
      <c r="S1006" s="148" t="s">
        <v>1931</v>
      </c>
      <c r="T1006" s="149">
        <v>170</v>
      </c>
      <c r="U1006" s="148" t="s">
        <v>591</v>
      </c>
      <c r="V1006" s="150">
        <v>41769.019999999997</v>
      </c>
      <c r="W1006" s="151">
        <v>3880.43</v>
      </c>
    </row>
    <row r="1007" spans="1:23" ht="15" customHeight="1" x14ac:dyDescent="0.25">
      <c r="A1007" s="148">
        <v>10934</v>
      </c>
      <c r="B1007" s="148" t="s">
        <v>1932</v>
      </c>
      <c r="C1007" s="143" t="s">
        <v>2504</v>
      </c>
      <c r="D1007" s="143" t="s">
        <v>2504</v>
      </c>
      <c r="E1007" s="143" t="s">
        <v>2504</v>
      </c>
      <c r="F1007" s="143" t="s">
        <v>2504</v>
      </c>
      <c r="G1007" s="143" t="s">
        <v>2504</v>
      </c>
      <c r="H1007" s="143" t="s">
        <v>2504</v>
      </c>
      <c r="I1007" s="143" t="s">
        <v>2504</v>
      </c>
      <c r="J1007" s="143" t="s">
        <v>2504</v>
      </c>
      <c r="K1007" s="143" t="s">
        <v>2504</v>
      </c>
      <c r="L1007" s="143" t="s">
        <v>2504</v>
      </c>
      <c r="M1007" s="143" t="s">
        <v>2504</v>
      </c>
      <c r="N1007" s="143" t="s">
        <v>2504</v>
      </c>
      <c r="O1007" s="143" t="s">
        <v>2504</v>
      </c>
      <c r="P1007" s="143" t="s">
        <v>1932</v>
      </c>
      <c r="Q1007" s="148" t="s">
        <v>1933</v>
      </c>
      <c r="R1007" s="148" t="s">
        <v>705</v>
      </c>
      <c r="S1007" s="148" t="s">
        <v>1934</v>
      </c>
      <c r="T1007" s="149">
        <v>16</v>
      </c>
      <c r="U1007" s="148" t="s">
        <v>591</v>
      </c>
      <c r="V1007" s="150">
        <v>5307.92</v>
      </c>
      <c r="W1007" s="151">
        <v>32490.44</v>
      </c>
    </row>
    <row r="1008" spans="1:23" ht="15" customHeight="1" x14ac:dyDescent="0.25">
      <c r="A1008" s="148">
        <v>11134</v>
      </c>
      <c r="B1008" s="148" t="s">
        <v>2012</v>
      </c>
      <c r="C1008" s="143" t="s">
        <v>2504</v>
      </c>
      <c r="D1008" s="143" t="s">
        <v>2504</v>
      </c>
      <c r="E1008" s="143" t="s">
        <v>2504</v>
      </c>
      <c r="F1008" s="143" t="s">
        <v>2504</v>
      </c>
      <c r="G1008" s="143" t="s">
        <v>2504</v>
      </c>
      <c r="H1008" s="143" t="s">
        <v>2504</v>
      </c>
      <c r="I1008" s="143" t="s">
        <v>2504</v>
      </c>
      <c r="J1008" s="143" t="s">
        <v>2504</v>
      </c>
      <c r="K1008" s="143" t="s">
        <v>2504</v>
      </c>
      <c r="L1008" s="143" t="s">
        <v>2504</v>
      </c>
      <c r="M1008" s="143" t="s">
        <v>2504</v>
      </c>
      <c r="N1008" s="143" t="s">
        <v>2504</v>
      </c>
      <c r="O1008" s="143" t="s">
        <v>2504</v>
      </c>
      <c r="P1008" s="143" t="s">
        <v>2012</v>
      </c>
      <c r="Q1008" s="148" t="s">
        <v>2013</v>
      </c>
      <c r="R1008" s="148" t="s">
        <v>705</v>
      </c>
      <c r="S1008" s="148" t="s">
        <v>1934</v>
      </c>
      <c r="T1008" s="149">
        <v>170</v>
      </c>
      <c r="U1008" s="148" t="s">
        <v>591</v>
      </c>
      <c r="V1008" s="150">
        <v>56174.42</v>
      </c>
      <c r="W1008" s="151">
        <f>V1008*4</f>
        <v>224697.68</v>
      </c>
    </row>
    <row r="1009" spans="1:23" ht="15" customHeight="1" x14ac:dyDescent="0.25">
      <c r="A1009" s="148">
        <v>10944</v>
      </c>
      <c r="B1009" s="148" t="s">
        <v>1957</v>
      </c>
      <c r="C1009" s="143" t="s">
        <v>2504</v>
      </c>
      <c r="D1009" s="143" t="s">
        <v>2504</v>
      </c>
      <c r="E1009" s="143" t="s">
        <v>2504</v>
      </c>
      <c r="F1009" s="143" t="s">
        <v>2504</v>
      </c>
      <c r="G1009" s="143" t="s">
        <v>2504</v>
      </c>
      <c r="H1009" s="143" t="s">
        <v>2504</v>
      </c>
      <c r="I1009" s="143" t="s">
        <v>2504</v>
      </c>
      <c r="J1009" s="143" t="s">
        <v>2504</v>
      </c>
      <c r="K1009" s="143" t="s">
        <v>2504</v>
      </c>
      <c r="L1009" s="143" t="s">
        <v>2504</v>
      </c>
      <c r="M1009" s="143" t="s">
        <v>2504</v>
      </c>
      <c r="N1009" s="143" t="s">
        <v>2504</v>
      </c>
      <c r="O1009" s="143" t="s">
        <v>2504</v>
      </c>
      <c r="P1009" s="143" t="s">
        <v>1957</v>
      </c>
      <c r="Q1009" s="148" t="s">
        <v>1958</v>
      </c>
      <c r="R1009" s="148" t="s">
        <v>705</v>
      </c>
      <c r="S1009" s="148" t="s">
        <v>1959</v>
      </c>
      <c r="T1009" s="149">
        <v>16</v>
      </c>
      <c r="U1009" s="148" t="s">
        <v>591</v>
      </c>
      <c r="V1009" s="150">
        <v>3684.56</v>
      </c>
      <c r="W1009" s="151">
        <f>V1009*1000</f>
        <v>3684560</v>
      </c>
    </row>
    <row r="1010" spans="1:23" ht="15" customHeight="1" x14ac:dyDescent="0.25">
      <c r="A1010" s="148">
        <v>10937</v>
      </c>
      <c r="B1010" s="148" t="s">
        <v>1940</v>
      </c>
      <c r="C1010" s="143" t="s">
        <v>2504</v>
      </c>
      <c r="D1010" s="143" t="s">
        <v>2504</v>
      </c>
      <c r="E1010" s="143" t="s">
        <v>2504</v>
      </c>
      <c r="F1010" s="143" t="s">
        <v>2504</v>
      </c>
      <c r="G1010" s="143" t="s">
        <v>2504</v>
      </c>
      <c r="H1010" s="143" t="s">
        <v>2504</v>
      </c>
      <c r="I1010" s="143" t="s">
        <v>2504</v>
      </c>
      <c r="J1010" s="143" t="s">
        <v>2504</v>
      </c>
      <c r="K1010" s="143" t="s">
        <v>2504</v>
      </c>
      <c r="L1010" s="143" t="s">
        <v>2504</v>
      </c>
      <c r="M1010" s="143" t="s">
        <v>2504</v>
      </c>
      <c r="N1010" s="143" t="s">
        <v>2504</v>
      </c>
      <c r="O1010" s="143" t="s">
        <v>2504</v>
      </c>
      <c r="P1010" s="143" t="s">
        <v>1940</v>
      </c>
      <c r="Q1010" s="148" t="s">
        <v>1941</v>
      </c>
      <c r="R1010" s="148" t="s">
        <v>705</v>
      </c>
      <c r="S1010" s="148" t="s">
        <v>1942</v>
      </c>
      <c r="T1010" s="149">
        <v>16</v>
      </c>
      <c r="U1010" s="148" t="s">
        <v>591</v>
      </c>
      <c r="V1010" s="150">
        <v>5693.91</v>
      </c>
      <c r="W1010" s="151">
        <f>V1010*4</f>
        <v>22775.64</v>
      </c>
    </row>
    <row r="1011" spans="1:23" ht="15" customHeight="1" x14ac:dyDescent="0.25">
      <c r="A1011" s="148">
        <v>10940</v>
      </c>
      <c r="B1011" s="148" t="s">
        <v>1948</v>
      </c>
      <c r="C1011" s="143" t="s">
        <v>2504</v>
      </c>
      <c r="D1011" s="143" t="s">
        <v>2504</v>
      </c>
      <c r="E1011" s="143" t="s">
        <v>2504</v>
      </c>
      <c r="F1011" s="143" t="s">
        <v>2504</v>
      </c>
      <c r="G1011" s="143" t="s">
        <v>2504</v>
      </c>
      <c r="H1011" s="143" t="s">
        <v>2504</v>
      </c>
      <c r="I1011" s="143" t="s">
        <v>2504</v>
      </c>
      <c r="J1011" s="143" t="s">
        <v>2504</v>
      </c>
      <c r="K1011" s="143" t="s">
        <v>2504</v>
      </c>
      <c r="L1011" s="143" t="s">
        <v>2504</v>
      </c>
      <c r="M1011" s="143" t="s">
        <v>2504</v>
      </c>
      <c r="N1011" s="143" t="s">
        <v>2504</v>
      </c>
      <c r="O1011" s="143" t="s">
        <v>2504</v>
      </c>
      <c r="P1011" s="143" t="s">
        <v>1948</v>
      </c>
      <c r="Q1011" s="148" t="s">
        <v>1949</v>
      </c>
      <c r="R1011" s="148" t="s">
        <v>705</v>
      </c>
      <c r="S1011" s="148" t="s">
        <v>1950</v>
      </c>
      <c r="T1011" s="149">
        <v>16</v>
      </c>
      <c r="U1011" s="148" t="s">
        <v>591</v>
      </c>
      <c r="V1011" s="150">
        <v>1928.17</v>
      </c>
      <c r="W1011" s="151">
        <v>23379.9</v>
      </c>
    </row>
    <row r="1012" spans="1:23" ht="15" customHeight="1" x14ac:dyDescent="0.25">
      <c r="A1012" s="148">
        <v>11140</v>
      </c>
      <c r="B1012" s="148" t="s">
        <v>2018</v>
      </c>
      <c r="C1012" s="143" t="s">
        <v>2504</v>
      </c>
      <c r="D1012" s="143" t="s">
        <v>2504</v>
      </c>
      <c r="E1012" s="143" t="s">
        <v>2504</v>
      </c>
      <c r="F1012" s="143" t="s">
        <v>2504</v>
      </c>
      <c r="G1012" s="143" t="s">
        <v>2504</v>
      </c>
      <c r="H1012" s="143" t="s">
        <v>2504</v>
      </c>
      <c r="I1012" s="143" t="s">
        <v>2504</v>
      </c>
      <c r="J1012" s="143" t="s">
        <v>2504</v>
      </c>
      <c r="K1012" s="143" t="s">
        <v>2504</v>
      </c>
      <c r="L1012" s="143" t="s">
        <v>2504</v>
      </c>
      <c r="M1012" s="143" t="s">
        <v>2504</v>
      </c>
      <c r="N1012" s="143" t="s">
        <v>2504</v>
      </c>
      <c r="O1012" s="143" t="s">
        <v>2504</v>
      </c>
      <c r="P1012" s="143" t="s">
        <v>2018</v>
      </c>
      <c r="Q1012" s="148" t="s">
        <v>2019</v>
      </c>
      <c r="R1012" s="148" t="s">
        <v>705</v>
      </c>
      <c r="S1012" s="148" t="s">
        <v>1950</v>
      </c>
      <c r="T1012" s="149">
        <v>170</v>
      </c>
      <c r="U1012" s="148" t="s">
        <v>591</v>
      </c>
      <c r="V1012" s="150">
        <v>20264.59</v>
      </c>
      <c r="W1012" s="151">
        <f>V1012*1000</f>
        <v>20264590</v>
      </c>
    </row>
  </sheetData>
  <autoFilter ref="A1:V1012" xr:uid="{00000000-0009-0000-0000-000001000000}">
    <sortState xmlns:xlrd2="http://schemas.microsoft.com/office/spreadsheetml/2017/richdata2" ref="A2:V1012">
      <sortCondition ref="P1:P1012"/>
    </sortState>
  </autoFilter>
  <conditionalFormatting sqref="A2:B1012">
    <cfRule type="duplicateValues" dxfId="21" priority="2"/>
  </conditionalFormatting>
  <conditionalFormatting sqref="C1 C1013:C1048576">
    <cfRule type="duplicateValues" dxfId="20" priority="4"/>
  </conditionalFormatting>
  <conditionalFormatting sqref="C2:P1012">
    <cfRule type="containsText" dxfId="19" priority="1" operator="containsText" text="NO EXISTE">
      <formula>NOT(ISERROR(SEARCH("NO EXISTE",C2)))</formula>
    </cfRule>
  </conditionalFormatting>
  <conditionalFormatting sqref="D1 D1013:D1048576">
    <cfRule type="duplicateValues" dxfId="18" priority="6"/>
  </conditionalFormatting>
  <conditionalFormatting sqref="E1 E1013:E1048576">
    <cfRule type="duplicateValues" dxfId="17" priority="8"/>
  </conditionalFormatting>
  <conditionalFormatting sqref="F1 F1013:F1048576">
    <cfRule type="duplicateValues" dxfId="16" priority="10"/>
  </conditionalFormatting>
  <conditionalFormatting sqref="G1 G1013:G1048576 I1 K1 M1 O1">
    <cfRule type="duplicateValues" dxfId="15" priority="12"/>
  </conditionalFormatting>
  <pageMargins left="0.70866141732283472" right="0.70866141732283472" top="0.74803149606299213" bottom="0.74803149606299213" header="0.31496062992125984" footer="0.31496062992125984"/>
  <pageSetup scale="70" fitToHeight="15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399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0.85546875" defaultRowHeight="15" x14ac:dyDescent="0.25"/>
  <cols>
    <col min="1" max="1" width="5.85546875" customWidth="1"/>
    <col min="2" max="2" width="13" bestFit="1" customWidth="1"/>
    <col min="3" max="16" width="0.85546875" customWidth="1"/>
    <col min="17" max="17" width="87.140625" bestFit="1" customWidth="1"/>
    <col min="18" max="18" width="34.7109375" customWidth="1"/>
    <col min="19" max="19" width="15.7109375" customWidth="1"/>
    <col min="20" max="20" width="15.7109375" hidden="1" customWidth="1"/>
    <col min="21" max="21" width="15.7109375" customWidth="1"/>
    <col min="22" max="22" width="18.7109375" style="155" bestFit="1" customWidth="1"/>
    <col min="23" max="23" width="20" style="156" bestFit="1" customWidth="1"/>
    <col min="24" max="24" width="11.85546875" bestFit="1" customWidth="1"/>
  </cols>
  <sheetData>
    <row r="1" spans="1:24" ht="30" x14ac:dyDescent="0.25">
      <c r="A1" s="139" t="s">
        <v>579</v>
      </c>
      <c r="B1" s="139" t="s">
        <v>580</v>
      </c>
      <c r="C1" s="139" t="s">
        <v>2505</v>
      </c>
      <c r="D1" s="139" t="s">
        <v>2506</v>
      </c>
      <c r="E1" s="139" t="s">
        <v>2507</v>
      </c>
      <c r="F1" s="139" t="s">
        <v>2508</v>
      </c>
      <c r="G1" s="139" t="s">
        <v>2509</v>
      </c>
      <c r="H1" s="139" t="s">
        <v>2510</v>
      </c>
      <c r="I1" s="139" t="s">
        <v>2549</v>
      </c>
      <c r="J1" s="139" t="s">
        <v>2550</v>
      </c>
      <c r="K1" s="139" t="s">
        <v>2551</v>
      </c>
      <c r="L1" s="139" t="s">
        <v>2552</v>
      </c>
      <c r="M1" s="139" t="s">
        <v>2553</v>
      </c>
      <c r="N1" s="139" t="s">
        <v>2554</v>
      </c>
      <c r="O1" s="139" t="s">
        <v>2555</v>
      </c>
      <c r="P1" s="139" t="s">
        <v>2556</v>
      </c>
      <c r="Q1" s="139" t="s">
        <v>581</v>
      </c>
      <c r="R1" s="139" t="s">
        <v>582</v>
      </c>
      <c r="S1" s="140" t="s">
        <v>583</v>
      </c>
      <c r="T1" s="139" t="s">
        <v>584</v>
      </c>
      <c r="U1" s="140" t="s">
        <v>585</v>
      </c>
      <c r="V1" s="141" t="s">
        <v>586</v>
      </c>
      <c r="W1" s="140" t="s">
        <v>3968</v>
      </c>
      <c r="X1" s="140" t="s">
        <v>3967</v>
      </c>
    </row>
    <row r="2" spans="1:24" ht="15" customHeight="1" x14ac:dyDescent="0.25">
      <c r="A2" s="143">
        <v>288</v>
      </c>
      <c r="B2" s="143" t="s">
        <v>729</v>
      </c>
      <c r="C2" s="143" t="s">
        <v>2504</v>
      </c>
      <c r="D2" s="143" t="s">
        <v>2504</v>
      </c>
      <c r="E2" s="143" t="s">
        <v>2504</v>
      </c>
      <c r="F2" s="143" t="s">
        <v>2504</v>
      </c>
      <c r="G2" s="143" t="s">
        <v>2504</v>
      </c>
      <c r="H2" s="143" t="s">
        <v>2504</v>
      </c>
      <c r="I2" s="143" t="str">
        <f t="shared" ref="I2:I13" si="0">IFERROR(VLOOKUP(B2,Base08,1,FALSE),"NO EXISTE")</f>
        <v>NO EXISTE</v>
      </c>
      <c r="J2" s="143" t="str">
        <f t="shared" ref="J2:J13" si="1">IFERROR(VLOOKUP(B2,Base09,1,FALSE),"NO EXISTE")</f>
        <v>NO EXISTE</v>
      </c>
      <c r="K2" s="143" t="str">
        <f t="shared" ref="K2:K13" si="2">IFERROR(VLOOKUP(B2,Base10,1,FALSE),"NO EXISTE")</f>
        <v>NO EXISTE</v>
      </c>
      <c r="L2" s="143" t="str">
        <f t="shared" ref="L2:L13" si="3">IFERROR(VLOOKUP(B2,Base11,1,FALSE),"NO EXISTE")</f>
        <v>NO EXISTE</v>
      </c>
      <c r="M2" s="143" t="str">
        <f t="shared" ref="M2:M13" si="4">IFERROR(VLOOKUP(B2,Base12,1,FALSE),"NO EXISTE")</f>
        <v>NO EXISTE</v>
      </c>
      <c r="N2" s="143" t="str">
        <f t="shared" ref="N2:N13" si="5">IFERROR(VLOOKUP(B2,Base13,1,FALSE),"NO EXISTE")</f>
        <v>NO EXISTE</v>
      </c>
      <c r="O2" s="143" t="str">
        <f t="shared" ref="O2:O13" si="6">IFERROR(VLOOKUP(B2,Base14,1,FALSE),"NO EXISTE")</f>
        <v>NO EXISTE</v>
      </c>
      <c r="P2" s="143" t="str">
        <f t="shared" ref="P2:P13" si="7">IFERROR(VLOOKUP(B2,Base15,1,FALSE),"NO EXISTE")</f>
        <v>NO EXISTE</v>
      </c>
      <c r="Q2" s="143" t="s">
        <v>730</v>
      </c>
      <c r="R2" s="143" t="s">
        <v>705</v>
      </c>
      <c r="S2" s="143" t="s">
        <v>731</v>
      </c>
      <c r="T2" s="144">
        <v>3.5</v>
      </c>
      <c r="U2" s="143" t="s">
        <v>591</v>
      </c>
      <c r="V2" s="145">
        <v>413.6</v>
      </c>
      <c r="W2" s="146">
        <f>V2*16</f>
        <v>6617.6</v>
      </c>
      <c r="X2">
        <v>13</v>
      </c>
    </row>
    <row r="3" spans="1:24" ht="15" customHeight="1" x14ac:dyDescent="0.25">
      <c r="A3" s="148">
        <v>295</v>
      </c>
      <c r="B3" s="148" t="s">
        <v>734</v>
      </c>
      <c r="C3" s="143" t="s">
        <v>2504</v>
      </c>
      <c r="D3" s="143" t="s">
        <v>2504</v>
      </c>
      <c r="E3" s="143" t="s">
        <v>2504</v>
      </c>
      <c r="F3" s="143" t="s">
        <v>2504</v>
      </c>
      <c r="G3" s="143" t="s">
        <v>2504</v>
      </c>
      <c r="H3" s="143" t="s">
        <v>2504</v>
      </c>
      <c r="I3" s="143" t="str">
        <f t="shared" si="0"/>
        <v>NO EXISTE</v>
      </c>
      <c r="J3" s="143" t="str">
        <f t="shared" si="1"/>
        <v>NO EXISTE</v>
      </c>
      <c r="K3" s="143" t="str">
        <f t="shared" si="2"/>
        <v>NO EXISTE</v>
      </c>
      <c r="L3" s="143" t="str">
        <f t="shared" si="3"/>
        <v>NO EXISTE</v>
      </c>
      <c r="M3" s="143" t="str">
        <f t="shared" si="4"/>
        <v>NO EXISTE</v>
      </c>
      <c r="N3" s="143" t="str">
        <f t="shared" si="5"/>
        <v>NO EXISTE</v>
      </c>
      <c r="O3" s="143" t="str">
        <f t="shared" si="6"/>
        <v>NO EXISTE</v>
      </c>
      <c r="P3" s="143" t="str">
        <f t="shared" si="7"/>
        <v>NO EXISTE</v>
      </c>
      <c r="Q3" s="148" t="s">
        <v>735</v>
      </c>
      <c r="R3" s="148" t="s">
        <v>705</v>
      </c>
      <c r="S3" s="148" t="s">
        <v>731</v>
      </c>
      <c r="T3" s="149">
        <v>16</v>
      </c>
      <c r="U3" s="148" t="s">
        <v>591</v>
      </c>
      <c r="V3" s="150">
        <v>1801.37</v>
      </c>
      <c r="W3" s="151">
        <f>V3*4</f>
        <v>7205.48</v>
      </c>
      <c r="X3">
        <v>48</v>
      </c>
    </row>
    <row r="4" spans="1:24" ht="15" customHeight="1" x14ac:dyDescent="0.25">
      <c r="A4" s="148">
        <v>296</v>
      </c>
      <c r="B4" s="148" t="s">
        <v>736</v>
      </c>
      <c r="C4" s="143" t="s">
        <v>2504</v>
      </c>
      <c r="D4" s="143" t="s">
        <v>2504</v>
      </c>
      <c r="E4" s="143" t="s">
        <v>2504</v>
      </c>
      <c r="F4" s="143" t="s">
        <v>2504</v>
      </c>
      <c r="G4" s="143" t="s">
        <v>2504</v>
      </c>
      <c r="H4" s="143" t="s">
        <v>2504</v>
      </c>
      <c r="I4" s="143" t="str">
        <f t="shared" si="0"/>
        <v>NO EXISTE</v>
      </c>
      <c r="J4" s="143" t="str">
        <f t="shared" si="1"/>
        <v>NO EXISTE</v>
      </c>
      <c r="K4" s="143" t="str">
        <f t="shared" si="2"/>
        <v>NO EXISTE</v>
      </c>
      <c r="L4" s="143" t="str">
        <f t="shared" si="3"/>
        <v>NO EXISTE</v>
      </c>
      <c r="M4" s="143" t="str">
        <f t="shared" si="4"/>
        <v>NO EXISTE</v>
      </c>
      <c r="N4" s="143" t="str">
        <f t="shared" si="5"/>
        <v>NO EXISTE</v>
      </c>
      <c r="O4" s="143" t="str">
        <f t="shared" si="6"/>
        <v>NO EXISTE</v>
      </c>
      <c r="P4" s="143" t="str">
        <f t="shared" si="7"/>
        <v>NO EXISTE</v>
      </c>
      <c r="Q4" s="148" t="s">
        <v>737</v>
      </c>
      <c r="R4" s="148" t="s">
        <v>705</v>
      </c>
      <c r="S4" s="148" t="s">
        <v>731</v>
      </c>
      <c r="T4" s="149">
        <v>170</v>
      </c>
      <c r="U4" s="148" t="s">
        <v>591</v>
      </c>
      <c r="V4" s="150">
        <v>19410.560000000001</v>
      </c>
      <c r="W4" s="151">
        <f>V4*16</f>
        <v>310568.96000000002</v>
      </c>
      <c r="X4">
        <v>1</v>
      </c>
    </row>
    <row r="5" spans="1:24" ht="15" customHeight="1" x14ac:dyDescent="0.25">
      <c r="A5" s="148">
        <v>428</v>
      </c>
      <c r="B5" s="148" t="s">
        <v>807</v>
      </c>
      <c r="C5" s="143" t="s">
        <v>2504</v>
      </c>
      <c r="D5" s="143" t="s">
        <v>2504</v>
      </c>
      <c r="E5" s="143" t="s">
        <v>2504</v>
      </c>
      <c r="F5" s="143" t="s">
        <v>2504</v>
      </c>
      <c r="G5" s="143" t="s">
        <v>2504</v>
      </c>
      <c r="H5" s="143" t="s">
        <v>2504</v>
      </c>
      <c r="I5" s="143" t="str">
        <f t="shared" si="0"/>
        <v>NO EXISTE</v>
      </c>
      <c r="J5" s="143" t="str">
        <f t="shared" si="1"/>
        <v>NO EXISTE</v>
      </c>
      <c r="K5" s="143" t="str">
        <f t="shared" si="2"/>
        <v>NO EXISTE</v>
      </c>
      <c r="L5" s="143" t="str">
        <f t="shared" si="3"/>
        <v>NO EXISTE</v>
      </c>
      <c r="M5" s="143" t="str">
        <f t="shared" si="4"/>
        <v>NO EXISTE</v>
      </c>
      <c r="N5" s="143" t="str">
        <f t="shared" si="5"/>
        <v>NO EXISTE</v>
      </c>
      <c r="O5" s="143" t="str">
        <f t="shared" si="6"/>
        <v>NO EXISTE</v>
      </c>
      <c r="P5" s="143" t="str">
        <f t="shared" si="7"/>
        <v>NO EXISTE</v>
      </c>
      <c r="Q5" s="148" t="s">
        <v>808</v>
      </c>
      <c r="R5" s="148" t="s">
        <v>589</v>
      </c>
      <c r="S5" s="148" t="s">
        <v>598</v>
      </c>
      <c r="T5" s="149">
        <v>3.7850000000000001</v>
      </c>
      <c r="U5" s="148" t="s">
        <v>591</v>
      </c>
      <c r="V5" s="150">
        <v>235.8</v>
      </c>
      <c r="W5" s="151">
        <v>18032.580000000002</v>
      </c>
      <c r="X5">
        <v>21</v>
      </c>
    </row>
    <row r="6" spans="1:24" ht="15" customHeight="1" x14ac:dyDescent="0.25">
      <c r="A6" s="148">
        <v>442</v>
      </c>
      <c r="B6" s="148" t="s">
        <v>822</v>
      </c>
      <c r="C6" s="143" t="s">
        <v>2504</v>
      </c>
      <c r="D6" s="143" t="s">
        <v>2504</v>
      </c>
      <c r="E6" s="143" t="s">
        <v>2504</v>
      </c>
      <c r="F6" s="143" t="s">
        <v>2504</v>
      </c>
      <c r="G6" s="143" t="s">
        <v>2504</v>
      </c>
      <c r="H6" s="143" t="s">
        <v>2504</v>
      </c>
      <c r="I6" s="143" t="str">
        <f t="shared" si="0"/>
        <v>NO EXISTE</v>
      </c>
      <c r="J6" s="143" t="str">
        <f t="shared" si="1"/>
        <v>NO EXISTE</v>
      </c>
      <c r="K6" s="143" t="str">
        <f t="shared" si="2"/>
        <v>NO EXISTE</v>
      </c>
      <c r="L6" s="143" t="str">
        <f t="shared" si="3"/>
        <v>NO EXISTE</v>
      </c>
      <c r="M6" s="143" t="str">
        <f t="shared" si="4"/>
        <v>NO EXISTE</v>
      </c>
      <c r="N6" s="143" t="str">
        <f t="shared" si="5"/>
        <v>NO EXISTE</v>
      </c>
      <c r="O6" s="143" t="str">
        <f t="shared" si="6"/>
        <v>NO EXISTE</v>
      </c>
      <c r="P6" s="143" t="str">
        <f t="shared" si="7"/>
        <v>NO EXISTE</v>
      </c>
      <c r="Q6" s="148" t="s">
        <v>823</v>
      </c>
      <c r="R6" s="148" t="s">
        <v>705</v>
      </c>
      <c r="S6" s="148" t="s">
        <v>706</v>
      </c>
      <c r="T6" s="149">
        <v>7</v>
      </c>
      <c r="U6" s="148" t="s">
        <v>591</v>
      </c>
      <c r="V6" s="150">
        <v>769.39</v>
      </c>
      <c r="W6" s="151">
        <v>1629.39</v>
      </c>
      <c r="X6">
        <v>8</v>
      </c>
    </row>
    <row r="7" spans="1:24" ht="15" customHeight="1" x14ac:dyDescent="0.25">
      <c r="A7" s="148">
        <v>599</v>
      </c>
      <c r="B7" s="148" t="s">
        <v>895</v>
      </c>
      <c r="C7" s="143" t="s">
        <v>2504</v>
      </c>
      <c r="D7" s="143" t="s">
        <v>2504</v>
      </c>
      <c r="E7" s="143" t="s">
        <v>2504</v>
      </c>
      <c r="F7" s="143" t="s">
        <v>2504</v>
      </c>
      <c r="G7" s="143" t="s">
        <v>2504</v>
      </c>
      <c r="H7" s="143" t="s">
        <v>2504</v>
      </c>
      <c r="I7" s="143" t="str">
        <f t="shared" si="0"/>
        <v>NO EXISTE</v>
      </c>
      <c r="J7" s="143" t="str">
        <f t="shared" si="1"/>
        <v>NO EXISTE</v>
      </c>
      <c r="K7" s="143" t="str">
        <f t="shared" si="2"/>
        <v>NO EXISTE</v>
      </c>
      <c r="L7" s="143" t="str">
        <f t="shared" si="3"/>
        <v>NO EXISTE</v>
      </c>
      <c r="M7" s="143" t="str">
        <f t="shared" si="4"/>
        <v>NO EXISTE</v>
      </c>
      <c r="N7" s="143" t="str">
        <f t="shared" si="5"/>
        <v>NO EXISTE</v>
      </c>
      <c r="O7" s="143" t="str">
        <f t="shared" si="6"/>
        <v>NO EXISTE</v>
      </c>
      <c r="P7" s="143" t="str">
        <f t="shared" si="7"/>
        <v>NO EXISTE</v>
      </c>
      <c r="Q7" s="148" t="s">
        <v>896</v>
      </c>
      <c r="R7" s="148" t="s">
        <v>630</v>
      </c>
      <c r="S7" s="148" t="s">
        <v>631</v>
      </c>
      <c r="T7" s="149">
        <v>19</v>
      </c>
      <c r="U7" s="148" t="s">
        <v>591</v>
      </c>
      <c r="V7" s="150">
        <v>1706.2</v>
      </c>
      <c r="W7" s="151">
        <v>1975.57</v>
      </c>
      <c r="X7">
        <v>8</v>
      </c>
    </row>
    <row r="8" spans="1:24" ht="15" customHeight="1" x14ac:dyDescent="0.25">
      <c r="A8" s="148">
        <v>1970</v>
      </c>
      <c r="B8" s="148" t="s">
        <v>1112</v>
      </c>
      <c r="C8" s="143" t="s">
        <v>2504</v>
      </c>
      <c r="D8" s="143" t="s">
        <v>2504</v>
      </c>
      <c r="E8" s="143" t="s">
        <v>2504</v>
      </c>
      <c r="F8" s="143" t="s">
        <v>2504</v>
      </c>
      <c r="G8" s="143" t="s">
        <v>2504</v>
      </c>
      <c r="H8" s="143" t="s">
        <v>2504</v>
      </c>
      <c r="I8" s="143" t="str">
        <f t="shared" si="0"/>
        <v>NO EXISTE</v>
      </c>
      <c r="J8" s="143" t="str">
        <f t="shared" si="1"/>
        <v>NO EXISTE</v>
      </c>
      <c r="K8" s="143" t="str">
        <f t="shared" si="2"/>
        <v>NO EXISTE</v>
      </c>
      <c r="L8" s="143" t="str">
        <f t="shared" si="3"/>
        <v>NO EXISTE</v>
      </c>
      <c r="M8" s="143" t="str">
        <f t="shared" si="4"/>
        <v>NO EXISTE</v>
      </c>
      <c r="N8" s="143" t="str">
        <f t="shared" si="5"/>
        <v>NO EXISTE</v>
      </c>
      <c r="O8" s="143" t="str">
        <f t="shared" si="6"/>
        <v>NO EXISTE</v>
      </c>
      <c r="P8" s="143" t="str">
        <f t="shared" si="7"/>
        <v>NO EXISTE</v>
      </c>
      <c r="Q8" s="148" t="s">
        <v>1113</v>
      </c>
      <c r="R8" s="148" t="s">
        <v>600</v>
      </c>
      <c r="S8" s="148" t="s">
        <v>613</v>
      </c>
      <c r="T8" s="149">
        <v>20</v>
      </c>
      <c r="U8" s="148" t="s">
        <v>591</v>
      </c>
      <c r="V8" s="150">
        <v>1651.4</v>
      </c>
      <c r="W8" s="151">
        <v>2555.48</v>
      </c>
      <c r="X8">
        <v>2</v>
      </c>
    </row>
    <row r="9" spans="1:24" ht="15" customHeight="1" x14ac:dyDescent="0.25">
      <c r="A9" s="148">
        <v>11146</v>
      </c>
      <c r="B9" s="148" t="s">
        <v>2024</v>
      </c>
      <c r="C9" s="143" t="s">
        <v>2504</v>
      </c>
      <c r="D9" s="143" t="s">
        <v>2504</v>
      </c>
      <c r="E9" s="143" t="s">
        <v>2504</v>
      </c>
      <c r="F9" s="143" t="s">
        <v>2504</v>
      </c>
      <c r="G9" s="143" t="s">
        <v>2504</v>
      </c>
      <c r="H9" s="143" t="s">
        <v>2504</v>
      </c>
      <c r="I9" s="143" t="str">
        <f t="shared" si="0"/>
        <v>NO EXISTE</v>
      </c>
      <c r="J9" s="143" t="str">
        <f t="shared" si="1"/>
        <v>NO EXISTE</v>
      </c>
      <c r="K9" s="143" t="str">
        <f t="shared" si="2"/>
        <v>NO EXISTE</v>
      </c>
      <c r="L9" s="143" t="str">
        <f t="shared" si="3"/>
        <v>NO EXISTE</v>
      </c>
      <c r="M9" s="143" t="str">
        <f t="shared" si="4"/>
        <v>NO EXISTE</v>
      </c>
      <c r="N9" s="143" t="str">
        <f t="shared" si="5"/>
        <v>NO EXISTE</v>
      </c>
      <c r="O9" s="143" t="str">
        <f t="shared" si="6"/>
        <v>NO EXISTE</v>
      </c>
      <c r="P9" s="143" t="str">
        <f t="shared" si="7"/>
        <v>NO EXISTE</v>
      </c>
      <c r="Q9" s="148" t="s">
        <v>2025</v>
      </c>
      <c r="R9" s="148" t="s">
        <v>705</v>
      </c>
      <c r="S9" s="148" t="s">
        <v>2026</v>
      </c>
      <c r="T9" s="149">
        <v>170</v>
      </c>
      <c r="U9" s="148" t="s">
        <v>591</v>
      </c>
      <c r="V9" s="150">
        <v>41229.58</v>
      </c>
      <c r="W9" s="151">
        <v>3306.87</v>
      </c>
      <c r="X9">
        <v>21</v>
      </c>
    </row>
    <row r="10" spans="1:24" ht="15" customHeight="1" x14ac:dyDescent="0.25">
      <c r="A10" s="148">
        <v>16036</v>
      </c>
      <c r="B10" s="148" t="s">
        <v>2082</v>
      </c>
      <c r="C10" s="143" t="s">
        <v>2504</v>
      </c>
      <c r="D10" s="143" t="s">
        <v>2504</v>
      </c>
      <c r="E10" s="143" t="s">
        <v>2504</v>
      </c>
      <c r="F10" s="143" t="s">
        <v>2504</v>
      </c>
      <c r="G10" s="143" t="s">
        <v>2504</v>
      </c>
      <c r="H10" s="143" t="s">
        <v>2504</v>
      </c>
      <c r="I10" s="143" t="str">
        <f t="shared" si="0"/>
        <v>NO EXISTE</v>
      </c>
      <c r="J10" s="143" t="str">
        <f t="shared" si="1"/>
        <v>NO EXISTE</v>
      </c>
      <c r="K10" s="143" t="str">
        <f t="shared" si="2"/>
        <v>NO EXISTE</v>
      </c>
      <c r="L10" s="143" t="str">
        <f t="shared" si="3"/>
        <v>NO EXISTE</v>
      </c>
      <c r="M10" s="143" t="str">
        <f t="shared" si="4"/>
        <v>NO EXISTE</v>
      </c>
      <c r="N10" s="143" t="str">
        <f t="shared" si="5"/>
        <v>NO EXISTE</v>
      </c>
      <c r="O10" s="143" t="str">
        <f t="shared" si="6"/>
        <v>NO EXISTE</v>
      </c>
      <c r="P10" s="143" t="str">
        <f t="shared" si="7"/>
        <v>NO EXISTE</v>
      </c>
      <c r="Q10" s="148" t="s">
        <v>2083</v>
      </c>
      <c r="R10" s="148" t="s">
        <v>594</v>
      </c>
      <c r="S10" s="148" t="s">
        <v>2084</v>
      </c>
      <c r="T10" s="149">
        <v>0.95</v>
      </c>
      <c r="U10" s="148" t="s">
        <v>591</v>
      </c>
      <c r="V10" s="150">
        <v>136.80000000000001</v>
      </c>
      <c r="W10" s="151">
        <v>32296.43</v>
      </c>
      <c r="X10">
        <v>2</v>
      </c>
    </row>
    <row r="11" spans="1:24" ht="15" customHeight="1" x14ac:dyDescent="0.25">
      <c r="A11" s="148">
        <v>16406</v>
      </c>
      <c r="B11" s="148" t="s">
        <v>2242</v>
      </c>
      <c r="C11" s="143" t="s">
        <v>2504</v>
      </c>
      <c r="D11" s="143" t="s">
        <v>2504</v>
      </c>
      <c r="E11" s="143" t="s">
        <v>2504</v>
      </c>
      <c r="F11" s="143" t="s">
        <v>2504</v>
      </c>
      <c r="G11" s="143" t="s">
        <v>2504</v>
      </c>
      <c r="H11" s="143" t="s">
        <v>2504</v>
      </c>
      <c r="I11" s="143" t="str">
        <f t="shared" si="0"/>
        <v>NO EXISTE</v>
      </c>
      <c r="J11" s="143" t="str">
        <f t="shared" si="1"/>
        <v>NO EXISTE</v>
      </c>
      <c r="K11" s="143" t="str">
        <f t="shared" si="2"/>
        <v>NO EXISTE</v>
      </c>
      <c r="L11" s="143" t="str">
        <f t="shared" si="3"/>
        <v>NO EXISTE</v>
      </c>
      <c r="M11" s="143" t="str">
        <f t="shared" si="4"/>
        <v>NO EXISTE</v>
      </c>
      <c r="N11" s="143" t="str">
        <f t="shared" si="5"/>
        <v>NO EXISTE</v>
      </c>
      <c r="O11" s="143" t="str">
        <f t="shared" si="6"/>
        <v>NO EXISTE</v>
      </c>
      <c r="P11" s="143" t="str">
        <f t="shared" si="7"/>
        <v>NO EXISTE</v>
      </c>
      <c r="Q11" s="148" t="s">
        <v>2243</v>
      </c>
      <c r="R11" s="148" t="s">
        <v>600</v>
      </c>
      <c r="S11" s="148" t="s">
        <v>613</v>
      </c>
      <c r="T11" s="149">
        <v>0.6</v>
      </c>
      <c r="U11" s="148" t="s">
        <v>591</v>
      </c>
      <c r="V11" s="150">
        <v>52.86</v>
      </c>
      <c r="W11" s="151">
        <v>1116.44</v>
      </c>
      <c r="X11">
        <v>3</v>
      </c>
    </row>
    <row r="12" spans="1:24" ht="15" customHeight="1" x14ac:dyDescent="0.25">
      <c r="A12" s="148">
        <v>16717</v>
      </c>
      <c r="B12" s="148" t="s">
        <v>2314</v>
      </c>
      <c r="C12" s="143" t="s">
        <v>2504</v>
      </c>
      <c r="D12" s="143" t="s">
        <v>2504</v>
      </c>
      <c r="E12" s="143" t="s">
        <v>2504</v>
      </c>
      <c r="F12" s="143" t="s">
        <v>2504</v>
      </c>
      <c r="G12" s="143" t="s">
        <v>2504</v>
      </c>
      <c r="H12" s="143" t="s">
        <v>2504</v>
      </c>
      <c r="I12" s="143" t="str">
        <f t="shared" si="0"/>
        <v>NO EXISTE</v>
      </c>
      <c r="J12" s="143" t="str">
        <f t="shared" si="1"/>
        <v>NO EXISTE</v>
      </c>
      <c r="K12" s="143" t="str">
        <f t="shared" si="2"/>
        <v>NO EXISTE</v>
      </c>
      <c r="L12" s="143" t="str">
        <f t="shared" si="3"/>
        <v>NO EXISTE</v>
      </c>
      <c r="M12" s="143" t="str">
        <f t="shared" si="4"/>
        <v>NO EXISTE</v>
      </c>
      <c r="N12" s="143" t="str">
        <f t="shared" si="5"/>
        <v>NO EXISTE</v>
      </c>
      <c r="O12" s="143" t="str">
        <f t="shared" si="6"/>
        <v>NO EXISTE</v>
      </c>
      <c r="P12" s="143" t="str">
        <f t="shared" si="7"/>
        <v>NO EXISTE</v>
      </c>
      <c r="Q12" s="148" t="s">
        <v>2315</v>
      </c>
      <c r="R12" s="148" t="s">
        <v>600</v>
      </c>
      <c r="S12" s="148" t="s">
        <v>613</v>
      </c>
      <c r="T12" s="149">
        <v>200</v>
      </c>
      <c r="U12" s="148" t="s">
        <v>591</v>
      </c>
      <c r="V12" s="150">
        <v>6309.28</v>
      </c>
      <c r="W12" s="151">
        <f>V12*16</f>
        <v>100948.48</v>
      </c>
      <c r="X12">
        <v>3</v>
      </c>
    </row>
    <row r="13" spans="1:24" ht="15" customHeight="1" x14ac:dyDescent="0.25">
      <c r="A13" s="312" t="s">
        <v>2437</v>
      </c>
      <c r="B13" s="312" t="s">
        <v>2480</v>
      </c>
      <c r="C13" s="313" t="s">
        <v>2504</v>
      </c>
      <c r="D13" s="313" t="s">
        <v>2504</v>
      </c>
      <c r="E13" s="313" t="s">
        <v>2504</v>
      </c>
      <c r="F13" s="313" t="s">
        <v>2504</v>
      </c>
      <c r="G13" s="313" t="s">
        <v>2504</v>
      </c>
      <c r="H13" s="313" t="s">
        <v>2504</v>
      </c>
      <c r="I13" s="313" t="str">
        <f t="shared" si="0"/>
        <v>NO EXISTE</v>
      </c>
      <c r="J13" s="313" t="str">
        <f t="shared" si="1"/>
        <v>NO EXISTE</v>
      </c>
      <c r="K13" s="313" t="str">
        <f t="shared" si="2"/>
        <v>NO EXISTE</v>
      </c>
      <c r="L13" s="313" t="str">
        <f t="shared" si="3"/>
        <v>NO EXISTE</v>
      </c>
      <c r="M13" s="313" t="str">
        <f t="shared" si="4"/>
        <v>NO EXISTE</v>
      </c>
      <c r="N13" s="313" t="str">
        <f t="shared" si="5"/>
        <v>NO EXISTE</v>
      </c>
      <c r="O13" s="313" t="str">
        <f t="shared" si="6"/>
        <v>NO EXISTE</v>
      </c>
      <c r="P13" s="313" t="str">
        <f t="shared" si="7"/>
        <v>NO EXISTE</v>
      </c>
      <c r="Q13" s="312" t="s">
        <v>2481</v>
      </c>
      <c r="R13" s="312" t="s">
        <v>594</v>
      </c>
      <c r="S13" s="312" t="s">
        <v>595</v>
      </c>
      <c r="T13" s="314">
        <v>0.95</v>
      </c>
      <c r="U13" s="312" t="s">
        <v>591</v>
      </c>
      <c r="V13" s="315">
        <v>92.26</v>
      </c>
      <c r="W13" s="316">
        <v>18166.23</v>
      </c>
      <c r="X13">
        <v>319</v>
      </c>
    </row>
    <row r="14" spans="1:24" ht="15" customHeight="1" x14ac:dyDescent="0.25">
      <c r="T14" s="321"/>
      <c r="V14" s="326"/>
      <c r="W14" s="311"/>
    </row>
    <row r="15" spans="1:24" ht="15" customHeight="1" x14ac:dyDescent="0.25">
      <c r="T15" s="321"/>
      <c r="V15" s="326"/>
      <c r="W15" s="311"/>
    </row>
    <row r="16" spans="1:24" ht="15" customHeight="1" x14ac:dyDescent="0.25">
      <c r="T16" s="321"/>
      <c r="V16" s="326"/>
      <c r="W16" s="311"/>
    </row>
    <row r="17" spans="1:24" ht="15" customHeight="1" x14ac:dyDescent="0.25">
      <c r="T17" s="321"/>
      <c r="V17" s="326"/>
      <c r="W17" s="311"/>
    </row>
    <row r="18" spans="1:24" ht="15" customHeight="1" x14ac:dyDescent="0.25">
      <c r="T18" s="321"/>
      <c r="V18" s="326"/>
      <c r="W18" s="311"/>
    </row>
    <row r="19" spans="1:24" ht="15" customHeight="1" x14ac:dyDescent="0.25">
      <c r="T19" s="321"/>
      <c r="V19" s="326"/>
      <c r="W19" s="311"/>
    </row>
    <row r="20" spans="1:24" ht="15" customHeight="1" x14ac:dyDescent="0.25">
      <c r="A20">
        <v>95</v>
      </c>
      <c r="B20" t="s">
        <v>658</v>
      </c>
      <c r="C20" t="s">
        <v>2504</v>
      </c>
      <c r="D20" t="s">
        <v>2504</v>
      </c>
      <c r="E20" t="s">
        <v>2504</v>
      </c>
      <c r="F20" t="s">
        <v>2504</v>
      </c>
      <c r="G20" t="s">
        <v>2504</v>
      </c>
      <c r="H20" t="s">
        <v>2504</v>
      </c>
      <c r="I20" t="str">
        <f t="shared" ref="I20:I29" si="8">IFERROR(VLOOKUP(B20,Base08,1,FALSE),"NO EXISTE")</f>
        <v>NO EXISTE</v>
      </c>
      <c r="J20" t="str">
        <f t="shared" ref="J20:J29" si="9">IFERROR(VLOOKUP(B20,Base09,1,FALSE),"NO EXISTE")</f>
        <v>NO EXISTE</v>
      </c>
      <c r="K20" t="str">
        <f t="shared" ref="K20:K29" si="10">IFERROR(VLOOKUP(B20,Base10,1,FALSE),"NO EXISTE")</f>
        <v>NO EXISTE</v>
      </c>
      <c r="L20" t="str">
        <f t="shared" ref="L20:L29" si="11">IFERROR(VLOOKUP(B20,Base11,1,FALSE),"NO EXISTE")</f>
        <v>NO EXISTE</v>
      </c>
      <c r="M20" t="str">
        <f t="shared" ref="M20:M29" si="12">IFERROR(VLOOKUP(B20,Base12,1,FALSE),"NO EXISTE")</f>
        <v>NO EXISTE</v>
      </c>
      <c r="N20" t="str">
        <f t="shared" ref="N20:N29" si="13">IFERROR(VLOOKUP(B20,Base13,1,FALSE),"NO EXISTE")</f>
        <v>NO EXISTE</v>
      </c>
      <c r="O20" t="str">
        <f t="shared" ref="O20:O29" si="14">IFERROR(VLOOKUP(B20,Base14,1,FALSE),"NO EXISTE")</f>
        <v>NO EXISTE</v>
      </c>
      <c r="P20" t="str">
        <f t="shared" ref="P20:P29" si="15">IFERROR(VLOOKUP(B20,Base15,1,FALSE),"NO EXISTE")</f>
        <v>NO EXISTE</v>
      </c>
      <c r="Q20" s="327" t="s">
        <v>659</v>
      </c>
      <c r="R20" t="s">
        <v>594</v>
      </c>
      <c r="S20" t="s">
        <v>595</v>
      </c>
      <c r="T20" s="321">
        <v>3.8</v>
      </c>
      <c r="U20" t="s">
        <v>596</v>
      </c>
      <c r="V20" s="322">
        <v>571.57000000000005</v>
      </c>
      <c r="W20" s="311">
        <v>2200.54</v>
      </c>
      <c r="X20">
        <v>201</v>
      </c>
    </row>
    <row r="21" spans="1:24" ht="15" customHeight="1" x14ac:dyDescent="0.25">
      <c r="A21">
        <v>122</v>
      </c>
      <c r="B21" t="s">
        <v>667</v>
      </c>
      <c r="C21" t="s">
        <v>2504</v>
      </c>
      <c r="D21" t="s">
        <v>2504</v>
      </c>
      <c r="E21" t="s">
        <v>2504</v>
      </c>
      <c r="F21" t="s">
        <v>2504</v>
      </c>
      <c r="G21" t="s">
        <v>2504</v>
      </c>
      <c r="H21" t="s">
        <v>2504</v>
      </c>
      <c r="I21" t="str">
        <f t="shared" si="8"/>
        <v>NO EXISTE</v>
      </c>
      <c r="J21" t="str">
        <f t="shared" si="9"/>
        <v>NO EXISTE</v>
      </c>
      <c r="K21" t="str">
        <f t="shared" si="10"/>
        <v>NO EXISTE</v>
      </c>
      <c r="L21" t="str">
        <f t="shared" si="11"/>
        <v>NO EXISTE</v>
      </c>
      <c r="M21" t="str">
        <f t="shared" si="12"/>
        <v>NO EXISTE</v>
      </c>
      <c r="N21" t="str">
        <f t="shared" si="13"/>
        <v>NO EXISTE</v>
      </c>
      <c r="O21" t="str">
        <f t="shared" si="14"/>
        <v>NO EXISTE</v>
      </c>
      <c r="P21" t="str">
        <f t="shared" si="15"/>
        <v>NO EXISTE</v>
      </c>
      <c r="Q21" s="327" t="s">
        <v>668</v>
      </c>
      <c r="R21" t="s">
        <v>594</v>
      </c>
      <c r="S21" t="s">
        <v>669</v>
      </c>
      <c r="T21" s="321">
        <v>0.95</v>
      </c>
      <c r="U21" t="s">
        <v>596</v>
      </c>
      <c r="V21" s="322">
        <v>123.07</v>
      </c>
      <c r="W21" s="311">
        <f>V21*1000</f>
        <v>123070</v>
      </c>
      <c r="X21">
        <v>1</v>
      </c>
    </row>
    <row r="22" spans="1:24" ht="15" customHeight="1" x14ac:dyDescent="0.25">
      <c r="A22" s="317">
        <v>123</v>
      </c>
      <c r="B22" s="317" t="s">
        <v>670</v>
      </c>
      <c r="C22" s="317" t="s">
        <v>2504</v>
      </c>
      <c r="D22" s="317" t="s">
        <v>2504</v>
      </c>
      <c r="E22" s="317" t="s">
        <v>2504</v>
      </c>
      <c r="F22" s="317" t="s">
        <v>2504</v>
      </c>
      <c r="G22" s="317" t="s">
        <v>2504</v>
      </c>
      <c r="H22" s="317" t="s">
        <v>2504</v>
      </c>
      <c r="I22" s="317" t="str">
        <f t="shared" si="8"/>
        <v>NO EXISTE</v>
      </c>
      <c r="J22" s="317" t="str">
        <f t="shared" si="9"/>
        <v>NO EXISTE</v>
      </c>
      <c r="K22" s="317" t="str">
        <f t="shared" si="10"/>
        <v>NO EXISTE</v>
      </c>
      <c r="L22" s="317" t="str">
        <f t="shared" si="11"/>
        <v>NO EXISTE</v>
      </c>
      <c r="M22" s="317" t="str">
        <f t="shared" si="12"/>
        <v>NO EXISTE</v>
      </c>
      <c r="N22" s="317" t="str">
        <f t="shared" si="13"/>
        <v>NO EXISTE</v>
      </c>
      <c r="O22" s="317" t="str">
        <f t="shared" si="14"/>
        <v>NO EXISTE</v>
      </c>
      <c r="P22" s="317" t="str">
        <f t="shared" si="15"/>
        <v>NO EXISTE</v>
      </c>
      <c r="Q22" s="324" t="s">
        <v>671</v>
      </c>
      <c r="R22" s="317" t="s">
        <v>594</v>
      </c>
      <c r="S22" s="317" t="s">
        <v>669</v>
      </c>
      <c r="T22" s="318">
        <v>0.95</v>
      </c>
      <c r="U22" s="317" t="s">
        <v>596</v>
      </c>
      <c r="V22" s="319">
        <v>139.25</v>
      </c>
      <c r="W22" s="320">
        <f>V22*12</f>
        <v>1671</v>
      </c>
      <c r="X22">
        <v>1</v>
      </c>
    </row>
    <row r="23" spans="1:24" ht="15" customHeight="1" x14ac:dyDescent="0.25">
      <c r="A23" s="148">
        <v>812</v>
      </c>
      <c r="B23" s="148" t="s">
        <v>976</v>
      </c>
      <c r="C23" s="143" t="s">
        <v>2504</v>
      </c>
      <c r="D23" s="143" t="s">
        <v>2504</v>
      </c>
      <c r="E23" s="143" t="s">
        <v>2504</v>
      </c>
      <c r="F23" s="143" t="s">
        <v>2504</v>
      </c>
      <c r="G23" s="143" t="s">
        <v>2504</v>
      </c>
      <c r="H23" s="143" t="s">
        <v>2504</v>
      </c>
      <c r="I23" s="143" t="str">
        <f t="shared" si="8"/>
        <v>NO EXISTE</v>
      </c>
      <c r="J23" s="143" t="str">
        <f t="shared" si="9"/>
        <v>NO EXISTE</v>
      </c>
      <c r="K23" s="143" t="str">
        <f t="shared" si="10"/>
        <v>NO EXISTE</v>
      </c>
      <c r="L23" s="143" t="str">
        <f t="shared" si="11"/>
        <v>NO EXISTE</v>
      </c>
      <c r="M23" s="143" t="str">
        <f t="shared" si="12"/>
        <v>NO EXISTE</v>
      </c>
      <c r="N23" s="143" t="str">
        <f t="shared" si="13"/>
        <v>NO EXISTE</v>
      </c>
      <c r="O23" s="143" t="str">
        <f t="shared" si="14"/>
        <v>NO EXISTE</v>
      </c>
      <c r="P23" s="143" t="str">
        <f t="shared" si="15"/>
        <v>NO EXISTE</v>
      </c>
      <c r="Q23" s="302" t="s">
        <v>977</v>
      </c>
      <c r="R23" s="148" t="s">
        <v>594</v>
      </c>
      <c r="S23" s="148" t="s">
        <v>604</v>
      </c>
      <c r="T23" s="149">
        <v>5</v>
      </c>
      <c r="U23" s="148" t="s">
        <v>596</v>
      </c>
      <c r="V23" s="150">
        <v>552.80999999999995</v>
      </c>
      <c r="W23" s="151">
        <f>V23*1000</f>
        <v>552810</v>
      </c>
      <c r="X23">
        <v>2</v>
      </c>
    </row>
    <row r="24" spans="1:24" ht="15" customHeight="1" x14ac:dyDescent="0.25">
      <c r="A24" s="148">
        <v>16037</v>
      </c>
      <c r="B24" s="148" t="s">
        <v>2085</v>
      </c>
      <c r="C24" s="143" t="s">
        <v>2504</v>
      </c>
      <c r="D24" s="143" t="s">
        <v>2504</v>
      </c>
      <c r="E24" s="143" t="s">
        <v>2504</v>
      </c>
      <c r="F24" s="143" t="s">
        <v>2504</v>
      </c>
      <c r="G24" s="143" t="s">
        <v>2504</v>
      </c>
      <c r="H24" s="143" t="s">
        <v>2504</v>
      </c>
      <c r="I24" s="143" t="str">
        <f t="shared" si="8"/>
        <v>NO EXISTE</v>
      </c>
      <c r="J24" s="143" t="str">
        <f t="shared" si="9"/>
        <v>NO EXISTE</v>
      </c>
      <c r="K24" s="143" t="str">
        <f t="shared" si="10"/>
        <v>NO EXISTE</v>
      </c>
      <c r="L24" s="143" t="str">
        <f t="shared" si="11"/>
        <v>NO EXISTE</v>
      </c>
      <c r="M24" s="143" t="str">
        <f t="shared" si="12"/>
        <v>NO EXISTE</v>
      </c>
      <c r="N24" s="143" t="str">
        <f t="shared" si="13"/>
        <v>NO EXISTE</v>
      </c>
      <c r="O24" s="143" t="str">
        <f t="shared" si="14"/>
        <v>NO EXISTE</v>
      </c>
      <c r="P24" s="143" t="str">
        <f t="shared" si="15"/>
        <v>NO EXISTE</v>
      </c>
      <c r="Q24" s="302" t="s">
        <v>2086</v>
      </c>
      <c r="R24" s="148" t="s">
        <v>594</v>
      </c>
      <c r="S24" s="148" t="s">
        <v>2084</v>
      </c>
      <c r="T24" s="149">
        <v>19</v>
      </c>
      <c r="U24" s="148" t="s">
        <v>596</v>
      </c>
      <c r="V24" s="150">
        <v>2668.96</v>
      </c>
      <c r="W24" s="151">
        <f>V24*1000</f>
        <v>2668960</v>
      </c>
      <c r="X24">
        <v>3</v>
      </c>
    </row>
    <row r="25" spans="1:24" ht="15" customHeight="1" x14ac:dyDescent="0.25">
      <c r="A25" s="148">
        <v>16045</v>
      </c>
      <c r="B25" s="148" t="s">
        <v>2098</v>
      </c>
      <c r="C25" s="143" t="s">
        <v>2504</v>
      </c>
      <c r="D25" s="143" t="s">
        <v>2504</v>
      </c>
      <c r="E25" s="143" t="s">
        <v>2504</v>
      </c>
      <c r="F25" s="143" t="s">
        <v>2504</v>
      </c>
      <c r="G25" s="143" t="s">
        <v>2504</v>
      </c>
      <c r="H25" s="143" t="s">
        <v>2504</v>
      </c>
      <c r="I25" s="143" t="str">
        <f t="shared" si="8"/>
        <v>NO EXISTE</v>
      </c>
      <c r="J25" s="143" t="str">
        <f t="shared" si="9"/>
        <v>NO EXISTE</v>
      </c>
      <c r="K25" s="143" t="str">
        <f t="shared" si="10"/>
        <v>NO EXISTE</v>
      </c>
      <c r="L25" s="143" t="str">
        <f t="shared" si="11"/>
        <v>NO EXISTE</v>
      </c>
      <c r="M25" s="143" t="str">
        <f t="shared" si="12"/>
        <v>NO EXISTE</v>
      </c>
      <c r="N25" s="143" t="str">
        <f t="shared" si="13"/>
        <v>NO EXISTE</v>
      </c>
      <c r="O25" s="143" t="str">
        <f t="shared" si="14"/>
        <v>NO EXISTE</v>
      </c>
      <c r="P25" s="143" t="str">
        <f t="shared" si="15"/>
        <v>NO EXISTE</v>
      </c>
      <c r="Q25" s="302" t="s">
        <v>2099</v>
      </c>
      <c r="R25" s="148" t="s">
        <v>594</v>
      </c>
      <c r="S25" s="148" t="s">
        <v>2084</v>
      </c>
      <c r="T25" s="149">
        <v>19</v>
      </c>
      <c r="U25" s="148" t="s">
        <v>596</v>
      </c>
      <c r="V25" s="150">
        <v>2936.23</v>
      </c>
      <c r="W25" s="151">
        <v>1814.3</v>
      </c>
      <c r="X25">
        <v>3</v>
      </c>
    </row>
    <row r="26" spans="1:24" ht="15" customHeight="1" x14ac:dyDescent="0.25">
      <c r="A26" s="148">
        <v>16058</v>
      </c>
      <c r="B26" s="148" t="s">
        <v>2114</v>
      </c>
      <c r="C26" s="143" t="s">
        <v>2504</v>
      </c>
      <c r="D26" s="143" t="s">
        <v>2504</v>
      </c>
      <c r="E26" s="143" t="s">
        <v>2504</v>
      </c>
      <c r="F26" s="143" t="s">
        <v>2504</v>
      </c>
      <c r="G26" s="143" t="s">
        <v>2504</v>
      </c>
      <c r="H26" s="143" t="s">
        <v>2504</v>
      </c>
      <c r="I26" s="143" t="str">
        <f t="shared" si="8"/>
        <v>NO EXISTE</v>
      </c>
      <c r="J26" s="143" t="str">
        <f t="shared" si="9"/>
        <v>NO EXISTE</v>
      </c>
      <c r="K26" s="143" t="str">
        <f t="shared" si="10"/>
        <v>NO EXISTE</v>
      </c>
      <c r="L26" s="143" t="str">
        <f t="shared" si="11"/>
        <v>NO EXISTE</v>
      </c>
      <c r="M26" s="143" t="str">
        <f t="shared" si="12"/>
        <v>NO EXISTE</v>
      </c>
      <c r="N26" s="143" t="str">
        <f t="shared" si="13"/>
        <v>NO EXISTE</v>
      </c>
      <c r="O26" s="143" t="str">
        <f t="shared" si="14"/>
        <v>NO EXISTE</v>
      </c>
      <c r="P26" s="143" t="str">
        <f t="shared" si="15"/>
        <v>NO EXISTE</v>
      </c>
      <c r="Q26" s="302" t="s">
        <v>2115</v>
      </c>
      <c r="R26" s="148" t="s">
        <v>594</v>
      </c>
      <c r="S26" s="148" t="s">
        <v>643</v>
      </c>
      <c r="T26" s="149">
        <v>0.95</v>
      </c>
      <c r="U26" s="148" t="s">
        <v>596</v>
      </c>
      <c r="V26" s="150">
        <v>107.78</v>
      </c>
      <c r="W26" s="151">
        <v>1991.42</v>
      </c>
      <c r="X26">
        <v>1</v>
      </c>
    </row>
    <row r="27" spans="1:24" ht="15" customHeight="1" x14ac:dyDescent="0.25">
      <c r="A27" s="148">
        <v>16606</v>
      </c>
      <c r="B27" s="148" t="s">
        <v>2280</v>
      </c>
      <c r="C27" s="143" t="s">
        <v>2504</v>
      </c>
      <c r="D27" s="143" t="s">
        <v>2504</v>
      </c>
      <c r="E27" s="143" t="s">
        <v>2504</v>
      </c>
      <c r="F27" s="143" t="s">
        <v>2504</v>
      </c>
      <c r="G27" s="143" t="s">
        <v>2504</v>
      </c>
      <c r="H27" s="143" t="s">
        <v>2504</v>
      </c>
      <c r="I27" s="143" t="str">
        <f t="shared" si="8"/>
        <v>NO EXISTE</v>
      </c>
      <c r="J27" s="143" t="str">
        <f t="shared" si="9"/>
        <v>NO EXISTE</v>
      </c>
      <c r="K27" s="143" t="str">
        <f t="shared" si="10"/>
        <v>NO EXISTE</v>
      </c>
      <c r="L27" s="143" t="str">
        <f t="shared" si="11"/>
        <v>NO EXISTE</v>
      </c>
      <c r="M27" s="143" t="str">
        <f t="shared" si="12"/>
        <v>NO EXISTE</v>
      </c>
      <c r="N27" s="143" t="str">
        <f t="shared" si="13"/>
        <v>NO EXISTE</v>
      </c>
      <c r="O27" s="143" t="str">
        <f t="shared" si="14"/>
        <v>NO EXISTE</v>
      </c>
      <c r="P27" s="143" t="str">
        <f t="shared" si="15"/>
        <v>NO EXISTE</v>
      </c>
      <c r="Q27" s="302" t="s">
        <v>2281</v>
      </c>
      <c r="R27" s="148" t="s">
        <v>594</v>
      </c>
      <c r="S27" s="148" t="s">
        <v>2279</v>
      </c>
      <c r="T27" s="149">
        <v>19</v>
      </c>
      <c r="U27" s="148" t="s">
        <v>596</v>
      </c>
      <c r="V27" s="150">
        <v>4063.02</v>
      </c>
      <c r="W27" s="151">
        <v>2037.81</v>
      </c>
      <c r="X27">
        <v>1</v>
      </c>
    </row>
    <row r="28" spans="1:24" ht="15" customHeight="1" x14ac:dyDescent="0.25">
      <c r="A28" s="148">
        <v>16607</v>
      </c>
      <c r="B28" s="148" t="s">
        <v>2282</v>
      </c>
      <c r="C28" s="143" t="s">
        <v>2504</v>
      </c>
      <c r="D28" s="143" t="s">
        <v>2504</v>
      </c>
      <c r="E28" s="143" t="s">
        <v>2504</v>
      </c>
      <c r="F28" s="143" t="s">
        <v>2504</v>
      </c>
      <c r="G28" s="143" t="s">
        <v>2504</v>
      </c>
      <c r="H28" s="143" t="s">
        <v>2504</v>
      </c>
      <c r="I28" s="143" t="str">
        <f t="shared" si="8"/>
        <v>NO EXISTE</v>
      </c>
      <c r="J28" s="143" t="str">
        <f t="shared" si="9"/>
        <v>NO EXISTE</v>
      </c>
      <c r="K28" s="143" t="str">
        <f t="shared" si="10"/>
        <v>NO EXISTE</v>
      </c>
      <c r="L28" s="143" t="str">
        <f t="shared" si="11"/>
        <v>NO EXISTE</v>
      </c>
      <c r="M28" s="143" t="str">
        <f t="shared" si="12"/>
        <v>NO EXISTE</v>
      </c>
      <c r="N28" s="143" t="str">
        <f t="shared" si="13"/>
        <v>NO EXISTE</v>
      </c>
      <c r="O28" s="143" t="str">
        <f t="shared" si="14"/>
        <v>NO EXISTE</v>
      </c>
      <c r="P28" s="143" t="str">
        <f t="shared" si="15"/>
        <v>NO EXISTE</v>
      </c>
      <c r="Q28" s="302" t="s">
        <v>2283</v>
      </c>
      <c r="R28" s="148" t="s">
        <v>594</v>
      </c>
      <c r="S28" s="148" t="s">
        <v>2279</v>
      </c>
      <c r="T28" s="149">
        <v>19</v>
      </c>
      <c r="U28" s="148" t="s">
        <v>596</v>
      </c>
      <c r="V28" s="150">
        <v>4016.32</v>
      </c>
      <c r="W28" s="151">
        <v>2051.9299999999998</v>
      </c>
      <c r="X28">
        <v>10</v>
      </c>
    </row>
    <row r="29" spans="1:24" ht="15" customHeight="1" x14ac:dyDescent="0.25">
      <c r="A29" s="312">
        <v>16608</v>
      </c>
      <c r="B29" s="312" t="s">
        <v>2284</v>
      </c>
      <c r="C29" s="313" t="s">
        <v>2504</v>
      </c>
      <c r="D29" s="313" t="s">
        <v>2504</v>
      </c>
      <c r="E29" s="313" t="s">
        <v>2504</v>
      </c>
      <c r="F29" s="313" t="s">
        <v>2504</v>
      </c>
      <c r="G29" s="313" t="s">
        <v>2504</v>
      </c>
      <c r="H29" s="313" t="s">
        <v>2504</v>
      </c>
      <c r="I29" s="313" t="str">
        <f t="shared" si="8"/>
        <v>NO EXISTE</v>
      </c>
      <c r="J29" s="313" t="str">
        <f t="shared" si="9"/>
        <v>NO EXISTE</v>
      </c>
      <c r="K29" s="313" t="str">
        <f t="shared" si="10"/>
        <v>NO EXISTE</v>
      </c>
      <c r="L29" s="313" t="str">
        <f t="shared" si="11"/>
        <v>NO EXISTE</v>
      </c>
      <c r="M29" s="313" t="str">
        <f t="shared" si="12"/>
        <v>NO EXISTE</v>
      </c>
      <c r="N29" s="313" t="str">
        <f t="shared" si="13"/>
        <v>NO EXISTE</v>
      </c>
      <c r="O29" s="313" t="str">
        <f t="shared" si="14"/>
        <v>NO EXISTE</v>
      </c>
      <c r="P29" s="313" t="str">
        <f t="shared" si="15"/>
        <v>NO EXISTE</v>
      </c>
      <c r="Q29" s="323" t="s">
        <v>2285</v>
      </c>
      <c r="R29" s="312" t="s">
        <v>594</v>
      </c>
      <c r="S29" s="312" t="s">
        <v>2091</v>
      </c>
      <c r="T29" s="314">
        <v>19</v>
      </c>
      <c r="U29" s="312" t="s">
        <v>596</v>
      </c>
      <c r="V29" s="315">
        <v>3359.79</v>
      </c>
      <c r="W29" s="316">
        <v>2068.5100000000002</v>
      </c>
      <c r="X29">
        <v>1</v>
      </c>
    </row>
    <row r="30" spans="1:24" ht="15" customHeight="1" x14ac:dyDescent="0.25">
      <c r="T30" s="325"/>
      <c r="V30" s="326"/>
      <c r="W30" s="326"/>
    </row>
    <row r="31" spans="1:24" ht="15" customHeight="1" x14ac:dyDescent="0.25">
      <c r="T31" s="325"/>
      <c r="V31" s="326"/>
      <c r="W31" s="326"/>
    </row>
    <row r="32" spans="1:24" ht="15" customHeight="1" x14ac:dyDescent="0.25">
      <c r="T32" s="321"/>
      <c r="V32" s="311"/>
      <c r="W32" s="311"/>
    </row>
    <row r="33" spans="1:23" ht="15" customHeight="1" x14ac:dyDescent="0.25">
      <c r="T33" s="321"/>
      <c r="V33" s="311"/>
      <c r="W33" s="311"/>
    </row>
    <row r="34" spans="1:23" ht="15" customHeight="1" x14ac:dyDescent="0.25">
      <c r="T34" s="321"/>
      <c r="V34" s="311"/>
      <c r="W34" s="311"/>
    </row>
    <row r="35" spans="1:23" ht="15" customHeight="1" x14ac:dyDescent="0.25">
      <c r="A35" s="317">
        <v>48</v>
      </c>
      <c r="B35" s="317" t="s">
        <v>611</v>
      </c>
      <c r="C35" s="317" t="s">
        <v>2504</v>
      </c>
      <c r="D35" s="317" t="s">
        <v>2504</v>
      </c>
      <c r="E35" s="317" t="s">
        <v>2504</v>
      </c>
      <c r="F35" s="317" t="s">
        <v>2504</v>
      </c>
      <c r="G35" s="317" t="s">
        <v>2504</v>
      </c>
      <c r="H35" s="317" t="s">
        <v>2504</v>
      </c>
      <c r="I35" s="317" t="str">
        <f t="shared" ref="I35:I98" si="16">IFERROR(VLOOKUP(B35,Base08,1,FALSE),"NO EXISTE")</f>
        <v>NO EXISTE</v>
      </c>
      <c r="J35" s="317" t="str">
        <f t="shared" ref="J35:J98" si="17">IFERROR(VLOOKUP(B35,Base09,1,FALSE),"NO EXISTE")</f>
        <v>NO EXISTE</v>
      </c>
      <c r="K35" s="317" t="str">
        <f t="shared" ref="K35:K98" si="18">IFERROR(VLOOKUP(B35,Base10,1,FALSE),"NO EXISTE")</f>
        <v>NO EXISTE</v>
      </c>
      <c r="L35" s="317" t="str">
        <f t="shared" ref="L35:L98" si="19">IFERROR(VLOOKUP(B35,Base11,1,FALSE),"NO EXISTE")</f>
        <v>NO EXISTE</v>
      </c>
      <c r="M35" s="317" t="str">
        <f t="shared" ref="M35:M98" si="20">IFERROR(VLOOKUP(B35,Base12,1,FALSE),"NO EXISTE")</f>
        <v>NO EXISTE</v>
      </c>
      <c r="N35" s="317" t="str">
        <f t="shared" ref="N35:N98" si="21">IFERROR(VLOOKUP(B35,Base13,1,FALSE),"NO EXISTE")</f>
        <v>NO EXISTE</v>
      </c>
      <c r="O35" s="317" t="str">
        <f t="shared" ref="O35:O98" si="22">IFERROR(VLOOKUP(B35,Base14,1,FALSE),"NO EXISTE")</f>
        <v>NO EXISTE</v>
      </c>
      <c r="P35" s="317" t="str">
        <f t="shared" ref="P35:P98" si="23">IFERROR(VLOOKUP(B35,Base15,1,FALSE),"NO EXISTE")</f>
        <v>NO EXISTE</v>
      </c>
      <c r="Q35" s="317" t="s">
        <v>612</v>
      </c>
      <c r="R35" s="317" t="s">
        <v>600</v>
      </c>
      <c r="S35" s="317" t="s">
        <v>613</v>
      </c>
      <c r="T35" s="318">
        <v>3.8</v>
      </c>
      <c r="U35" s="317" t="s">
        <v>591</v>
      </c>
      <c r="V35" s="319">
        <v>230.12</v>
      </c>
      <c r="W35" s="320">
        <f>V35*16</f>
        <v>3681.92</v>
      </c>
    </row>
    <row r="36" spans="1:23" ht="15" customHeight="1" x14ac:dyDescent="0.25">
      <c r="A36" s="148">
        <v>50</v>
      </c>
      <c r="B36" s="148" t="s">
        <v>616</v>
      </c>
      <c r="C36" s="143" t="s">
        <v>2504</v>
      </c>
      <c r="D36" s="143" t="s">
        <v>2504</v>
      </c>
      <c r="E36" s="143" t="s">
        <v>2504</v>
      </c>
      <c r="F36" s="143" t="s">
        <v>2504</v>
      </c>
      <c r="G36" s="143" t="s">
        <v>2504</v>
      </c>
      <c r="H36" s="143" t="s">
        <v>2504</v>
      </c>
      <c r="I36" s="143" t="str">
        <f t="shared" si="16"/>
        <v>NO EXISTE</v>
      </c>
      <c r="J36" s="143" t="str">
        <f t="shared" si="17"/>
        <v>NO EXISTE</v>
      </c>
      <c r="K36" s="143" t="str">
        <f t="shared" si="18"/>
        <v>NO EXISTE</v>
      </c>
      <c r="L36" s="143" t="str">
        <f t="shared" si="19"/>
        <v>NO EXISTE</v>
      </c>
      <c r="M36" s="143" t="str">
        <f t="shared" si="20"/>
        <v>NO EXISTE</v>
      </c>
      <c r="N36" s="143" t="str">
        <f t="shared" si="21"/>
        <v>NO EXISTE</v>
      </c>
      <c r="O36" s="143" t="str">
        <f t="shared" si="22"/>
        <v>NO EXISTE</v>
      </c>
      <c r="P36" s="143" t="str">
        <f t="shared" si="23"/>
        <v>NO EXISTE</v>
      </c>
      <c r="Q36" s="148" t="s">
        <v>617</v>
      </c>
      <c r="R36" s="148" t="s">
        <v>606</v>
      </c>
      <c r="S36" s="148" t="s">
        <v>618</v>
      </c>
      <c r="T36" s="149">
        <v>0.95</v>
      </c>
      <c r="U36" s="148" t="s">
        <v>591</v>
      </c>
      <c r="V36" s="150">
        <v>79.349999999999994</v>
      </c>
      <c r="W36" s="151">
        <f>V36*16</f>
        <v>1269.5999999999999</v>
      </c>
    </row>
    <row r="37" spans="1:23" ht="15" customHeight="1" x14ac:dyDescent="0.25">
      <c r="A37" s="148">
        <v>61</v>
      </c>
      <c r="B37" s="148" t="s">
        <v>628</v>
      </c>
      <c r="C37" s="143" t="s">
        <v>2504</v>
      </c>
      <c r="D37" s="143" t="s">
        <v>2504</v>
      </c>
      <c r="E37" s="143" t="s">
        <v>2504</v>
      </c>
      <c r="F37" s="143" t="s">
        <v>2504</v>
      </c>
      <c r="G37" s="143" t="s">
        <v>2504</v>
      </c>
      <c r="H37" s="143" t="s">
        <v>2504</v>
      </c>
      <c r="I37" s="143" t="str">
        <f t="shared" si="16"/>
        <v>NO EXISTE</v>
      </c>
      <c r="J37" s="143" t="str">
        <f t="shared" si="17"/>
        <v>NO EXISTE</v>
      </c>
      <c r="K37" s="143" t="str">
        <f t="shared" si="18"/>
        <v>NO EXISTE</v>
      </c>
      <c r="L37" s="143" t="str">
        <f t="shared" si="19"/>
        <v>NO EXISTE</v>
      </c>
      <c r="M37" s="143" t="str">
        <f t="shared" si="20"/>
        <v>NO EXISTE</v>
      </c>
      <c r="N37" s="143" t="str">
        <f t="shared" si="21"/>
        <v>NO EXISTE</v>
      </c>
      <c r="O37" s="143" t="str">
        <f t="shared" si="22"/>
        <v>NO EXISTE</v>
      </c>
      <c r="P37" s="143" t="str">
        <f t="shared" si="23"/>
        <v>NO EXISTE</v>
      </c>
      <c r="Q37" s="148" t="s">
        <v>629</v>
      </c>
      <c r="R37" s="148" t="s">
        <v>630</v>
      </c>
      <c r="S37" s="148" t="s">
        <v>631</v>
      </c>
      <c r="T37" s="149">
        <v>19</v>
      </c>
      <c r="U37" s="148" t="s">
        <v>591</v>
      </c>
      <c r="V37" s="150">
        <v>1703.51</v>
      </c>
      <c r="W37" s="151">
        <f>V37*16</f>
        <v>27256.16</v>
      </c>
    </row>
    <row r="38" spans="1:23" ht="15" customHeight="1" x14ac:dyDescent="0.25">
      <c r="A38" s="148">
        <v>65</v>
      </c>
      <c r="B38" s="148" t="s">
        <v>635</v>
      </c>
      <c r="C38" s="143" t="s">
        <v>2504</v>
      </c>
      <c r="D38" s="143" t="s">
        <v>2504</v>
      </c>
      <c r="E38" s="143" t="s">
        <v>2504</v>
      </c>
      <c r="F38" s="143" t="s">
        <v>2504</v>
      </c>
      <c r="G38" s="143" t="s">
        <v>2504</v>
      </c>
      <c r="H38" s="143" t="s">
        <v>2504</v>
      </c>
      <c r="I38" s="143" t="str">
        <f t="shared" si="16"/>
        <v>NO EXISTE</v>
      </c>
      <c r="J38" s="143" t="str">
        <f t="shared" si="17"/>
        <v>NO EXISTE</v>
      </c>
      <c r="K38" s="143" t="str">
        <f t="shared" si="18"/>
        <v>NO EXISTE</v>
      </c>
      <c r="L38" s="143" t="str">
        <f t="shared" si="19"/>
        <v>NO EXISTE</v>
      </c>
      <c r="M38" s="143" t="str">
        <f t="shared" si="20"/>
        <v>NO EXISTE</v>
      </c>
      <c r="N38" s="143" t="str">
        <f t="shared" si="21"/>
        <v>NO EXISTE</v>
      </c>
      <c r="O38" s="143" t="str">
        <f t="shared" si="22"/>
        <v>NO EXISTE</v>
      </c>
      <c r="P38" s="143" t="str">
        <f t="shared" si="23"/>
        <v>NO EXISTE</v>
      </c>
      <c r="Q38" s="148" t="s">
        <v>636</v>
      </c>
      <c r="R38" s="148" t="s">
        <v>630</v>
      </c>
      <c r="S38" s="148" t="s">
        <v>631</v>
      </c>
      <c r="T38" s="149">
        <v>200</v>
      </c>
      <c r="U38" s="148" t="s">
        <v>591</v>
      </c>
      <c r="V38" s="150">
        <v>18032.580000000002</v>
      </c>
      <c r="W38" s="151">
        <f>V38*16</f>
        <v>288521.28000000003</v>
      </c>
    </row>
    <row r="39" spans="1:23" ht="15" customHeight="1" x14ac:dyDescent="0.25">
      <c r="A39" s="148">
        <v>124</v>
      </c>
      <c r="B39" s="148" t="s">
        <v>672</v>
      </c>
      <c r="C39" s="143" t="s">
        <v>2504</v>
      </c>
      <c r="D39" s="143" t="s">
        <v>2504</v>
      </c>
      <c r="E39" s="143" t="s">
        <v>2504</v>
      </c>
      <c r="F39" s="143" t="s">
        <v>2504</v>
      </c>
      <c r="G39" s="143" t="s">
        <v>2504</v>
      </c>
      <c r="H39" s="143" t="s">
        <v>2504</v>
      </c>
      <c r="I39" s="143" t="str">
        <f t="shared" si="16"/>
        <v>NO EXISTE</v>
      </c>
      <c r="J39" s="143" t="str">
        <f t="shared" si="17"/>
        <v>NO EXISTE</v>
      </c>
      <c r="K39" s="143" t="str">
        <f t="shared" si="18"/>
        <v>NO EXISTE</v>
      </c>
      <c r="L39" s="143" t="str">
        <f t="shared" si="19"/>
        <v>NO EXISTE</v>
      </c>
      <c r="M39" s="143" t="str">
        <f t="shared" si="20"/>
        <v>NO EXISTE</v>
      </c>
      <c r="N39" s="143" t="str">
        <f t="shared" si="21"/>
        <v>NO EXISTE</v>
      </c>
      <c r="O39" s="143" t="str">
        <f t="shared" si="22"/>
        <v>NO EXISTE</v>
      </c>
      <c r="P39" s="143" t="str">
        <f t="shared" si="23"/>
        <v>NO EXISTE</v>
      </c>
      <c r="Q39" s="148" t="s">
        <v>673</v>
      </c>
      <c r="R39" s="148" t="s">
        <v>594</v>
      </c>
      <c r="S39" s="148" t="s">
        <v>674</v>
      </c>
      <c r="T39" s="149">
        <v>19</v>
      </c>
      <c r="U39" s="148" t="s">
        <v>591</v>
      </c>
      <c r="V39" s="150">
        <v>2221.88</v>
      </c>
      <c r="W39" s="151">
        <f>V39*16</f>
        <v>35550.080000000002</v>
      </c>
    </row>
    <row r="40" spans="1:23" ht="15" customHeight="1" x14ac:dyDescent="0.25">
      <c r="A40" s="148">
        <v>126</v>
      </c>
      <c r="B40" s="148" t="s">
        <v>675</v>
      </c>
      <c r="C40" s="143" t="s">
        <v>2504</v>
      </c>
      <c r="D40" s="143" t="s">
        <v>2504</v>
      </c>
      <c r="E40" s="143" t="s">
        <v>2504</v>
      </c>
      <c r="F40" s="143" t="s">
        <v>2504</v>
      </c>
      <c r="G40" s="143" t="s">
        <v>2504</v>
      </c>
      <c r="H40" s="143" t="s">
        <v>2504</v>
      </c>
      <c r="I40" s="143" t="str">
        <f t="shared" si="16"/>
        <v>NO EXISTE</v>
      </c>
      <c r="J40" s="143" t="str">
        <f t="shared" si="17"/>
        <v>NO EXISTE</v>
      </c>
      <c r="K40" s="143" t="str">
        <f t="shared" si="18"/>
        <v>NO EXISTE</v>
      </c>
      <c r="L40" s="143" t="str">
        <f t="shared" si="19"/>
        <v>NO EXISTE</v>
      </c>
      <c r="M40" s="143" t="str">
        <f t="shared" si="20"/>
        <v>NO EXISTE</v>
      </c>
      <c r="N40" s="143" t="str">
        <f t="shared" si="21"/>
        <v>NO EXISTE</v>
      </c>
      <c r="O40" s="143" t="str">
        <f t="shared" si="22"/>
        <v>NO EXISTE</v>
      </c>
      <c r="P40" s="143" t="str">
        <f t="shared" si="23"/>
        <v>NO EXISTE</v>
      </c>
      <c r="Q40" s="148" t="s">
        <v>676</v>
      </c>
      <c r="R40" s="148" t="s">
        <v>594</v>
      </c>
      <c r="S40" s="148" t="s">
        <v>674</v>
      </c>
      <c r="T40" s="149">
        <v>200</v>
      </c>
      <c r="U40" s="148" t="s">
        <v>591</v>
      </c>
      <c r="V40" s="150">
        <v>23479.21</v>
      </c>
      <c r="W40" s="151">
        <v>2102.5500000000002</v>
      </c>
    </row>
    <row r="41" spans="1:23" ht="15" customHeight="1" x14ac:dyDescent="0.25">
      <c r="A41" s="148">
        <v>178</v>
      </c>
      <c r="B41" s="148" t="s">
        <v>696</v>
      </c>
      <c r="C41" s="143" t="s">
        <v>2504</v>
      </c>
      <c r="D41" s="143" t="s">
        <v>2504</v>
      </c>
      <c r="E41" s="143" t="s">
        <v>2504</v>
      </c>
      <c r="F41" s="143" t="s">
        <v>2504</v>
      </c>
      <c r="G41" s="143" t="s">
        <v>2504</v>
      </c>
      <c r="H41" s="143" t="s">
        <v>2504</v>
      </c>
      <c r="I41" s="143" t="str">
        <f t="shared" si="16"/>
        <v>NO EXISTE</v>
      </c>
      <c r="J41" s="143" t="str">
        <f t="shared" si="17"/>
        <v>NO EXISTE</v>
      </c>
      <c r="K41" s="143" t="str">
        <f t="shared" si="18"/>
        <v>NO EXISTE</v>
      </c>
      <c r="L41" s="143" t="str">
        <f t="shared" si="19"/>
        <v>NO EXISTE</v>
      </c>
      <c r="M41" s="143" t="str">
        <f t="shared" si="20"/>
        <v>NO EXISTE</v>
      </c>
      <c r="N41" s="143" t="str">
        <f t="shared" si="21"/>
        <v>NO EXISTE</v>
      </c>
      <c r="O41" s="143" t="str">
        <f t="shared" si="22"/>
        <v>NO EXISTE</v>
      </c>
      <c r="P41" s="143" t="str">
        <f t="shared" si="23"/>
        <v>NO EXISTE</v>
      </c>
      <c r="Q41" s="148" t="s">
        <v>697</v>
      </c>
      <c r="R41" s="148" t="s">
        <v>694</v>
      </c>
      <c r="S41" s="148" t="s">
        <v>698</v>
      </c>
      <c r="T41" s="149">
        <v>1</v>
      </c>
      <c r="U41" s="148" t="s">
        <v>591</v>
      </c>
      <c r="V41" s="150">
        <v>132.05000000000001</v>
      </c>
      <c r="W41" s="151">
        <v>2216.89</v>
      </c>
    </row>
    <row r="42" spans="1:23" ht="15" customHeight="1" x14ac:dyDescent="0.25">
      <c r="A42" s="148">
        <v>256</v>
      </c>
      <c r="B42" s="148" t="s">
        <v>711</v>
      </c>
      <c r="C42" s="143" t="s">
        <v>2504</v>
      </c>
      <c r="D42" s="143" t="s">
        <v>2504</v>
      </c>
      <c r="E42" s="143" t="s">
        <v>2504</v>
      </c>
      <c r="F42" s="143" t="s">
        <v>2504</v>
      </c>
      <c r="G42" s="143" t="s">
        <v>2504</v>
      </c>
      <c r="H42" s="143" t="s">
        <v>2504</v>
      </c>
      <c r="I42" s="143" t="str">
        <f t="shared" si="16"/>
        <v>NO EXISTE</v>
      </c>
      <c r="J42" s="143" t="str">
        <f t="shared" si="17"/>
        <v>NO EXISTE</v>
      </c>
      <c r="K42" s="143" t="str">
        <f t="shared" si="18"/>
        <v>NO EXISTE</v>
      </c>
      <c r="L42" s="143" t="str">
        <f t="shared" si="19"/>
        <v>NO EXISTE</v>
      </c>
      <c r="M42" s="143" t="str">
        <f t="shared" si="20"/>
        <v>NO EXISTE</v>
      </c>
      <c r="N42" s="143" t="str">
        <f t="shared" si="21"/>
        <v>NO EXISTE</v>
      </c>
      <c r="O42" s="143" t="str">
        <f t="shared" si="22"/>
        <v>NO EXISTE</v>
      </c>
      <c r="P42" s="143" t="str">
        <f t="shared" si="23"/>
        <v>NO EXISTE</v>
      </c>
      <c r="Q42" s="148" t="s">
        <v>712</v>
      </c>
      <c r="R42" s="148" t="s">
        <v>705</v>
      </c>
      <c r="S42" s="148" t="s">
        <v>713</v>
      </c>
      <c r="T42" s="149">
        <v>16</v>
      </c>
      <c r="U42" s="148" t="s">
        <v>591</v>
      </c>
      <c r="V42" s="150">
        <v>1736.68</v>
      </c>
      <c r="W42" s="151">
        <f>V42*4</f>
        <v>6946.72</v>
      </c>
    </row>
    <row r="43" spans="1:23" ht="15" customHeight="1" x14ac:dyDescent="0.25">
      <c r="A43" s="148">
        <v>262</v>
      </c>
      <c r="B43" s="148" t="s">
        <v>716</v>
      </c>
      <c r="C43" s="143" t="s">
        <v>2504</v>
      </c>
      <c r="D43" s="143" t="s">
        <v>2504</v>
      </c>
      <c r="E43" s="143" t="s">
        <v>2504</v>
      </c>
      <c r="F43" s="143" t="s">
        <v>2504</v>
      </c>
      <c r="G43" s="143" t="s">
        <v>2504</v>
      </c>
      <c r="H43" s="143" t="s">
        <v>2504</v>
      </c>
      <c r="I43" s="143" t="str">
        <f t="shared" si="16"/>
        <v>NO EXISTE</v>
      </c>
      <c r="J43" s="143" t="str">
        <f t="shared" si="17"/>
        <v>NO EXISTE</v>
      </c>
      <c r="K43" s="143" t="str">
        <f t="shared" si="18"/>
        <v>NO EXISTE</v>
      </c>
      <c r="L43" s="143" t="str">
        <f t="shared" si="19"/>
        <v>NO EXISTE</v>
      </c>
      <c r="M43" s="143" t="str">
        <f t="shared" si="20"/>
        <v>NO EXISTE</v>
      </c>
      <c r="N43" s="143" t="str">
        <f t="shared" si="21"/>
        <v>NO EXISTE</v>
      </c>
      <c r="O43" s="143" t="str">
        <f t="shared" si="22"/>
        <v>NO EXISTE</v>
      </c>
      <c r="P43" s="143" t="str">
        <f t="shared" si="23"/>
        <v>NO EXISTE</v>
      </c>
      <c r="Q43" s="148" t="s">
        <v>717</v>
      </c>
      <c r="R43" s="148" t="s">
        <v>705</v>
      </c>
      <c r="S43" s="148" t="s">
        <v>713</v>
      </c>
      <c r="T43" s="149">
        <v>170</v>
      </c>
      <c r="U43" s="148" t="s">
        <v>591</v>
      </c>
      <c r="V43" s="150">
        <v>18718.46</v>
      </c>
      <c r="W43" s="151">
        <f>V43*4</f>
        <v>74873.84</v>
      </c>
    </row>
    <row r="44" spans="1:23" ht="15" customHeight="1" x14ac:dyDescent="0.25">
      <c r="A44" s="148">
        <v>294</v>
      </c>
      <c r="B44" s="148" t="s">
        <v>732</v>
      </c>
      <c r="C44" s="143" t="s">
        <v>2504</v>
      </c>
      <c r="D44" s="143" t="s">
        <v>2504</v>
      </c>
      <c r="E44" s="143" t="s">
        <v>2504</v>
      </c>
      <c r="F44" s="143" t="s">
        <v>2504</v>
      </c>
      <c r="G44" s="143" t="s">
        <v>2504</v>
      </c>
      <c r="H44" s="143" t="s">
        <v>2504</v>
      </c>
      <c r="I44" s="143" t="str">
        <f t="shared" si="16"/>
        <v>NO EXISTE</v>
      </c>
      <c r="J44" s="143" t="str">
        <f t="shared" si="17"/>
        <v>NO EXISTE</v>
      </c>
      <c r="K44" s="143" t="str">
        <f t="shared" si="18"/>
        <v>NO EXISTE</v>
      </c>
      <c r="L44" s="143" t="str">
        <f t="shared" si="19"/>
        <v>NO EXISTE</v>
      </c>
      <c r="M44" s="143" t="str">
        <f t="shared" si="20"/>
        <v>NO EXISTE</v>
      </c>
      <c r="N44" s="143" t="str">
        <f t="shared" si="21"/>
        <v>NO EXISTE</v>
      </c>
      <c r="O44" s="143" t="str">
        <f t="shared" si="22"/>
        <v>NO EXISTE</v>
      </c>
      <c r="P44" s="143" t="str">
        <f t="shared" si="23"/>
        <v>NO EXISTE</v>
      </c>
      <c r="Q44" s="148" t="s">
        <v>733</v>
      </c>
      <c r="R44" s="148" t="s">
        <v>705</v>
      </c>
      <c r="S44" s="148" t="s">
        <v>731</v>
      </c>
      <c r="T44" s="149">
        <v>7</v>
      </c>
      <c r="U44" s="148" t="s">
        <v>591</v>
      </c>
      <c r="V44" s="150">
        <v>820.63</v>
      </c>
      <c r="W44" s="151">
        <f>V44*16</f>
        <v>13130.08</v>
      </c>
    </row>
    <row r="45" spans="1:23" ht="15" customHeight="1" x14ac:dyDescent="0.25">
      <c r="A45" s="148">
        <v>363</v>
      </c>
      <c r="B45" s="148" t="s">
        <v>771</v>
      </c>
      <c r="C45" s="143" t="s">
        <v>2504</v>
      </c>
      <c r="D45" s="143" t="s">
        <v>2504</v>
      </c>
      <c r="E45" s="143" t="s">
        <v>2504</v>
      </c>
      <c r="F45" s="143" t="s">
        <v>2504</v>
      </c>
      <c r="G45" s="143" t="s">
        <v>2504</v>
      </c>
      <c r="H45" s="143" t="s">
        <v>2504</v>
      </c>
      <c r="I45" s="143" t="str">
        <f t="shared" si="16"/>
        <v>NO EXISTE</v>
      </c>
      <c r="J45" s="143" t="str">
        <f t="shared" si="17"/>
        <v>NO EXISTE</v>
      </c>
      <c r="K45" s="143" t="str">
        <f t="shared" si="18"/>
        <v>NO EXISTE</v>
      </c>
      <c r="L45" s="143" t="str">
        <f t="shared" si="19"/>
        <v>NO EXISTE</v>
      </c>
      <c r="M45" s="143" t="str">
        <f t="shared" si="20"/>
        <v>NO EXISTE</v>
      </c>
      <c r="N45" s="143" t="str">
        <f t="shared" si="21"/>
        <v>NO EXISTE</v>
      </c>
      <c r="O45" s="143" t="str">
        <f t="shared" si="22"/>
        <v>NO EXISTE</v>
      </c>
      <c r="P45" s="143" t="str">
        <f t="shared" si="23"/>
        <v>NO EXISTE</v>
      </c>
      <c r="Q45" s="148" t="s">
        <v>772</v>
      </c>
      <c r="R45" s="148" t="s">
        <v>600</v>
      </c>
      <c r="S45" s="148" t="s">
        <v>770</v>
      </c>
      <c r="T45" s="149">
        <v>0.443</v>
      </c>
      <c r="U45" s="148" t="s">
        <v>591</v>
      </c>
      <c r="V45" s="150">
        <v>67.849999999999994</v>
      </c>
      <c r="W45" s="151">
        <f>V45*16</f>
        <v>1085.5999999999999</v>
      </c>
    </row>
    <row r="46" spans="1:23" ht="15" customHeight="1" x14ac:dyDescent="0.25">
      <c r="A46" s="148">
        <v>377</v>
      </c>
      <c r="B46" s="148" t="s">
        <v>780</v>
      </c>
      <c r="C46" s="143" t="s">
        <v>2504</v>
      </c>
      <c r="D46" s="143" t="s">
        <v>2504</v>
      </c>
      <c r="E46" s="143" t="s">
        <v>2504</v>
      </c>
      <c r="F46" s="143" t="s">
        <v>2504</v>
      </c>
      <c r="G46" s="143" t="s">
        <v>2504</v>
      </c>
      <c r="H46" s="143" t="s">
        <v>2504</v>
      </c>
      <c r="I46" s="143" t="str">
        <f t="shared" si="16"/>
        <v>NO EXISTE</v>
      </c>
      <c r="J46" s="143" t="str">
        <f t="shared" si="17"/>
        <v>NO EXISTE</v>
      </c>
      <c r="K46" s="143" t="str">
        <f t="shared" si="18"/>
        <v>NO EXISTE</v>
      </c>
      <c r="L46" s="143" t="str">
        <f t="shared" si="19"/>
        <v>NO EXISTE</v>
      </c>
      <c r="M46" s="143" t="str">
        <f t="shared" si="20"/>
        <v>NO EXISTE</v>
      </c>
      <c r="N46" s="143" t="str">
        <f t="shared" si="21"/>
        <v>NO EXISTE</v>
      </c>
      <c r="O46" s="143" t="str">
        <f t="shared" si="22"/>
        <v>NO EXISTE</v>
      </c>
      <c r="P46" s="143" t="str">
        <f t="shared" si="23"/>
        <v>NO EXISTE</v>
      </c>
      <c r="Q46" s="148" t="s">
        <v>781</v>
      </c>
      <c r="R46" s="148" t="s">
        <v>594</v>
      </c>
      <c r="S46" s="148" t="s">
        <v>624</v>
      </c>
      <c r="T46" s="149">
        <v>200</v>
      </c>
      <c r="U46" s="148" t="s">
        <v>591</v>
      </c>
      <c r="V46" s="150">
        <v>21225.919999999998</v>
      </c>
      <c r="W46" s="151">
        <f>V46*16</f>
        <v>339614.71999999997</v>
      </c>
    </row>
    <row r="47" spans="1:23" ht="15" customHeight="1" x14ac:dyDescent="0.25">
      <c r="A47" s="148">
        <v>393</v>
      </c>
      <c r="B47" s="148" t="s">
        <v>784</v>
      </c>
      <c r="C47" s="143" t="s">
        <v>2504</v>
      </c>
      <c r="D47" s="143" t="s">
        <v>2504</v>
      </c>
      <c r="E47" s="143" t="s">
        <v>2504</v>
      </c>
      <c r="F47" s="143" t="s">
        <v>2504</v>
      </c>
      <c r="G47" s="143" t="s">
        <v>2504</v>
      </c>
      <c r="H47" s="143" t="s">
        <v>2504</v>
      </c>
      <c r="I47" s="143" t="str">
        <f t="shared" si="16"/>
        <v>NO EXISTE</v>
      </c>
      <c r="J47" s="143" t="str">
        <f t="shared" si="17"/>
        <v>NO EXISTE</v>
      </c>
      <c r="K47" s="143" t="str">
        <f t="shared" si="18"/>
        <v>NO EXISTE</v>
      </c>
      <c r="L47" s="143" t="str">
        <f t="shared" si="19"/>
        <v>NO EXISTE</v>
      </c>
      <c r="M47" s="143" t="str">
        <f t="shared" si="20"/>
        <v>NO EXISTE</v>
      </c>
      <c r="N47" s="143" t="str">
        <f t="shared" si="21"/>
        <v>NO EXISTE</v>
      </c>
      <c r="O47" s="143" t="str">
        <f t="shared" si="22"/>
        <v>NO EXISTE</v>
      </c>
      <c r="P47" s="143" t="str">
        <f t="shared" si="23"/>
        <v>NO EXISTE</v>
      </c>
      <c r="Q47" s="148" t="s">
        <v>785</v>
      </c>
      <c r="R47" s="148" t="s">
        <v>600</v>
      </c>
      <c r="S47" s="148" t="s">
        <v>783</v>
      </c>
      <c r="T47" s="149">
        <v>0.95</v>
      </c>
      <c r="U47" s="148" t="s">
        <v>591</v>
      </c>
      <c r="V47" s="150">
        <v>111.11</v>
      </c>
      <c r="W47" s="151">
        <v>1703.51</v>
      </c>
    </row>
    <row r="48" spans="1:23" ht="15" customHeight="1" x14ac:dyDescent="0.25">
      <c r="A48" s="148">
        <v>416</v>
      </c>
      <c r="B48" s="148" t="s">
        <v>795</v>
      </c>
      <c r="C48" s="143" t="s">
        <v>2504</v>
      </c>
      <c r="D48" s="143" t="s">
        <v>2504</v>
      </c>
      <c r="E48" s="143" t="s">
        <v>2504</v>
      </c>
      <c r="F48" s="143" t="s">
        <v>2504</v>
      </c>
      <c r="G48" s="143" t="s">
        <v>2504</v>
      </c>
      <c r="H48" s="143" t="s">
        <v>2504</v>
      </c>
      <c r="I48" s="143" t="str">
        <f t="shared" si="16"/>
        <v>NO EXISTE</v>
      </c>
      <c r="J48" s="143" t="str">
        <f t="shared" si="17"/>
        <v>NO EXISTE</v>
      </c>
      <c r="K48" s="143" t="str">
        <f t="shared" si="18"/>
        <v>NO EXISTE</v>
      </c>
      <c r="L48" s="143" t="str">
        <f t="shared" si="19"/>
        <v>NO EXISTE</v>
      </c>
      <c r="M48" s="143" t="str">
        <f t="shared" si="20"/>
        <v>NO EXISTE</v>
      </c>
      <c r="N48" s="143" t="str">
        <f t="shared" si="21"/>
        <v>NO EXISTE</v>
      </c>
      <c r="O48" s="143" t="str">
        <f t="shared" si="22"/>
        <v>NO EXISTE</v>
      </c>
      <c r="P48" s="143" t="str">
        <f t="shared" si="23"/>
        <v>NO EXISTE</v>
      </c>
      <c r="Q48" s="148" t="s">
        <v>796</v>
      </c>
      <c r="R48" s="148" t="s">
        <v>589</v>
      </c>
      <c r="S48" s="148" t="s">
        <v>797</v>
      </c>
      <c r="T48" s="149">
        <v>1</v>
      </c>
      <c r="U48" s="148" t="s">
        <v>591</v>
      </c>
      <c r="V48" s="150">
        <v>50.95</v>
      </c>
      <c r="W48" s="151">
        <v>1974.72</v>
      </c>
    </row>
    <row r="49" spans="1:23" ht="15" customHeight="1" x14ac:dyDescent="0.25">
      <c r="A49" s="148">
        <v>444</v>
      </c>
      <c r="B49" s="148" t="s">
        <v>824</v>
      </c>
      <c r="C49" s="143" t="s">
        <v>2504</v>
      </c>
      <c r="D49" s="143" t="s">
        <v>2504</v>
      </c>
      <c r="E49" s="143" t="s">
        <v>2504</v>
      </c>
      <c r="F49" s="143" t="s">
        <v>2504</v>
      </c>
      <c r="G49" s="143" t="s">
        <v>2504</v>
      </c>
      <c r="H49" s="143" t="s">
        <v>2504</v>
      </c>
      <c r="I49" s="143" t="str">
        <f t="shared" si="16"/>
        <v>NO EXISTE</v>
      </c>
      <c r="J49" s="143" t="str">
        <f t="shared" si="17"/>
        <v>NO EXISTE</v>
      </c>
      <c r="K49" s="143" t="str">
        <f t="shared" si="18"/>
        <v>NO EXISTE</v>
      </c>
      <c r="L49" s="143" t="str">
        <f t="shared" si="19"/>
        <v>NO EXISTE</v>
      </c>
      <c r="M49" s="143" t="str">
        <f t="shared" si="20"/>
        <v>NO EXISTE</v>
      </c>
      <c r="N49" s="143" t="str">
        <f t="shared" si="21"/>
        <v>NO EXISTE</v>
      </c>
      <c r="O49" s="143" t="str">
        <f t="shared" si="22"/>
        <v>NO EXISTE</v>
      </c>
      <c r="P49" s="143" t="str">
        <f t="shared" si="23"/>
        <v>NO EXISTE</v>
      </c>
      <c r="Q49" s="148" t="s">
        <v>825</v>
      </c>
      <c r="R49" s="148" t="s">
        <v>705</v>
      </c>
      <c r="S49" s="148" t="s">
        <v>713</v>
      </c>
      <c r="T49" s="149">
        <v>7</v>
      </c>
      <c r="U49" s="148" t="s">
        <v>591</v>
      </c>
      <c r="V49" s="150">
        <v>791.5</v>
      </c>
      <c r="W49" s="151">
        <v>17259.29</v>
      </c>
    </row>
    <row r="50" spans="1:23" ht="15" customHeight="1" x14ac:dyDescent="0.25">
      <c r="A50" s="148">
        <v>445</v>
      </c>
      <c r="B50" s="148" t="s">
        <v>826</v>
      </c>
      <c r="C50" s="143" t="s">
        <v>2504</v>
      </c>
      <c r="D50" s="143" t="s">
        <v>2504</v>
      </c>
      <c r="E50" s="143" t="s">
        <v>2504</v>
      </c>
      <c r="F50" s="143" t="s">
        <v>2504</v>
      </c>
      <c r="G50" s="143" t="s">
        <v>2504</v>
      </c>
      <c r="H50" s="143" t="s">
        <v>2504</v>
      </c>
      <c r="I50" s="143" t="str">
        <f t="shared" si="16"/>
        <v>NO EXISTE</v>
      </c>
      <c r="J50" s="143" t="str">
        <f t="shared" si="17"/>
        <v>NO EXISTE</v>
      </c>
      <c r="K50" s="143" t="str">
        <f t="shared" si="18"/>
        <v>NO EXISTE</v>
      </c>
      <c r="L50" s="143" t="str">
        <f t="shared" si="19"/>
        <v>NO EXISTE</v>
      </c>
      <c r="M50" s="143" t="str">
        <f t="shared" si="20"/>
        <v>NO EXISTE</v>
      </c>
      <c r="N50" s="143" t="str">
        <f t="shared" si="21"/>
        <v>NO EXISTE</v>
      </c>
      <c r="O50" s="143" t="str">
        <f t="shared" si="22"/>
        <v>NO EXISTE</v>
      </c>
      <c r="P50" s="143" t="str">
        <f t="shared" si="23"/>
        <v>NO EXISTE</v>
      </c>
      <c r="Q50" s="148" t="s">
        <v>827</v>
      </c>
      <c r="R50" s="148" t="s">
        <v>705</v>
      </c>
      <c r="S50" s="148" t="s">
        <v>721</v>
      </c>
      <c r="T50" s="149">
        <v>7</v>
      </c>
      <c r="U50" s="148" t="s">
        <v>591</v>
      </c>
      <c r="V50" s="150">
        <v>1022.17</v>
      </c>
      <c r="W50" s="151">
        <f>V50*16</f>
        <v>16354.72</v>
      </c>
    </row>
    <row r="51" spans="1:23" ht="15" customHeight="1" x14ac:dyDescent="0.25">
      <c r="A51" s="148">
        <v>456</v>
      </c>
      <c r="B51" s="148" t="s">
        <v>833</v>
      </c>
      <c r="C51" s="143" t="s">
        <v>2504</v>
      </c>
      <c r="D51" s="143" t="s">
        <v>2504</v>
      </c>
      <c r="E51" s="143" t="s">
        <v>2504</v>
      </c>
      <c r="F51" s="143" t="s">
        <v>2504</v>
      </c>
      <c r="G51" s="143" t="s">
        <v>2504</v>
      </c>
      <c r="H51" s="143" t="s">
        <v>2504</v>
      </c>
      <c r="I51" s="143" t="str">
        <f t="shared" si="16"/>
        <v>NO EXISTE</v>
      </c>
      <c r="J51" s="143" t="str">
        <f t="shared" si="17"/>
        <v>NO EXISTE</v>
      </c>
      <c r="K51" s="143" t="str">
        <f t="shared" si="18"/>
        <v>NO EXISTE</v>
      </c>
      <c r="L51" s="143" t="str">
        <f t="shared" si="19"/>
        <v>NO EXISTE</v>
      </c>
      <c r="M51" s="143" t="str">
        <f t="shared" si="20"/>
        <v>NO EXISTE</v>
      </c>
      <c r="N51" s="143" t="str">
        <f t="shared" si="21"/>
        <v>NO EXISTE</v>
      </c>
      <c r="O51" s="143" t="str">
        <f t="shared" si="22"/>
        <v>NO EXISTE</v>
      </c>
      <c r="P51" s="143" t="str">
        <f t="shared" si="23"/>
        <v>NO EXISTE</v>
      </c>
      <c r="Q51" s="148" t="s">
        <v>834</v>
      </c>
      <c r="R51" s="148" t="s">
        <v>630</v>
      </c>
      <c r="S51" s="148" t="s">
        <v>835</v>
      </c>
      <c r="T51" s="149">
        <v>1</v>
      </c>
      <c r="U51" s="148" t="s">
        <v>591</v>
      </c>
      <c r="V51" s="150">
        <v>90.11</v>
      </c>
      <c r="W51" s="151">
        <v>1893.43</v>
      </c>
    </row>
    <row r="52" spans="1:23" ht="15" customHeight="1" x14ac:dyDescent="0.25">
      <c r="A52" s="148">
        <v>462</v>
      </c>
      <c r="B52" s="148" t="s">
        <v>841</v>
      </c>
      <c r="C52" s="143" t="s">
        <v>2504</v>
      </c>
      <c r="D52" s="143" t="s">
        <v>2504</v>
      </c>
      <c r="E52" s="143" t="s">
        <v>2504</v>
      </c>
      <c r="F52" s="143" t="s">
        <v>2504</v>
      </c>
      <c r="G52" s="143" t="s">
        <v>2504</v>
      </c>
      <c r="H52" s="143" t="s">
        <v>2504</v>
      </c>
      <c r="I52" s="143" t="str">
        <f t="shared" si="16"/>
        <v>NO EXISTE</v>
      </c>
      <c r="J52" s="143" t="str">
        <f t="shared" si="17"/>
        <v>NO EXISTE</v>
      </c>
      <c r="K52" s="143" t="str">
        <f t="shared" si="18"/>
        <v>NO EXISTE</v>
      </c>
      <c r="L52" s="143" t="str">
        <f t="shared" si="19"/>
        <v>NO EXISTE</v>
      </c>
      <c r="M52" s="143" t="str">
        <f t="shared" si="20"/>
        <v>NO EXISTE</v>
      </c>
      <c r="N52" s="143" t="str">
        <f t="shared" si="21"/>
        <v>NO EXISTE</v>
      </c>
      <c r="O52" s="143" t="str">
        <f t="shared" si="22"/>
        <v>NO EXISTE</v>
      </c>
      <c r="P52" s="143" t="str">
        <f t="shared" si="23"/>
        <v>NO EXISTE</v>
      </c>
      <c r="Q52" s="148" t="s">
        <v>842</v>
      </c>
      <c r="R52" s="148" t="s">
        <v>705</v>
      </c>
      <c r="S52" s="148" t="s">
        <v>727</v>
      </c>
      <c r="T52" s="149">
        <v>7</v>
      </c>
      <c r="U52" s="148" t="s">
        <v>591</v>
      </c>
      <c r="V52" s="150">
        <v>890.25</v>
      </c>
      <c r="W52" s="151">
        <v>1888.64</v>
      </c>
    </row>
    <row r="53" spans="1:23" ht="15" customHeight="1" x14ac:dyDescent="0.25">
      <c r="A53" s="148">
        <v>509</v>
      </c>
      <c r="B53" s="148" t="s">
        <v>859</v>
      </c>
      <c r="C53" s="143" t="s">
        <v>2504</v>
      </c>
      <c r="D53" s="143" t="s">
        <v>2504</v>
      </c>
      <c r="E53" s="143" t="s">
        <v>2504</v>
      </c>
      <c r="F53" s="143" t="s">
        <v>2504</v>
      </c>
      <c r="G53" s="143" t="s">
        <v>2504</v>
      </c>
      <c r="H53" s="143" t="s">
        <v>2504</v>
      </c>
      <c r="I53" s="143" t="str">
        <f t="shared" si="16"/>
        <v>NO EXISTE</v>
      </c>
      <c r="J53" s="143" t="str">
        <f t="shared" si="17"/>
        <v>NO EXISTE</v>
      </c>
      <c r="K53" s="143" t="str">
        <f t="shared" si="18"/>
        <v>NO EXISTE</v>
      </c>
      <c r="L53" s="143" t="str">
        <f t="shared" si="19"/>
        <v>NO EXISTE</v>
      </c>
      <c r="M53" s="143" t="str">
        <f t="shared" si="20"/>
        <v>NO EXISTE</v>
      </c>
      <c r="N53" s="143" t="str">
        <f t="shared" si="21"/>
        <v>NO EXISTE</v>
      </c>
      <c r="O53" s="143" t="str">
        <f t="shared" si="22"/>
        <v>NO EXISTE</v>
      </c>
      <c r="P53" s="143" t="str">
        <f t="shared" si="23"/>
        <v>NO EXISTE</v>
      </c>
      <c r="Q53" s="148" t="s">
        <v>860</v>
      </c>
      <c r="R53" s="148" t="s">
        <v>606</v>
      </c>
      <c r="S53" s="148" t="s">
        <v>852</v>
      </c>
      <c r="T53" s="149">
        <v>200</v>
      </c>
      <c r="U53" s="148" t="s">
        <v>591</v>
      </c>
      <c r="V53" s="150">
        <v>32296.43</v>
      </c>
      <c r="W53" s="151">
        <v>1884.3</v>
      </c>
    </row>
    <row r="54" spans="1:23" ht="15" customHeight="1" x14ac:dyDescent="0.25">
      <c r="A54" s="148">
        <v>510</v>
      </c>
      <c r="B54" s="148" t="s">
        <v>861</v>
      </c>
      <c r="C54" s="143" t="s">
        <v>2504</v>
      </c>
      <c r="D54" s="143" t="s">
        <v>2504</v>
      </c>
      <c r="E54" s="143" t="s">
        <v>2504</v>
      </c>
      <c r="F54" s="143" t="s">
        <v>2504</v>
      </c>
      <c r="G54" s="143" t="s">
        <v>2504</v>
      </c>
      <c r="H54" s="143" t="s">
        <v>2504</v>
      </c>
      <c r="I54" s="143" t="str">
        <f t="shared" si="16"/>
        <v>NO EXISTE</v>
      </c>
      <c r="J54" s="143" t="str">
        <f t="shared" si="17"/>
        <v>NO EXISTE</v>
      </c>
      <c r="K54" s="143" t="str">
        <f t="shared" si="18"/>
        <v>NO EXISTE</v>
      </c>
      <c r="L54" s="143" t="str">
        <f t="shared" si="19"/>
        <v>NO EXISTE</v>
      </c>
      <c r="M54" s="143" t="str">
        <f t="shared" si="20"/>
        <v>NO EXISTE</v>
      </c>
      <c r="N54" s="143" t="str">
        <f t="shared" si="21"/>
        <v>NO EXISTE</v>
      </c>
      <c r="O54" s="143" t="str">
        <f t="shared" si="22"/>
        <v>NO EXISTE</v>
      </c>
      <c r="P54" s="143" t="str">
        <f t="shared" si="23"/>
        <v>NO EXISTE</v>
      </c>
      <c r="Q54" s="148" t="s">
        <v>862</v>
      </c>
      <c r="R54" s="148" t="s">
        <v>606</v>
      </c>
      <c r="S54" s="148" t="s">
        <v>852</v>
      </c>
      <c r="T54" s="149">
        <v>1</v>
      </c>
      <c r="U54" s="148" t="s">
        <v>591</v>
      </c>
      <c r="V54" s="150">
        <v>153.26</v>
      </c>
      <c r="W54" s="151">
        <f>V54*6</f>
        <v>919.56</v>
      </c>
    </row>
    <row r="55" spans="1:23" ht="15" customHeight="1" x14ac:dyDescent="0.25">
      <c r="A55" s="148">
        <v>536</v>
      </c>
      <c r="B55" s="148" t="s">
        <v>872</v>
      </c>
      <c r="C55" s="143" t="s">
        <v>2504</v>
      </c>
      <c r="D55" s="143" t="s">
        <v>2504</v>
      </c>
      <c r="E55" s="143" t="s">
        <v>2504</v>
      </c>
      <c r="F55" s="143" t="s">
        <v>2504</v>
      </c>
      <c r="G55" s="143" t="s">
        <v>2504</v>
      </c>
      <c r="H55" s="143" t="s">
        <v>2504</v>
      </c>
      <c r="I55" s="143" t="str">
        <f t="shared" si="16"/>
        <v>NO EXISTE</v>
      </c>
      <c r="J55" s="143" t="str">
        <f t="shared" si="17"/>
        <v>NO EXISTE</v>
      </c>
      <c r="K55" s="143" t="str">
        <f t="shared" si="18"/>
        <v>NO EXISTE</v>
      </c>
      <c r="L55" s="143" t="str">
        <f t="shared" si="19"/>
        <v>NO EXISTE</v>
      </c>
      <c r="M55" s="143" t="str">
        <f t="shared" si="20"/>
        <v>NO EXISTE</v>
      </c>
      <c r="N55" s="143" t="str">
        <f t="shared" si="21"/>
        <v>NO EXISTE</v>
      </c>
      <c r="O55" s="143" t="str">
        <f t="shared" si="22"/>
        <v>NO EXISTE</v>
      </c>
      <c r="P55" s="143" t="str">
        <f t="shared" si="23"/>
        <v>NO EXISTE</v>
      </c>
      <c r="Q55" s="148" t="s">
        <v>873</v>
      </c>
      <c r="R55" s="148" t="s">
        <v>606</v>
      </c>
      <c r="S55" s="148" t="s">
        <v>645</v>
      </c>
      <c r="T55" s="149">
        <v>5</v>
      </c>
      <c r="U55" s="148" t="s">
        <v>591</v>
      </c>
      <c r="V55" s="150">
        <v>507.3</v>
      </c>
      <c r="W55" s="151">
        <v>20035.990000000002</v>
      </c>
    </row>
    <row r="56" spans="1:23" ht="15" customHeight="1" x14ac:dyDescent="0.25">
      <c r="A56" s="148">
        <v>548</v>
      </c>
      <c r="B56" s="148" t="s">
        <v>876</v>
      </c>
      <c r="C56" s="143" t="s">
        <v>2504</v>
      </c>
      <c r="D56" s="143" t="s">
        <v>2504</v>
      </c>
      <c r="E56" s="143" t="s">
        <v>2504</v>
      </c>
      <c r="F56" s="143" t="s">
        <v>2504</v>
      </c>
      <c r="G56" s="143" t="s">
        <v>2504</v>
      </c>
      <c r="H56" s="143" t="s">
        <v>2504</v>
      </c>
      <c r="I56" s="143" t="str">
        <f t="shared" si="16"/>
        <v>NO EXISTE</v>
      </c>
      <c r="J56" s="143" t="str">
        <f t="shared" si="17"/>
        <v>NO EXISTE</v>
      </c>
      <c r="K56" s="143" t="str">
        <f t="shared" si="18"/>
        <v>NO EXISTE</v>
      </c>
      <c r="L56" s="143" t="str">
        <f t="shared" si="19"/>
        <v>NO EXISTE</v>
      </c>
      <c r="M56" s="143" t="str">
        <f t="shared" si="20"/>
        <v>NO EXISTE</v>
      </c>
      <c r="N56" s="143" t="str">
        <f t="shared" si="21"/>
        <v>NO EXISTE</v>
      </c>
      <c r="O56" s="143" t="str">
        <f t="shared" si="22"/>
        <v>NO EXISTE</v>
      </c>
      <c r="P56" s="143" t="str">
        <f t="shared" si="23"/>
        <v>NO EXISTE</v>
      </c>
      <c r="Q56" s="148" t="s">
        <v>877</v>
      </c>
      <c r="R56" s="148" t="s">
        <v>606</v>
      </c>
      <c r="S56" s="148" t="s">
        <v>661</v>
      </c>
      <c r="T56" s="149">
        <v>1</v>
      </c>
      <c r="U56" s="148" t="s">
        <v>591</v>
      </c>
      <c r="V56" s="150">
        <v>97.84</v>
      </c>
      <c r="W56" s="151">
        <v>20009.310000000001</v>
      </c>
    </row>
    <row r="57" spans="1:23" ht="15" customHeight="1" x14ac:dyDescent="0.25">
      <c r="A57" s="148">
        <v>549</v>
      </c>
      <c r="B57" s="148" t="s">
        <v>878</v>
      </c>
      <c r="C57" s="143" t="s">
        <v>2504</v>
      </c>
      <c r="D57" s="143" t="s">
        <v>2504</v>
      </c>
      <c r="E57" s="143" t="s">
        <v>2504</v>
      </c>
      <c r="F57" s="143" t="s">
        <v>2504</v>
      </c>
      <c r="G57" s="143" t="s">
        <v>2504</v>
      </c>
      <c r="H57" s="143" t="s">
        <v>2504</v>
      </c>
      <c r="I57" s="143" t="str">
        <f t="shared" si="16"/>
        <v>NO EXISTE</v>
      </c>
      <c r="J57" s="143" t="str">
        <f t="shared" si="17"/>
        <v>NO EXISTE</v>
      </c>
      <c r="K57" s="143" t="str">
        <f t="shared" si="18"/>
        <v>NO EXISTE</v>
      </c>
      <c r="L57" s="143" t="str">
        <f t="shared" si="19"/>
        <v>NO EXISTE</v>
      </c>
      <c r="M57" s="143" t="str">
        <f t="shared" si="20"/>
        <v>NO EXISTE</v>
      </c>
      <c r="N57" s="143" t="str">
        <f t="shared" si="21"/>
        <v>NO EXISTE</v>
      </c>
      <c r="O57" s="143" t="str">
        <f t="shared" si="22"/>
        <v>NO EXISTE</v>
      </c>
      <c r="P57" s="143" t="str">
        <f t="shared" si="23"/>
        <v>NO EXISTE</v>
      </c>
      <c r="Q57" s="148" t="s">
        <v>879</v>
      </c>
      <c r="R57" s="148" t="s">
        <v>606</v>
      </c>
      <c r="S57" s="148" t="s">
        <v>661</v>
      </c>
      <c r="T57" s="149">
        <v>1</v>
      </c>
      <c r="U57" s="148" t="s">
        <v>591</v>
      </c>
      <c r="V57" s="150">
        <v>97.77</v>
      </c>
      <c r="W57" s="151">
        <v>19902.939999999999</v>
      </c>
    </row>
    <row r="58" spans="1:23" ht="15" customHeight="1" x14ac:dyDescent="0.25">
      <c r="A58" s="148">
        <v>553</v>
      </c>
      <c r="B58" s="148" t="s">
        <v>880</v>
      </c>
      <c r="C58" s="143" t="s">
        <v>2504</v>
      </c>
      <c r="D58" s="143" t="s">
        <v>2504</v>
      </c>
      <c r="E58" s="143" t="s">
        <v>2504</v>
      </c>
      <c r="F58" s="143" t="s">
        <v>2504</v>
      </c>
      <c r="G58" s="143" t="s">
        <v>2504</v>
      </c>
      <c r="H58" s="143" t="s">
        <v>2504</v>
      </c>
      <c r="I58" s="143" t="str">
        <f t="shared" si="16"/>
        <v>NO EXISTE</v>
      </c>
      <c r="J58" s="143" t="str">
        <f t="shared" si="17"/>
        <v>NO EXISTE</v>
      </c>
      <c r="K58" s="143" t="str">
        <f t="shared" si="18"/>
        <v>NO EXISTE</v>
      </c>
      <c r="L58" s="143" t="str">
        <f t="shared" si="19"/>
        <v>NO EXISTE</v>
      </c>
      <c r="M58" s="143" t="str">
        <f t="shared" si="20"/>
        <v>NO EXISTE</v>
      </c>
      <c r="N58" s="143" t="str">
        <f t="shared" si="21"/>
        <v>NO EXISTE</v>
      </c>
      <c r="O58" s="143" t="str">
        <f t="shared" si="22"/>
        <v>NO EXISTE</v>
      </c>
      <c r="P58" s="143" t="str">
        <f t="shared" si="23"/>
        <v>NO EXISTE</v>
      </c>
      <c r="Q58" s="148" t="s">
        <v>881</v>
      </c>
      <c r="R58" s="148" t="s">
        <v>594</v>
      </c>
      <c r="S58" s="148" t="s">
        <v>776</v>
      </c>
      <c r="T58" s="149">
        <v>1</v>
      </c>
      <c r="U58" s="148" t="s">
        <v>591</v>
      </c>
      <c r="V58" s="150">
        <v>103.87</v>
      </c>
      <c r="W58" s="151">
        <f>V58*4</f>
        <v>415.48</v>
      </c>
    </row>
    <row r="59" spans="1:23" ht="15" customHeight="1" x14ac:dyDescent="0.25">
      <c r="A59" s="148">
        <v>584</v>
      </c>
      <c r="B59" s="148" t="s">
        <v>884</v>
      </c>
      <c r="C59" s="143" t="s">
        <v>2504</v>
      </c>
      <c r="D59" s="143" t="s">
        <v>2504</v>
      </c>
      <c r="E59" s="143" t="s">
        <v>2504</v>
      </c>
      <c r="F59" s="143" t="s">
        <v>2504</v>
      </c>
      <c r="G59" s="143" t="s">
        <v>2504</v>
      </c>
      <c r="H59" s="143" t="s">
        <v>2504</v>
      </c>
      <c r="I59" s="143" t="str">
        <f t="shared" si="16"/>
        <v>NO EXISTE</v>
      </c>
      <c r="J59" s="143" t="str">
        <f t="shared" si="17"/>
        <v>NO EXISTE</v>
      </c>
      <c r="K59" s="143" t="str">
        <f t="shared" si="18"/>
        <v>NO EXISTE</v>
      </c>
      <c r="L59" s="143" t="str">
        <f t="shared" si="19"/>
        <v>NO EXISTE</v>
      </c>
      <c r="M59" s="143" t="str">
        <f t="shared" si="20"/>
        <v>NO EXISTE</v>
      </c>
      <c r="N59" s="143" t="str">
        <f t="shared" si="21"/>
        <v>NO EXISTE</v>
      </c>
      <c r="O59" s="143" t="str">
        <f t="shared" si="22"/>
        <v>NO EXISTE</v>
      </c>
      <c r="P59" s="143" t="str">
        <f t="shared" si="23"/>
        <v>NO EXISTE</v>
      </c>
      <c r="Q59" s="148" t="s">
        <v>885</v>
      </c>
      <c r="R59" s="148" t="s">
        <v>630</v>
      </c>
      <c r="S59" s="148" t="s">
        <v>886</v>
      </c>
      <c r="T59" s="149">
        <v>1</v>
      </c>
      <c r="U59" s="148" t="s">
        <v>591</v>
      </c>
      <c r="V59" s="150">
        <v>98.1</v>
      </c>
      <c r="W59" s="151">
        <f>V59*4</f>
        <v>392.4</v>
      </c>
    </row>
    <row r="60" spans="1:23" ht="15" customHeight="1" x14ac:dyDescent="0.25">
      <c r="A60" s="148">
        <v>586</v>
      </c>
      <c r="B60" s="148" t="s">
        <v>888</v>
      </c>
      <c r="C60" s="143" t="s">
        <v>2504</v>
      </c>
      <c r="D60" s="143" t="s">
        <v>2504</v>
      </c>
      <c r="E60" s="143" t="s">
        <v>2504</v>
      </c>
      <c r="F60" s="143" t="s">
        <v>2504</v>
      </c>
      <c r="G60" s="143" t="s">
        <v>2504</v>
      </c>
      <c r="H60" s="143" t="s">
        <v>2504</v>
      </c>
      <c r="I60" s="143" t="str">
        <f t="shared" si="16"/>
        <v>NO EXISTE</v>
      </c>
      <c r="J60" s="143" t="str">
        <f t="shared" si="17"/>
        <v>NO EXISTE</v>
      </c>
      <c r="K60" s="143" t="str">
        <f t="shared" si="18"/>
        <v>NO EXISTE</v>
      </c>
      <c r="L60" s="143" t="str">
        <f t="shared" si="19"/>
        <v>NO EXISTE</v>
      </c>
      <c r="M60" s="143" t="str">
        <f t="shared" si="20"/>
        <v>NO EXISTE</v>
      </c>
      <c r="N60" s="143" t="str">
        <f t="shared" si="21"/>
        <v>NO EXISTE</v>
      </c>
      <c r="O60" s="143" t="str">
        <f t="shared" si="22"/>
        <v>NO EXISTE</v>
      </c>
      <c r="P60" s="143" t="str">
        <f t="shared" si="23"/>
        <v>NO EXISTE</v>
      </c>
      <c r="Q60" s="148" t="s">
        <v>889</v>
      </c>
      <c r="R60" s="148" t="s">
        <v>705</v>
      </c>
      <c r="S60" s="148" t="s">
        <v>713</v>
      </c>
      <c r="T60" s="149">
        <v>3.5</v>
      </c>
      <c r="U60" s="148" t="s">
        <v>591</v>
      </c>
      <c r="V60" s="150">
        <v>399.36</v>
      </c>
      <c r="W60" s="151">
        <f>V60*4</f>
        <v>1597.44</v>
      </c>
    </row>
    <row r="61" spans="1:23" ht="15" customHeight="1" x14ac:dyDescent="0.25">
      <c r="A61" s="148">
        <v>619</v>
      </c>
      <c r="B61" s="148" t="s">
        <v>903</v>
      </c>
      <c r="C61" s="143" t="s">
        <v>2504</v>
      </c>
      <c r="D61" s="143" t="s">
        <v>2504</v>
      </c>
      <c r="E61" s="143" t="s">
        <v>2504</v>
      </c>
      <c r="F61" s="143" t="s">
        <v>2504</v>
      </c>
      <c r="G61" s="143" t="s">
        <v>2504</v>
      </c>
      <c r="H61" s="143" t="s">
        <v>2504</v>
      </c>
      <c r="I61" s="143" t="str">
        <f t="shared" si="16"/>
        <v>NO EXISTE</v>
      </c>
      <c r="J61" s="143" t="str">
        <f t="shared" si="17"/>
        <v>NO EXISTE</v>
      </c>
      <c r="K61" s="143" t="str">
        <f t="shared" si="18"/>
        <v>NO EXISTE</v>
      </c>
      <c r="L61" s="143" t="str">
        <f t="shared" si="19"/>
        <v>NO EXISTE</v>
      </c>
      <c r="M61" s="143" t="str">
        <f t="shared" si="20"/>
        <v>NO EXISTE</v>
      </c>
      <c r="N61" s="143" t="str">
        <f t="shared" si="21"/>
        <v>NO EXISTE</v>
      </c>
      <c r="O61" s="143" t="str">
        <f t="shared" si="22"/>
        <v>NO EXISTE</v>
      </c>
      <c r="P61" s="143" t="str">
        <f t="shared" si="23"/>
        <v>NO EXISTE</v>
      </c>
      <c r="Q61" s="148" t="s">
        <v>904</v>
      </c>
      <c r="R61" s="148" t="s">
        <v>630</v>
      </c>
      <c r="S61" s="148" t="s">
        <v>631</v>
      </c>
      <c r="T61" s="149">
        <v>200</v>
      </c>
      <c r="U61" s="148" t="s">
        <v>591</v>
      </c>
      <c r="V61" s="150">
        <v>18060.41</v>
      </c>
      <c r="W61" s="151">
        <v>1965.31</v>
      </c>
    </row>
    <row r="62" spans="1:23" ht="15" customHeight="1" x14ac:dyDescent="0.25">
      <c r="A62" s="148">
        <v>620</v>
      </c>
      <c r="B62" s="148" t="s">
        <v>905</v>
      </c>
      <c r="C62" s="143" t="s">
        <v>2504</v>
      </c>
      <c r="D62" s="143" t="s">
        <v>2504</v>
      </c>
      <c r="E62" s="143" t="s">
        <v>2504</v>
      </c>
      <c r="F62" s="143" t="s">
        <v>2504</v>
      </c>
      <c r="G62" s="143" t="s">
        <v>2504</v>
      </c>
      <c r="H62" s="143" t="s">
        <v>2504</v>
      </c>
      <c r="I62" s="143" t="str">
        <f t="shared" si="16"/>
        <v>NO EXISTE</v>
      </c>
      <c r="J62" s="143" t="str">
        <f t="shared" si="17"/>
        <v>NO EXISTE</v>
      </c>
      <c r="K62" s="143" t="str">
        <f t="shared" si="18"/>
        <v>NO EXISTE</v>
      </c>
      <c r="L62" s="143" t="str">
        <f t="shared" si="19"/>
        <v>NO EXISTE</v>
      </c>
      <c r="M62" s="143" t="str">
        <f t="shared" si="20"/>
        <v>NO EXISTE</v>
      </c>
      <c r="N62" s="143" t="str">
        <f t="shared" si="21"/>
        <v>NO EXISTE</v>
      </c>
      <c r="O62" s="143" t="str">
        <f t="shared" si="22"/>
        <v>NO EXISTE</v>
      </c>
      <c r="P62" s="143" t="str">
        <f t="shared" si="23"/>
        <v>NO EXISTE</v>
      </c>
      <c r="Q62" s="148" t="s">
        <v>906</v>
      </c>
      <c r="R62" s="148" t="s">
        <v>630</v>
      </c>
      <c r="S62" s="148" t="s">
        <v>631</v>
      </c>
      <c r="T62" s="149">
        <v>5</v>
      </c>
      <c r="U62" s="148" t="s">
        <v>591</v>
      </c>
      <c r="V62" s="150">
        <v>467.93</v>
      </c>
      <c r="W62" s="151">
        <v>1963.67</v>
      </c>
    </row>
    <row r="63" spans="1:23" ht="15" customHeight="1" x14ac:dyDescent="0.25">
      <c r="A63" s="148">
        <v>633</v>
      </c>
      <c r="B63" s="148" t="s">
        <v>908</v>
      </c>
      <c r="C63" s="143" t="s">
        <v>2504</v>
      </c>
      <c r="D63" s="143" t="s">
        <v>2504</v>
      </c>
      <c r="E63" s="143" t="s">
        <v>2504</v>
      </c>
      <c r="F63" s="143" t="s">
        <v>2504</v>
      </c>
      <c r="G63" s="143" t="s">
        <v>2504</v>
      </c>
      <c r="H63" s="143" t="s">
        <v>2504</v>
      </c>
      <c r="I63" s="143" t="str">
        <f t="shared" si="16"/>
        <v>NO EXISTE</v>
      </c>
      <c r="J63" s="143" t="str">
        <f t="shared" si="17"/>
        <v>NO EXISTE</v>
      </c>
      <c r="K63" s="143" t="str">
        <f t="shared" si="18"/>
        <v>NO EXISTE</v>
      </c>
      <c r="L63" s="143" t="str">
        <f t="shared" si="19"/>
        <v>NO EXISTE</v>
      </c>
      <c r="M63" s="143" t="str">
        <f t="shared" si="20"/>
        <v>NO EXISTE</v>
      </c>
      <c r="N63" s="143" t="str">
        <f t="shared" si="21"/>
        <v>NO EXISTE</v>
      </c>
      <c r="O63" s="143" t="str">
        <f t="shared" si="22"/>
        <v>NO EXISTE</v>
      </c>
      <c r="P63" s="143" t="str">
        <f t="shared" si="23"/>
        <v>NO EXISTE</v>
      </c>
      <c r="Q63" s="148" t="s">
        <v>909</v>
      </c>
      <c r="R63" s="148" t="s">
        <v>606</v>
      </c>
      <c r="S63" s="148" t="s">
        <v>910</v>
      </c>
      <c r="T63" s="149">
        <v>1</v>
      </c>
      <c r="U63" s="148" t="s">
        <v>591</v>
      </c>
      <c r="V63" s="150">
        <v>153.88</v>
      </c>
      <c r="W63" s="151">
        <v>20902.12</v>
      </c>
    </row>
    <row r="64" spans="1:23" ht="15" customHeight="1" x14ac:dyDescent="0.25">
      <c r="A64" s="148">
        <v>634</v>
      </c>
      <c r="B64" s="148" t="s">
        <v>911</v>
      </c>
      <c r="C64" s="143" t="s">
        <v>2504</v>
      </c>
      <c r="D64" s="143" t="s">
        <v>2504</v>
      </c>
      <c r="E64" s="143" t="s">
        <v>2504</v>
      </c>
      <c r="F64" s="143" t="s">
        <v>2504</v>
      </c>
      <c r="G64" s="143" t="s">
        <v>2504</v>
      </c>
      <c r="H64" s="143" t="s">
        <v>2504</v>
      </c>
      <c r="I64" s="143" t="str">
        <f t="shared" si="16"/>
        <v>NO EXISTE</v>
      </c>
      <c r="J64" s="143" t="str">
        <f t="shared" si="17"/>
        <v>NO EXISTE</v>
      </c>
      <c r="K64" s="143" t="str">
        <f t="shared" si="18"/>
        <v>NO EXISTE</v>
      </c>
      <c r="L64" s="143" t="str">
        <f t="shared" si="19"/>
        <v>NO EXISTE</v>
      </c>
      <c r="M64" s="143" t="str">
        <f t="shared" si="20"/>
        <v>NO EXISTE</v>
      </c>
      <c r="N64" s="143" t="str">
        <f t="shared" si="21"/>
        <v>NO EXISTE</v>
      </c>
      <c r="O64" s="143" t="str">
        <f t="shared" si="22"/>
        <v>NO EXISTE</v>
      </c>
      <c r="P64" s="143" t="str">
        <f t="shared" si="23"/>
        <v>NO EXISTE</v>
      </c>
      <c r="Q64" s="148" t="s">
        <v>912</v>
      </c>
      <c r="R64" s="148" t="s">
        <v>606</v>
      </c>
      <c r="S64" s="148" t="s">
        <v>913</v>
      </c>
      <c r="T64" s="149">
        <v>1</v>
      </c>
      <c r="U64" s="148" t="s">
        <v>591</v>
      </c>
      <c r="V64" s="150">
        <v>176.55</v>
      </c>
      <c r="W64" s="151">
        <v>20794.060000000001</v>
      </c>
    </row>
    <row r="65" spans="1:23" ht="15" customHeight="1" x14ac:dyDescent="0.25">
      <c r="A65" s="148">
        <v>636</v>
      </c>
      <c r="B65" s="148" t="s">
        <v>914</v>
      </c>
      <c r="C65" s="143" t="s">
        <v>2504</v>
      </c>
      <c r="D65" s="143" t="s">
        <v>2504</v>
      </c>
      <c r="E65" s="143" t="s">
        <v>2504</v>
      </c>
      <c r="F65" s="143" t="s">
        <v>2504</v>
      </c>
      <c r="G65" s="143" t="s">
        <v>2504</v>
      </c>
      <c r="H65" s="143" t="s">
        <v>2504</v>
      </c>
      <c r="I65" s="143" t="str">
        <f t="shared" si="16"/>
        <v>NO EXISTE</v>
      </c>
      <c r="J65" s="143" t="str">
        <f t="shared" si="17"/>
        <v>NO EXISTE</v>
      </c>
      <c r="K65" s="143" t="str">
        <f t="shared" si="18"/>
        <v>NO EXISTE</v>
      </c>
      <c r="L65" s="143" t="str">
        <f t="shared" si="19"/>
        <v>NO EXISTE</v>
      </c>
      <c r="M65" s="143" t="str">
        <f t="shared" si="20"/>
        <v>NO EXISTE</v>
      </c>
      <c r="N65" s="143" t="str">
        <f t="shared" si="21"/>
        <v>NO EXISTE</v>
      </c>
      <c r="O65" s="143" t="str">
        <f t="shared" si="22"/>
        <v>NO EXISTE</v>
      </c>
      <c r="P65" s="143" t="str">
        <f t="shared" si="23"/>
        <v>NO EXISTE</v>
      </c>
      <c r="Q65" s="148" t="s">
        <v>915</v>
      </c>
      <c r="R65" s="148" t="s">
        <v>606</v>
      </c>
      <c r="S65" s="148" t="s">
        <v>615</v>
      </c>
      <c r="T65" s="149">
        <v>19</v>
      </c>
      <c r="U65" s="148" t="s">
        <v>591</v>
      </c>
      <c r="V65" s="150">
        <v>3647.21</v>
      </c>
      <c r="W65" s="151">
        <v>20773.36</v>
      </c>
    </row>
    <row r="66" spans="1:23" ht="15" customHeight="1" x14ac:dyDescent="0.25">
      <c r="A66" s="148">
        <v>637</v>
      </c>
      <c r="B66" s="148" t="s">
        <v>916</v>
      </c>
      <c r="C66" s="143" t="s">
        <v>2504</v>
      </c>
      <c r="D66" s="143" t="s">
        <v>2504</v>
      </c>
      <c r="E66" s="143" t="s">
        <v>2504</v>
      </c>
      <c r="F66" s="143" t="s">
        <v>2504</v>
      </c>
      <c r="G66" s="143" t="s">
        <v>2504</v>
      </c>
      <c r="H66" s="143" t="s">
        <v>2504</v>
      </c>
      <c r="I66" s="143" t="str">
        <f t="shared" si="16"/>
        <v>NO EXISTE</v>
      </c>
      <c r="J66" s="143" t="str">
        <f t="shared" si="17"/>
        <v>NO EXISTE</v>
      </c>
      <c r="K66" s="143" t="str">
        <f t="shared" si="18"/>
        <v>NO EXISTE</v>
      </c>
      <c r="L66" s="143" t="str">
        <f t="shared" si="19"/>
        <v>NO EXISTE</v>
      </c>
      <c r="M66" s="143" t="str">
        <f t="shared" si="20"/>
        <v>NO EXISTE</v>
      </c>
      <c r="N66" s="143" t="str">
        <f t="shared" si="21"/>
        <v>NO EXISTE</v>
      </c>
      <c r="O66" s="143" t="str">
        <f t="shared" si="22"/>
        <v>NO EXISTE</v>
      </c>
      <c r="P66" s="143" t="str">
        <f t="shared" si="23"/>
        <v>NO EXISTE</v>
      </c>
      <c r="Q66" s="148" t="s">
        <v>917</v>
      </c>
      <c r="R66" s="148" t="s">
        <v>606</v>
      </c>
      <c r="S66" s="148" t="s">
        <v>910</v>
      </c>
      <c r="T66" s="149">
        <v>200</v>
      </c>
      <c r="U66" s="148" t="s">
        <v>591</v>
      </c>
      <c r="V66" s="150">
        <v>33254.53</v>
      </c>
      <c r="W66" s="151">
        <f>V66*15</f>
        <v>498817.94999999995</v>
      </c>
    </row>
    <row r="67" spans="1:23" ht="15" customHeight="1" x14ac:dyDescent="0.25">
      <c r="A67" s="148">
        <v>638</v>
      </c>
      <c r="B67" s="148" t="s">
        <v>918</v>
      </c>
      <c r="C67" s="143" t="s">
        <v>2504</v>
      </c>
      <c r="D67" s="143" t="s">
        <v>2504</v>
      </c>
      <c r="E67" s="143" t="s">
        <v>2504</v>
      </c>
      <c r="F67" s="143" t="s">
        <v>2504</v>
      </c>
      <c r="G67" s="143" t="s">
        <v>2504</v>
      </c>
      <c r="H67" s="143" t="s">
        <v>2504</v>
      </c>
      <c r="I67" s="143" t="str">
        <f t="shared" si="16"/>
        <v>NO EXISTE</v>
      </c>
      <c r="J67" s="143" t="str">
        <f t="shared" si="17"/>
        <v>NO EXISTE</v>
      </c>
      <c r="K67" s="143" t="str">
        <f t="shared" si="18"/>
        <v>NO EXISTE</v>
      </c>
      <c r="L67" s="143" t="str">
        <f t="shared" si="19"/>
        <v>NO EXISTE</v>
      </c>
      <c r="M67" s="143" t="str">
        <f t="shared" si="20"/>
        <v>NO EXISTE</v>
      </c>
      <c r="N67" s="143" t="str">
        <f t="shared" si="21"/>
        <v>NO EXISTE</v>
      </c>
      <c r="O67" s="143" t="str">
        <f t="shared" si="22"/>
        <v>NO EXISTE</v>
      </c>
      <c r="P67" s="143" t="str">
        <f t="shared" si="23"/>
        <v>NO EXISTE</v>
      </c>
      <c r="Q67" s="148" t="s">
        <v>919</v>
      </c>
      <c r="R67" s="148" t="s">
        <v>606</v>
      </c>
      <c r="S67" s="148" t="s">
        <v>913</v>
      </c>
      <c r="T67" s="149">
        <v>200</v>
      </c>
      <c r="U67" s="148" t="s">
        <v>591</v>
      </c>
      <c r="V67" s="150">
        <v>38476.31</v>
      </c>
      <c r="W67" s="151">
        <f>V67*15</f>
        <v>577144.64999999991</v>
      </c>
    </row>
    <row r="68" spans="1:23" ht="15" customHeight="1" x14ac:dyDescent="0.25">
      <c r="A68" s="148">
        <v>650</v>
      </c>
      <c r="B68" s="148" t="s">
        <v>924</v>
      </c>
      <c r="C68" s="143" t="s">
        <v>2504</v>
      </c>
      <c r="D68" s="143" t="s">
        <v>2504</v>
      </c>
      <c r="E68" s="143" t="s">
        <v>2504</v>
      </c>
      <c r="F68" s="143" t="s">
        <v>2504</v>
      </c>
      <c r="G68" s="143" t="s">
        <v>2504</v>
      </c>
      <c r="H68" s="143" t="s">
        <v>2504</v>
      </c>
      <c r="I68" s="143" t="str">
        <f t="shared" si="16"/>
        <v>NO EXISTE</v>
      </c>
      <c r="J68" s="143" t="str">
        <f t="shared" si="17"/>
        <v>NO EXISTE</v>
      </c>
      <c r="K68" s="143" t="str">
        <f t="shared" si="18"/>
        <v>NO EXISTE</v>
      </c>
      <c r="L68" s="143" t="str">
        <f t="shared" si="19"/>
        <v>NO EXISTE</v>
      </c>
      <c r="M68" s="143" t="str">
        <f t="shared" si="20"/>
        <v>NO EXISTE</v>
      </c>
      <c r="N68" s="143" t="str">
        <f t="shared" si="21"/>
        <v>NO EXISTE</v>
      </c>
      <c r="O68" s="143" t="str">
        <f t="shared" si="22"/>
        <v>NO EXISTE</v>
      </c>
      <c r="P68" s="143" t="str">
        <f t="shared" si="23"/>
        <v>NO EXISTE</v>
      </c>
      <c r="Q68" s="148" t="s">
        <v>925</v>
      </c>
      <c r="R68" s="148" t="s">
        <v>630</v>
      </c>
      <c r="S68" s="148" t="s">
        <v>631</v>
      </c>
      <c r="T68" s="149">
        <v>5</v>
      </c>
      <c r="U68" s="148" t="s">
        <v>591</v>
      </c>
      <c r="V68" s="150">
        <v>468.1</v>
      </c>
      <c r="W68" s="151">
        <v>2221.88</v>
      </c>
    </row>
    <row r="69" spans="1:23" ht="15" customHeight="1" x14ac:dyDescent="0.25">
      <c r="A69" s="148">
        <v>687</v>
      </c>
      <c r="B69" s="148" t="s">
        <v>939</v>
      </c>
      <c r="C69" s="143" t="s">
        <v>2504</v>
      </c>
      <c r="D69" s="143" t="s">
        <v>2504</v>
      </c>
      <c r="E69" s="143" t="s">
        <v>2504</v>
      </c>
      <c r="F69" s="143" t="s">
        <v>2504</v>
      </c>
      <c r="G69" s="143" t="s">
        <v>2504</v>
      </c>
      <c r="H69" s="143" t="s">
        <v>2504</v>
      </c>
      <c r="I69" s="143" t="str">
        <f t="shared" si="16"/>
        <v>NO EXISTE</v>
      </c>
      <c r="J69" s="143" t="str">
        <f t="shared" si="17"/>
        <v>NO EXISTE</v>
      </c>
      <c r="K69" s="143" t="str">
        <f t="shared" si="18"/>
        <v>NO EXISTE</v>
      </c>
      <c r="L69" s="143" t="str">
        <f t="shared" si="19"/>
        <v>NO EXISTE</v>
      </c>
      <c r="M69" s="143" t="str">
        <f t="shared" si="20"/>
        <v>NO EXISTE</v>
      </c>
      <c r="N69" s="143" t="str">
        <f t="shared" si="21"/>
        <v>NO EXISTE</v>
      </c>
      <c r="O69" s="143" t="str">
        <f t="shared" si="22"/>
        <v>NO EXISTE</v>
      </c>
      <c r="P69" s="143" t="str">
        <f t="shared" si="23"/>
        <v>NO EXISTE</v>
      </c>
      <c r="Q69" s="148" t="s">
        <v>940</v>
      </c>
      <c r="R69" s="148" t="s">
        <v>694</v>
      </c>
      <c r="S69" s="148" t="s">
        <v>941</v>
      </c>
      <c r="T69" s="149">
        <v>1</v>
      </c>
      <c r="U69" s="148" t="s">
        <v>591</v>
      </c>
      <c r="V69" s="150">
        <v>65.760000000000005</v>
      </c>
      <c r="W69" s="151">
        <v>23479.21</v>
      </c>
    </row>
    <row r="70" spans="1:23" ht="15" customHeight="1" x14ac:dyDescent="0.25">
      <c r="A70" s="148">
        <v>707</v>
      </c>
      <c r="B70" s="148" t="s">
        <v>945</v>
      </c>
      <c r="C70" s="143" t="s">
        <v>2504</v>
      </c>
      <c r="D70" s="143" t="s">
        <v>2504</v>
      </c>
      <c r="E70" s="143" t="s">
        <v>2504</v>
      </c>
      <c r="F70" s="143" t="s">
        <v>2504</v>
      </c>
      <c r="G70" s="143" t="s">
        <v>2504</v>
      </c>
      <c r="H70" s="143" t="s">
        <v>2504</v>
      </c>
      <c r="I70" s="143" t="str">
        <f t="shared" si="16"/>
        <v>NO EXISTE</v>
      </c>
      <c r="J70" s="143" t="str">
        <f t="shared" si="17"/>
        <v>NO EXISTE</v>
      </c>
      <c r="K70" s="143" t="str">
        <f t="shared" si="18"/>
        <v>NO EXISTE</v>
      </c>
      <c r="L70" s="143" t="str">
        <f t="shared" si="19"/>
        <v>NO EXISTE</v>
      </c>
      <c r="M70" s="143" t="str">
        <f t="shared" si="20"/>
        <v>NO EXISTE</v>
      </c>
      <c r="N70" s="143" t="str">
        <f t="shared" si="21"/>
        <v>NO EXISTE</v>
      </c>
      <c r="O70" s="143" t="str">
        <f t="shared" si="22"/>
        <v>NO EXISTE</v>
      </c>
      <c r="P70" s="143" t="str">
        <f t="shared" si="23"/>
        <v>NO EXISTE</v>
      </c>
      <c r="Q70" s="148" t="s">
        <v>946</v>
      </c>
      <c r="R70" s="148" t="s">
        <v>606</v>
      </c>
      <c r="S70" s="148" t="s">
        <v>494</v>
      </c>
      <c r="T70" s="149">
        <v>200</v>
      </c>
      <c r="U70" s="148" t="s">
        <v>591</v>
      </c>
      <c r="V70" s="150">
        <v>100241.53</v>
      </c>
      <c r="W70" s="151">
        <f>V70*16</f>
        <v>1603864.48</v>
      </c>
    </row>
    <row r="71" spans="1:23" ht="15" customHeight="1" x14ac:dyDescent="0.25">
      <c r="A71" s="148">
        <v>766</v>
      </c>
      <c r="B71" s="148" t="s">
        <v>959</v>
      </c>
      <c r="C71" s="143" t="s">
        <v>2504</v>
      </c>
      <c r="D71" s="143" t="s">
        <v>2504</v>
      </c>
      <c r="E71" s="143" t="s">
        <v>2504</v>
      </c>
      <c r="F71" s="143" t="s">
        <v>2504</v>
      </c>
      <c r="G71" s="143" t="s">
        <v>2504</v>
      </c>
      <c r="H71" s="143" t="s">
        <v>2504</v>
      </c>
      <c r="I71" s="143" t="str">
        <f t="shared" si="16"/>
        <v>NO EXISTE</v>
      </c>
      <c r="J71" s="143" t="str">
        <f t="shared" si="17"/>
        <v>NO EXISTE</v>
      </c>
      <c r="K71" s="143" t="str">
        <f t="shared" si="18"/>
        <v>NO EXISTE</v>
      </c>
      <c r="L71" s="143" t="str">
        <f t="shared" si="19"/>
        <v>NO EXISTE</v>
      </c>
      <c r="M71" s="143" t="str">
        <f t="shared" si="20"/>
        <v>NO EXISTE</v>
      </c>
      <c r="N71" s="143" t="str">
        <f t="shared" si="21"/>
        <v>NO EXISTE</v>
      </c>
      <c r="O71" s="143" t="str">
        <f t="shared" si="22"/>
        <v>NO EXISTE</v>
      </c>
      <c r="P71" s="143" t="str">
        <f t="shared" si="23"/>
        <v>NO EXISTE</v>
      </c>
      <c r="Q71" s="148" t="s">
        <v>960</v>
      </c>
      <c r="R71" s="148" t="s">
        <v>606</v>
      </c>
      <c r="S71" s="148" t="s">
        <v>961</v>
      </c>
      <c r="T71" s="149">
        <v>200</v>
      </c>
      <c r="U71" s="148" t="s">
        <v>591</v>
      </c>
      <c r="V71" s="150">
        <v>84812.66</v>
      </c>
      <c r="W71" s="151">
        <f>V71*4</f>
        <v>339250.64</v>
      </c>
    </row>
    <row r="72" spans="1:23" ht="15" customHeight="1" x14ac:dyDescent="0.25">
      <c r="A72" s="148">
        <v>770</v>
      </c>
      <c r="B72" s="148" t="s">
        <v>963</v>
      </c>
      <c r="C72" s="143" t="s">
        <v>2504</v>
      </c>
      <c r="D72" s="143" t="s">
        <v>2504</v>
      </c>
      <c r="E72" s="143" t="s">
        <v>2504</v>
      </c>
      <c r="F72" s="143" t="s">
        <v>2504</v>
      </c>
      <c r="G72" s="143" t="s">
        <v>2504</v>
      </c>
      <c r="H72" s="143" t="s">
        <v>2504</v>
      </c>
      <c r="I72" s="143" t="str">
        <f t="shared" si="16"/>
        <v>NO EXISTE</v>
      </c>
      <c r="J72" s="143" t="str">
        <f t="shared" si="17"/>
        <v>NO EXISTE</v>
      </c>
      <c r="K72" s="143" t="str">
        <f t="shared" si="18"/>
        <v>NO EXISTE</v>
      </c>
      <c r="L72" s="143" t="str">
        <f t="shared" si="19"/>
        <v>NO EXISTE</v>
      </c>
      <c r="M72" s="143" t="str">
        <f t="shared" si="20"/>
        <v>NO EXISTE</v>
      </c>
      <c r="N72" s="143" t="str">
        <f t="shared" si="21"/>
        <v>NO EXISTE</v>
      </c>
      <c r="O72" s="143" t="str">
        <f t="shared" si="22"/>
        <v>NO EXISTE</v>
      </c>
      <c r="P72" s="143" t="str">
        <f t="shared" si="23"/>
        <v>NO EXISTE</v>
      </c>
      <c r="Q72" s="148" t="s">
        <v>964</v>
      </c>
      <c r="R72" s="148" t="s">
        <v>606</v>
      </c>
      <c r="S72" s="148" t="s">
        <v>965</v>
      </c>
      <c r="T72" s="149">
        <v>19</v>
      </c>
      <c r="U72" s="148" t="s">
        <v>591</v>
      </c>
      <c r="V72" s="150">
        <v>8350.8700000000008</v>
      </c>
      <c r="W72" s="151">
        <f>V72*16</f>
        <v>133613.92000000001</v>
      </c>
    </row>
    <row r="73" spans="1:23" ht="15" customHeight="1" x14ac:dyDescent="0.25">
      <c r="A73" s="148">
        <v>771</v>
      </c>
      <c r="B73" s="148" t="s">
        <v>966</v>
      </c>
      <c r="C73" s="143" t="s">
        <v>2504</v>
      </c>
      <c r="D73" s="143" t="s">
        <v>2504</v>
      </c>
      <c r="E73" s="143" t="s">
        <v>2504</v>
      </c>
      <c r="F73" s="143" t="s">
        <v>2504</v>
      </c>
      <c r="G73" s="143" t="s">
        <v>2504</v>
      </c>
      <c r="H73" s="143" t="s">
        <v>2504</v>
      </c>
      <c r="I73" s="143" t="str">
        <f t="shared" si="16"/>
        <v>NO EXISTE</v>
      </c>
      <c r="J73" s="143" t="str">
        <f t="shared" si="17"/>
        <v>NO EXISTE</v>
      </c>
      <c r="K73" s="143" t="str">
        <f t="shared" si="18"/>
        <v>NO EXISTE</v>
      </c>
      <c r="L73" s="143" t="str">
        <f t="shared" si="19"/>
        <v>NO EXISTE</v>
      </c>
      <c r="M73" s="143" t="str">
        <f t="shared" si="20"/>
        <v>NO EXISTE</v>
      </c>
      <c r="N73" s="143" t="str">
        <f t="shared" si="21"/>
        <v>NO EXISTE</v>
      </c>
      <c r="O73" s="143" t="str">
        <f t="shared" si="22"/>
        <v>NO EXISTE</v>
      </c>
      <c r="P73" s="143" t="str">
        <f t="shared" si="23"/>
        <v>NO EXISTE</v>
      </c>
      <c r="Q73" s="148" t="s">
        <v>967</v>
      </c>
      <c r="R73" s="148" t="s">
        <v>606</v>
      </c>
      <c r="S73" s="148" t="s">
        <v>965</v>
      </c>
      <c r="T73" s="149">
        <v>200</v>
      </c>
      <c r="U73" s="148" t="s">
        <v>591</v>
      </c>
      <c r="V73" s="150">
        <v>88030.1</v>
      </c>
      <c r="W73" s="151">
        <f>V73*4</f>
        <v>352120.4</v>
      </c>
    </row>
    <row r="74" spans="1:23" ht="15" customHeight="1" x14ac:dyDescent="0.25">
      <c r="A74" s="148">
        <v>889</v>
      </c>
      <c r="B74" s="148" t="s">
        <v>1007</v>
      </c>
      <c r="C74" s="143" t="s">
        <v>2504</v>
      </c>
      <c r="D74" s="143" t="s">
        <v>2504</v>
      </c>
      <c r="E74" s="143" t="s">
        <v>2504</v>
      </c>
      <c r="F74" s="143" t="s">
        <v>2504</v>
      </c>
      <c r="G74" s="143" t="s">
        <v>2504</v>
      </c>
      <c r="H74" s="143" t="s">
        <v>2504</v>
      </c>
      <c r="I74" s="143" t="str">
        <f t="shared" si="16"/>
        <v>NO EXISTE</v>
      </c>
      <c r="J74" s="143" t="str">
        <f t="shared" si="17"/>
        <v>NO EXISTE</v>
      </c>
      <c r="K74" s="143" t="str">
        <f t="shared" si="18"/>
        <v>NO EXISTE</v>
      </c>
      <c r="L74" s="143" t="str">
        <f t="shared" si="19"/>
        <v>NO EXISTE</v>
      </c>
      <c r="M74" s="143" t="str">
        <f t="shared" si="20"/>
        <v>NO EXISTE</v>
      </c>
      <c r="N74" s="143" t="str">
        <f t="shared" si="21"/>
        <v>NO EXISTE</v>
      </c>
      <c r="O74" s="143" t="str">
        <f t="shared" si="22"/>
        <v>NO EXISTE</v>
      </c>
      <c r="P74" s="143" t="str">
        <f t="shared" si="23"/>
        <v>NO EXISTE</v>
      </c>
      <c r="Q74" s="148" t="s">
        <v>1008</v>
      </c>
      <c r="R74" s="148" t="s">
        <v>630</v>
      </c>
      <c r="S74" s="148" t="s">
        <v>1009</v>
      </c>
      <c r="T74" s="149">
        <v>1</v>
      </c>
      <c r="U74" s="148" t="s">
        <v>591</v>
      </c>
      <c r="V74" s="150">
        <v>158.75</v>
      </c>
      <c r="W74" s="151">
        <v>1830.3</v>
      </c>
    </row>
    <row r="75" spans="1:23" ht="15" customHeight="1" x14ac:dyDescent="0.25">
      <c r="A75" s="148">
        <v>898</v>
      </c>
      <c r="B75" s="148" t="s">
        <v>1013</v>
      </c>
      <c r="C75" s="143" t="s">
        <v>2504</v>
      </c>
      <c r="D75" s="143" t="s">
        <v>2504</v>
      </c>
      <c r="E75" s="143" t="s">
        <v>2504</v>
      </c>
      <c r="F75" s="143" t="s">
        <v>2504</v>
      </c>
      <c r="G75" s="143" t="s">
        <v>2504</v>
      </c>
      <c r="H75" s="143" t="s">
        <v>2504</v>
      </c>
      <c r="I75" s="143" t="str">
        <f t="shared" si="16"/>
        <v>NO EXISTE</v>
      </c>
      <c r="J75" s="143" t="str">
        <f t="shared" si="17"/>
        <v>NO EXISTE</v>
      </c>
      <c r="K75" s="143" t="str">
        <f t="shared" si="18"/>
        <v>NO EXISTE</v>
      </c>
      <c r="L75" s="143" t="str">
        <f t="shared" si="19"/>
        <v>NO EXISTE</v>
      </c>
      <c r="M75" s="143" t="str">
        <f t="shared" si="20"/>
        <v>NO EXISTE</v>
      </c>
      <c r="N75" s="143" t="str">
        <f t="shared" si="21"/>
        <v>NO EXISTE</v>
      </c>
      <c r="O75" s="143" t="str">
        <f t="shared" si="22"/>
        <v>NO EXISTE</v>
      </c>
      <c r="P75" s="143" t="str">
        <f t="shared" si="23"/>
        <v>NO EXISTE</v>
      </c>
      <c r="Q75" s="148" t="s">
        <v>1014</v>
      </c>
      <c r="R75" s="148" t="s">
        <v>594</v>
      </c>
      <c r="S75" s="148" t="s">
        <v>1012</v>
      </c>
      <c r="T75" s="149">
        <v>19</v>
      </c>
      <c r="U75" s="148" t="s">
        <v>591</v>
      </c>
      <c r="V75" s="150">
        <v>2705.2</v>
      </c>
      <c r="W75" s="151">
        <v>19372.91</v>
      </c>
    </row>
    <row r="76" spans="1:23" ht="15" customHeight="1" x14ac:dyDescent="0.25">
      <c r="A76" s="148">
        <v>899</v>
      </c>
      <c r="B76" s="148" t="s">
        <v>1015</v>
      </c>
      <c r="C76" s="143" t="s">
        <v>2504</v>
      </c>
      <c r="D76" s="143" t="s">
        <v>2504</v>
      </c>
      <c r="E76" s="143" t="s">
        <v>2504</v>
      </c>
      <c r="F76" s="143" t="s">
        <v>2504</v>
      </c>
      <c r="G76" s="143" t="s">
        <v>2504</v>
      </c>
      <c r="H76" s="143" t="s">
        <v>2504</v>
      </c>
      <c r="I76" s="143" t="str">
        <f t="shared" si="16"/>
        <v>NO EXISTE</v>
      </c>
      <c r="J76" s="143" t="str">
        <f t="shared" si="17"/>
        <v>NO EXISTE</v>
      </c>
      <c r="K76" s="143" t="str">
        <f t="shared" si="18"/>
        <v>NO EXISTE</v>
      </c>
      <c r="L76" s="143" t="str">
        <f t="shared" si="19"/>
        <v>NO EXISTE</v>
      </c>
      <c r="M76" s="143" t="str">
        <f t="shared" si="20"/>
        <v>NO EXISTE</v>
      </c>
      <c r="N76" s="143" t="str">
        <f t="shared" si="21"/>
        <v>NO EXISTE</v>
      </c>
      <c r="O76" s="143" t="str">
        <f t="shared" si="22"/>
        <v>NO EXISTE</v>
      </c>
      <c r="P76" s="143" t="str">
        <f t="shared" si="23"/>
        <v>NO EXISTE</v>
      </c>
      <c r="Q76" s="148" t="s">
        <v>1016</v>
      </c>
      <c r="R76" s="148" t="s">
        <v>594</v>
      </c>
      <c r="S76" s="148" t="s">
        <v>1012</v>
      </c>
      <c r="T76" s="149">
        <v>200</v>
      </c>
      <c r="U76" s="148" t="s">
        <v>591</v>
      </c>
      <c r="V76" s="150">
        <v>28167.87</v>
      </c>
      <c r="W76" s="151">
        <f>V76*16</f>
        <v>450685.92</v>
      </c>
    </row>
    <row r="77" spans="1:23" ht="15" customHeight="1" x14ac:dyDescent="0.25">
      <c r="A77" s="148">
        <v>904</v>
      </c>
      <c r="B77" s="148" t="s">
        <v>1019</v>
      </c>
      <c r="C77" s="143" t="s">
        <v>2504</v>
      </c>
      <c r="D77" s="143" t="s">
        <v>2504</v>
      </c>
      <c r="E77" s="143" t="s">
        <v>2504</v>
      </c>
      <c r="F77" s="143" t="s">
        <v>2504</v>
      </c>
      <c r="G77" s="143" t="s">
        <v>2504</v>
      </c>
      <c r="H77" s="143" t="s">
        <v>2504</v>
      </c>
      <c r="I77" s="143" t="str">
        <f t="shared" si="16"/>
        <v>NO EXISTE</v>
      </c>
      <c r="J77" s="143" t="str">
        <f t="shared" si="17"/>
        <v>NO EXISTE</v>
      </c>
      <c r="K77" s="143" t="str">
        <f t="shared" si="18"/>
        <v>NO EXISTE</v>
      </c>
      <c r="L77" s="143" t="str">
        <f t="shared" si="19"/>
        <v>NO EXISTE</v>
      </c>
      <c r="M77" s="143" t="str">
        <f t="shared" si="20"/>
        <v>NO EXISTE</v>
      </c>
      <c r="N77" s="143" t="str">
        <f t="shared" si="21"/>
        <v>NO EXISTE</v>
      </c>
      <c r="O77" s="143" t="str">
        <f t="shared" si="22"/>
        <v>NO EXISTE</v>
      </c>
      <c r="P77" s="143" t="str">
        <f t="shared" si="23"/>
        <v>NO EXISTE</v>
      </c>
      <c r="Q77" s="148" t="s">
        <v>1020</v>
      </c>
      <c r="R77" s="148" t="s">
        <v>694</v>
      </c>
      <c r="S77" s="148" t="s">
        <v>698</v>
      </c>
      <c r="T77" s="149">
        <v>1</v>
      </c>
      <c r="U77" s="148" t="s">
        <v>591</v>
      </c>
      <c r="V77" s="150">
        <v>115.36</v>
      </c>
      <c r="W77" s="151">
        <f>V77*4</f>
        <v>461.44</v>
      </c>
    </row>
    <row r="78" spans="1:23" ht="15" customHeight="1" x14ac:dyDescent="0.25">
      <c r="A78" s="148">
        <v>1090</v>
      </c>
      <c r="B78" s="148" t="s">
        <v>1027</v>
      </c>
      <c r="C78" s="143" t="s">
        <v>2504</v>
      </c>
      <c r="D78" s="143" t="s">
        <v>2504</v>
      </c>
      <c r="E78" s="143" t="s">
        <v>2504</v>
      </c>
      <c r="F78" s="143" t="s">
        <v>2504</v>
      </c>
      <c r="G78" s="143" t="s">
        <v>2504</v>
      </c>
      <c r="H78" s="143" t="s">
        <v>2504</v>
      </c>
      <c r="I78" s="143" t="str">
        <f t="shared" si="16"/>
        <v>NO EXISTE</v>
      </c>
      <c r="J78" s="143" t="str">
        <f t="shared" si="17"/>
        <v>NO EXISTE</v>
      </c>
      <c r="K78" s="143" t="str">
        <f t="shared" si="18"/>
        <v>NO EXISTE</v>
      </c>
      <c r="L78" s="143" t="str">
        <f t="shared" si="19"/>
        <v>NO EXISTE</v>
      </c>
      <c r="M78" s="143" t="str">
        <f t="shared" si="20"/>
        <v>NO EXISTE</v>
      </c>
      <c r="N78" s="143" t="str">
        <f t="shared" si="21"/>
        <v>NO EXISTE</v>
      </c>
      <c r="O78" s="143" t="str">
        <f t="shared" si="22"/>
        <v>NO EXISTE</v>
      </c>
      <c r="P78" s="143" t="str">
        <f t="shared" si="23"/>
        <v>NO EXISTE</v>
      </c>
      <c r="Q78" s="148" t="s">
        <v>1028</v>
      </c>
      <c r="R78" s="148" t="s">
        <v>705</v>
      </c>
      <c r="S78" s="148" t="s">
        <v>713</v>
      </c>
      <c r="T78" s="149">
        <v>7</v>
      </c>
      <c r="U78" s="148" t="s">
        <v>591</v>
      </c>
      <c r="V78" s="150">
        <v>792.14</v>
      </c>
      <c r="W78" s="151">
        <v>1825.26</v>
      </c>
    </row>
    <row r="79" spans="1:23" ht="15" customHeight="1" x14ac:dyDescent="0.25">
      <c r="A79" s="148">
        <v>1091</v>
      </c>
      <c r="B79" s="148" t="s">
        <v>1029</v>
      </c>
      <c r="C79" s="143" t="s">
        <v>2504</v>
      </c>
      <c r="D79" s="143" t="s">
        <v>2504</v>
      </c>
      <c r="E79" s="143" t="s">
        <v>2504</v>
      </c>
      <c r="F79" s="143" t="s">
        <v>2504</v>
      </c>
      <c r="G79" s="143" t="s">
        <v>2504</v>
      </c>
      <c r="H79" s="143" t="s">
        <v>2504</v>
      </c>
      <c r="I79" s="143" t="str">
        <f t="shared" si="16"/>
        <v>NO EXISTE</v>
      </c>
      <c r="J79" s="143" t="str">
        <f t="shared" si="17"/>
        <v>NO EXISTE</v>
      </c>
      <c r="K79" s="143" t="str">
        <f t="shared" si="18"/>
        <v>NO EXISTE</v>
      </c>
      <c r="L79" s="143" t="str">
        <f t="shared" si="19"/>
        <v>NO EXISTE</v>
      </c>
      <c r="M79" s="143" t="str">
        <f t="shared" si="20"/>
        <v>NO EXISTE</v>
      </c>
      <c r="N79" s="143" t="str">
        <f t="shared" si="21"/>
        <v>NO EXISTE</v>
      </c>
      <c r="O79" s="143" t="str">
        <f t="shared" si="22"/>
        <v>NO EXISTE</v>
      </c>
      <c r="P79" s="143" t="str">
        <f t="shared" si="23"/>
        <v>NO EXISTE</v>
      </c>
      <c r="Q79" s="148" t="s">
        <v>1030</v>
      </c>
      <c r="R79" s="148" t="s">
        <v>705</v>
      </c>
      <c r="S79" s="148" t="s">
        <v>713</v>
      </c>
      <c r="T79" s="149">
        <v>7</v>
      </c>
      <c r="U79" s="148" t="s">
        <v>591</v>
      </c>
      <c r="V79" s="150">
        <v>793.04</v>
      </c>
      <c r="W79" s="151">
        <v>19318.41</v>
      </c>
    </row>
    <row r="80" spans="1:23" ht="15" customHeight="1" x14ac:dyDescent="0.25">
      <c r="A80" s="148">
        <v>1108</v>
      </c>
      <c r="B80" s="148" t="s">
        <v>1034</v>
      </c>
      <c r="C80" s="143" t="s">
        <v>2504</v>
      </c>
      <c r="D80" s="143" t="s">
        <v>2504</v>
      </c>
      <c r="E80" s="143" t="s">
        <v>2504</v>
      </c>
      <c r="F80" s="143" t="s">
        <v>2504</v>
      </c>
      <c r="G80" s="143" t="s">
        <v>2504</v>
      </c>
      <c r="H80" s="143" t="s">
        <v>2504</v>
      </c>
      <c r="I80" s="143" t="str">
        <f t="shared" si="16"/>
        <v>NO EXISTE</v>
      </c>
      <c r="J80" s="143" t="str">
        <f t="shared" si="17"/>
        <v>NO EXISTE</v>
      </c>
      <c r="K80" s="143" t="str">
        <f t="shared" si="18"/>
        <v>NO EXISTE</v>
      </c>
      <c r="L80" s="143" t="str">
        <f t="shared" si="19"/>
        <v>NO EXISTE</v>
      </c>
      <c r="M80" s="143" t="str">
        <f t="shared" si="20"/>
        <v>NO EXISTE</v>
      </c>
      <c r="N80" s="143" t="str">
        <f t="shared" si="21"/>
        <v>NO EXISTE</v>
      </c>
      <c r="O80" s="143" t="str">
        <f t="shared" si="22"/>
        <v>NO EXISTE</v>
      </c>
      <c r="P80" s="143" t="str">
        <f t="shared" si="23"/>
        <v>NO EXISTE</v>
      </c>
      <c r="Q80" s="148" t="s">
        <v>1035</v>
      </c>
      <c r="R80" s="148" t="s">
        <v>630</v>
      </c>
      <c r="S80" s="148" t="s">
        <v>812</v>
      </c>
      <c r="T80" s="149">
        <v>200</v>
      </c>
      <c r="U80" s="148" t="s">
        <v>591</v>
      </c>
      <c r="V80" s="150">
        <v>43508.17</v>
      </c>
      <c r="W80" s="151">
        <f>V80*16</f>
        <v>696130.72</v>
      </c>
    </row>
    <row r="81" spans="1:23" ht="15" customHeight="1" x14ac:dyDescent="0.25">
      <c r="A81" s="148">
        <v>1162</v>
      </c>
      <c r="B81" s="148" t="s">
        <v>1039</v>
      </c>
      <c r="C81" s="143" t="s">
        <v>2504</v>
      </c>
      <c r="D81" s="143" t="s">
        <v>2504</v>
      </c>
      <c r="E81" s="143" t="s">
        <v>2504</v>
      </c>
      <c r="F81" s="143" t="s">
        <v>2504</v>
      </c>
      <c r="G81" s="143" t="s">
        <v>2504</v>
      </c>
      <c r="H81" s="143" t="s">
        <v>2504</v>
      </c>
      <c r="I81" s="143" t="str">
        <f t="shared" si="16"/>
        <v>NO EXISTE</v>
      </c>
      <c r="J81" s="143" t="str">
        <f t="shared" si="17"/>
        <v>NO EXISTE</v>
      </c>
      <c r="K81" s="143" t="str">
        <f t="shared" si="18"/>
        <v>NO EXISTE</v>
      </c>
      <c r="L81" s="143" t="str">
        <f t="shared" si="19"/>
        <v>NO EXISTE</v>
      </c>
      <c r="M81" s="143" t="str">
        <f t="shared" si="20"/>
        <v>NO EXISTE</v>
      </c>
      <c r="N81" s="143" t="str">
        <f t="shared" si="21"/>
        <v>NO EXISTE</v>
      </c>
      <c r="O81" s="143" t="str">
        <f t="shared" si="22"/>
        <v>NO EXISTE</v>
      </c>
      <c r="P81" s="143" t="str">
        <f t="shared" si="23"/>
        <v>NO EXISTE</v>
      </c>
      <c r="Q81" s="148" t="s">
        <v>1040</v>
      </c>
      <c r="R81" s="148" t="s">
        <v>594</v>
      </c>
      <c r="S81" s="148" t="s">
        <v>1012</v>
      </c>
      <c r="T81" s="149">
        <v>1</v>
      </c>
      <c r="U81" s="148" t="s">
        <v>591</v>
      </c>
      <c r="V81" s="150">
        <v>134.65</v>
      </c>
      <c r="W81" s="151">
        <f>V81*4</f>
        <v>538.6</v>
      </c>
    </row>
    <row r="82" spans="1:23" ht="15" customHeight="1" x14ac:dyDescent="0.25">
      <c r="A82" s="148">
        <v>1170</v>
      </c>
      <c r="B82" s="148" t="s">
        <v>1044</v>
      </c>
      <c r="C82" s="143" t="s">
        <v>2504</v>
      </c>
      <c r="D82" s="143" t="s">
        <v>2504</v>
      </c>
      <c r="E82" s="143" t="s">
        <v>2504</v>
      </c>
      <c r="F82" s="143" t="s">
        <v>2504</v>
      </c>
      <c r="G82" s="143" t="s">
        <v>2504</v>
      </c>
      <c r="H82" s="143" t="s">
        <v>2504</v>
      </c>
      <c r="I82" s="143" t="str">
        <f t="shared" si="16"/>
        <v>NO EXISTE</v>
      </c>
      <c r="J82" s="143" t="str">
        <f t="shared" si="17"/>
        <v>NO EXISTE</v>
      </c>
      <c r="K82" s="143" t="str">
        <f t="shared" si="18"/>
        <v>NO EXISTE</v>
      </c>
      <c r="L82" s="143" t="str">
        <f t="shared" si="19"/>
        <v>NO EXISTE</v>
      </c>
      <c r="M82" s="143" t="str">
        <f t="shared" si="20"/>
        <v>NO EXISTE</v>
      </c>
      <c r="N82" s="143" t="str">
        <f t="shared" si="21"/>
        <v>NO EXISTE</v>
      </c>
      <c r="O82" s="143" t="str">
        <f t="shared" si="22"/>
        <v>NO EXISTE</v>
      </c>
      <c r="P82" s="143" t="str">
        <f t="shared" si="23"/>
        <v>NO EXISTE</v>
      </c>
      <c r="Q82" s="148" t="s">
        <v>1045</v>
      </c>
      <c r="R82" s="148" t="s">
        <v>606</v>
      </c>
      <c r="S82" s="148" t="s">
        <v>661</v>
      </c>
      <c r="T82" s="149">
        <v>1</v>
      </c>
      <c r="U82" s="148" t="s">
        <v>591</v>
      </c>
      <c r="V82" s="150">
        <v>97.8</v>
      </c>
      <c r="W82" s="151">
        <f>V82*16</f>
        <v>1564.8</v>
      </c>
    </row>
    <row r="83" spans="1:23" ht="15" customHeight="1" x14ac:dyDescent="0.25">
      <c r="A83" s="148">
        <v>1293</v>
      </c>
      <c r="B83" s="148" t="s">
        <v>1085</v>
      </c>
      <c r="C83" s="143" t="s">
        <v>2504</v>
      </c>
      <c r="D83" s="143" t="s">
        <v>2504</v>
      </c>
      <c r="E83" s="143" t="s">
        <v>2504</v>
      </c>
      <c r="F83" s="143" t="s">
        <v>2504</v>
      </c>
      <c r="G83" s="143" t="s">
        <v>2504</v>
      </c>
      <c r="H83" s="143" t="s">
        <v>2504</v>
      </c>
      <c r="I83" s="143" t="str">
        <f t="shared" si="16"/>
        <v>NO EXISTE</v>
      </c>
      <c r="J83" s="143" t="str">
        <f t="shared" si="17"/>
        <v>NO EXISTE</v>
      </c>
      <c r="K83" s="143" t="str">
        <f t="shared" si="18"/>
        <v>NO EXISTE</v>
      </c>
      <c r="L83" s="143" t="str">
        <f t="shared" si="19"/>
        <v>NO EXISTE</v>
      </c>
      <c r="M83" s="143" t="str">
        <f t="shared" si="20"/>
        <v>NO EXISTE</v>
      </c>
      <c r="N83" s="143" t="str">
        <f t="shared" si="21"/>
        <v>NO EXISTE</v>
      </c>
      <c r="O83" s="143" t="str">
        <f t="shared" si="22"/>
        <v>NO EXISTE</v>
      </c>
      <c r="P83" s="143" t="str">
        <f t="shared" si="23"/>
        <v>NO EXISTE</v>
      </c>
      <c r="Q83" s="148" t="s">
        <v>1086</v>
      </c>
      <c r="R83" s="148" t="s">
        <v>705</v>
      </c>
      <c r="S83" s="148" t="s">
        <v>1081</v>
      </c>
      <c r="T83" s="149">
        <v>7</v>
      </c>
      <c r="U83" s="148" t="s">
        <v>591</v>
      </c>
      <c r="V83" s="150">
        <v>822.82</v>
      </c>
      <c r="W83" s="151">
        <f>V83*4</f>
        <v>3291.28</v>
      </c>
    </row>
    <row r="84" spans="1:23" ht="15" customHeight="1" x14ac:dyDescent="0.25">
      <c r="A84" s="148">
        <v>1817</v>
      </c>
      <c r="B84" s="148" t="s">
        <v>1098</v>
      </c>
      <c r="C84" s="143" t="s">
        <v>2504</v>
      </c>
      <c r="D84" s="143" t="s">
        <v>2504</v>
      </c>
      <c r="E84" s="143" t="s">
        <v>2504</v>
      </c>
      <c r="F84" s="143" t="s">
        <v>2504</v>
      </c>
      <c r="G84" s="143" t="s">
        <v>2504</v>
      </c>
      <c r="H84" s="143" t="s">
        <v>2504</v>
      </c>
      <c r="I84" s="143" t="str">
        <f t="shared" si="16"/>
        <v>NO EXISTE</v>
      </c>
      <c r="J84" s="143" t="str">
        <f t="shared" si="17"/>
        <v>NO EXISTE</v>
      </c>
      <c r="K84" s="143" t="str">
        <f t="shared" si="18"/>
        <v>NO EXISTE</v>
      </c>
      <c r="L84" s="143" t="str">
        <f t="shared" si="19"/>
        <v>NO EXISTE</v>
      </c>
      <c r="M84" s="143" t="str">
        <f t="shared" si="20"/>
        <v>NO EXISTE</v>
      </c>
      <c r="N84" s="143" t="str">
        <f t="shared" si="21"/>
        <v>NO EXISTE</v>
      </c>
      <c r="O84" s="143" t="str">
        <f t="shared" si="22"/>
        <v>NO EXISTE</v>
      </c>
      <c r="P84" s="143" t="str">
        <f t="shared" si="23"/>
        <v>NO EXISTE</v>
      </c>
      <c r="Q84" s="148" t="s">
        <v>1099</v>
      </c>
      <c r="R84" s="148" t="s">
        <v>594</v>
      </c>
      <c r="S84" s="148" t="s">
        <v>674</v>
      </c>
      <c r="T84" s="149">
        <v>0.25</v>
      </c>
      <c r="U84" s="148" t="s">
        <v>591</v>
      </c>
      <c r="V84" s="150">
        <v>34.29</v>
      </c>
      <c r="W84" s="151">
        <v>1819.8</v>
      </c>
    </row>
    <row r="85" spans="1:23" ht="15" customHeight="1" x14ac:dyDescent="0.25">
      <c r="A85" s="148">
        <v>1967</v>
      </c>
      <c r="B85" s="148" t="s">
        <v>1110</v>
      </c>
      <c r="C85" s="143" t="s">
        <v>2504</v>
      </c>
      <c r="D85" s="143" t="s">
        <v>2504</v>
      </c>
      <c r="E85" s="143" t="s">
        <v>2504</v>
      </c>
      <c r="F85" s="143" t="s">
        <v>2504</v>
      </c>
      <c r="G85" s="143" t="s">
        <v>2504</v>
      </c>
      <c r="H85" s="143" t="s">
        <v>2504</v>
      </c>
      <c r="I85" s="143" t="str">
        <f t="shared" si="16"/>
        <v>NO EXISTE</v>
      </c>
      <c r="J85" s="143" t="str">
        <f t="shared" si="17"/>
        <v>NO EXISTE</v>
      </c>
      <c r="K85" s="143" t="str">
        <f t="shared" si="18"/>
        <v>NO EXISTE</v>
      </c>
      <c r="L85" s="143" t="str">
        <f t="shared" si="19"/>
        <v>NO EXISTE</v>
      </c>
      <c r="M85" s="143" t="str">
        <f t="shared" si="20"/>
        <v>NO EXISTE</v>
      </c>
      <c r="N85" s="143" t="str">
        <f t="shared" si="21"/>
        <v>NO EXISTE</v>
      </c>
      <c r="O85" s="143" t="str">
        <f t="shared" si="22"/>
        <v>NO EXISTE</v>
      </c>
      <c r="P85" s="143" t="str">
        <f t="shared" si="23"/>
        <v>NO EXISTE</v>
      </c>
      <c r="Q85" s="148" t="s">
        <v>1111</v>
      </c>
      <c r="R85" s="148" t="s">
        <v>600</v>
      </c>
      <c r="S85" s="148" t="s">
        <v>613</v>
      </c>
      <c r="T85" s="149">
        <v>200</v>
      </c>
      <c r="U85" s="148" t="s">
        <v>591</v>
      </c>
      <c r="V85" s="150">
        <v>12303.7</v>
      </c>
      <c r="W85" s="151">
        <v>19259.939999999999</v>
      </c>
    </row>
    <row r="86" spans="1:23" ht="15" customHeight="1" x14ac:dyDescent="0.25">
      <c r="A86" s="148">
        <v>1971</v>
      </c>
      <c r="B86" s="148" t="s">
        <v>1114</v>
      </c>
      <c r="C86" s="143" t="s">
        <v>2504</v>
      </c>
      <c r="D86" s="143" t="s">
        <v>2504</v>
      </c>
      <c r="E86" s="143" t="s">
        <v>2504</v>
      </c>
      <c r="F86" s="143" t="s">
        <v>2504</v>
      </c>
      <c r="G86" s="143" t="s">
        <v>2504</v>
      </c>
      <c r="H86" s="143" t="s">
        <v>2504</v>
      </c>
      <c r="I86" s="143" t="str">
        <f t="shared" si="16"/>
        <v>NO EXISTE</v>
      </c>
      <c r="J86" s="143" t="str">
        <f t="shared" si="17"/>
        <v>NO EXISTE</v>
      </c>
      <c r="K86" s="143" t="str">
        <f t="shared" si="18"/>
        <v>NO EXISTE</v>
      </c>
      <c r="L86" s="143" t="str">
        <f t="shared" si="19"/>
        <v>NO EXISTE</v>
      </c>
      <c r="M86" s="143" t="str">
        <f t="shared" si="20"/>
        <v>NO EXISTE</v>
      </c>
      <c r="N86" s="143" t="str">
        <f t="shared" si="21"/>
        <v>NO EXISTE</v>
      </c>
      <c r="O86" s="143" t="str">
        <f t="shared" si="22"/>
        <v>NO EXISTE</v>
      </c>
      <c r="P86" s="143" t="str">
        <f t="shared" si="23"/>
        <v>NO EXISTE</v>
      </c>
      <c r="Q86" s="148" t="s">
        <v>1115</v>
      </c>
      <c r="R86" s="148" t="s">
        <v>600</v>
      </c>
      <c r="S86" s="148" t="s">
        <v>613</v>
      </c>
      <c r="T86" s="149">
        <v>20</v>
      </c>
      <c r="U86" s="148" t="s">
        <v>591</v>
      </c>
      <c r="V86" s="150">
        <v>1931.92</v>
      </c>
      <c r="W86" s="151">
        <f>V86*1000</f>
        <v>1931920</v>
      </c>
    </row>
    <row r="87" spans="1:23" ht="15" customHeight="1" x14ac:dyDescent="0.25">
      <c r="A87" s="148">
        <v>1972</v>
      </c>
      <c r="B87" s="148" t="s">
        <v>1116</v>
      </c>
      <c r="C87" s="143" t="s">
        <v>2504</v>
      </c>
      <c r="D87" s="143" t="s">
        <v>2504</v>
      </c>
      <c r="E87" s="143" t="s">
        <v>2504</v>
      </c>
      <c r="F87" s="143" t="s">
        <v>2504</v>
      </c>
      <c r="G87" s="143" t="s">
        <v>2504</v>
      </c>
      <c r="H87" s="143" t="s">
        <v>2504</v>
      </c>
      <c r="I87" s="143" t="str">
        <f t="shared" si="16"/>
        <v>NO EXISTE</v>
      </c>
      <c r="J87" s="143" t="str">
        <f t="shared" si="17"/>
        <v>NO EXISTE</v>
      </c>
      <c r="K87" s="143" t="str">
        <f t="shared" si="18"/>
        <v>NO EXISTE</v>
      </c>
      <c r="L87" s="143" t="str">
        <f t="shared" si="19"/>
        <v>NO EXISTE</v>
      </c>
      <c r="M87" s="143" t="str">
        <f t="shared" si="20"/>
        <v>NO EXISTE</v>
      </c>
      <c r="N87" s="143" t="str">
        <f t="shared" si="21"/>
        <v>NO EXISTE</v>
      </c>
      <c r="O87" s="143" t="str">
        <f t="shared" si="22"/>
        <v>NO EXISTE</v>
      </c>
      <c r="P87" s="143" t="str">
        <f t="shared" si="23"/>
        <v>NO EXISTE</v>
      </c>
      <c r="Q87" s="148" t="s">
        <v>1117</v>
      </c>
      <c r="R87" s="148" t="s">
        <v>600</v>
      </c>
      <c r="S87" s="148" t="s">
        <v>613</v>
      </c>
      <c r="T87" s="149">
        <v>20</v>
      </c>
      <c r="U87" s="148" t="s">
        <v>591</v>
      </c>
      <c r="V87" s="150">
        <v>1189.6099999999999</v>
      </c>
      <c r="W87" s="151">
        <v>27038.639999999999</v>
      </c>
    </row>
    <row r="88" spans="1:23" ht="15" customHeight="1" x14ac:dyDescent="0.25">
      <c r="A88" s="148">
        <v>1973</v>
      </c>
      <c r="B88" s="148" t="s">
        <v>1118</v>
      </c>
      <c r="C88" s="143" t="s">
        <v>2504</v>
      </c>
      <c r="D88" s="143" t="s">
        <v>2504</v>
      </c>
      <c r="E88" s="143" t="s">
        <v>2504</v>
      </c>
      <c r="F88" s="143" t="s">
        <v>2504</v>
      </c>
      <c r="G88" s="143" t="s">
        <v>2504</v>
      </c>
      <c r="H88" s="143" t="s">
        <v>2504</v>
      </c>
      <c r="I88" s="143" t="str">
        <f t="shared" si="16"/>
        <v>NO EXISTE</v>
      </c>
      <c r="J88" s="143" t="str">
        <f t="shared" si="17"/>
        <v>NO EXISTE</v>
      </c>
      <c r="K88" s="143" t="str">
        <f t="shared" si="18"/>
        <v>NO EXISTE</v>
      </c>
      <c r="L88" s="143" t="str">
        <f t="shared" si="19"/>
        <v>NO EXISTE</v>
      </c>
      <c r="M88" s="143" t="str">
        <f t="shared" si="20"/>
        <v>NO EXISTE</v>
      </c>
      <c r="N88" s="143" t="str">
        <f t="shared" si="21"/>
        <v>NO EXISTE</v>
      </c>
      <c r="O88" s="143" t="str">
        <f t="shared" si="22"/>
        <v>NO EXISTE</v>
      </c>
      <c r="P88" s="143" t="str">
        <f t="shared" si="23"/>
        <v>NO EXISTE</v>
      </c>
      <c r="Q88" s="148" t="s">
        <v>1119</v>
      </c>
      <c r="R88" s="148" t="s">
        <v>600</v>
      </c>
      <c r="S88" s="148" t="s">
        <v>613</v>
      </c>
      <c r="T88" s="149">
        <v>20</v>
      </c>
      <c r="U88" s="148" t="s">
        <v>591</v>
      </c>
      <c r="V88" s="150">
        <v>2417.38</v>
      </c>
      <c r="W88" s="151">
        <v>16163.94</v>
      </c>
    </row>
    <row r="89" spans="1:23" ht="15" customHeight="1" x14ac:dyDescent="0.25">
      <c r="A89" s="148">
        <v>10004</v>
      </c>
      <c r="B89" s="148" t="s">
        <v>1122</v>
      </c>
      <c r="C89" s="143" t="s">
        <v>2504</v>
      </c>
      <c r="D89" s="143" t="s">
        <v>2504</v>
      </c>
      <c r="E89" s="143" t="s">
        <v>2504</v>
      </c>
      <c r="F89" s="143" t="s">
        <v>2504</v>
      </c>
      <c r="G89" s="143" t="s">
        <v>2504</v>
      </c>
      <c r="H89" s="143" t="s">
        <v>2504</v>
      </c>
      <c r="I89" s="143" t="str">
        <f t="shared" si="16"/>
        <v>NO EXISTE</v>
      </c>
      <c r="J89" s="143" t="str">
        <f t="shared" si="17"/>
        <v>NO EXISTE</v>
      </c>
      <c r="K89" s="143" t="str">
        <f t="shared" si="18"/>
        <v>NO EXISTE</v>
      </c>
      <c r="L89" s="143" t="str">
        <f t="shared" si="19"/>
        <v>NO EXISTE</v>
      </c>
      <c r="M89" s="143" t="str">
        <f t="shared" si="20"/>
        <v>NO EXISTE</v>
      </c>
      <c r="N89" s="143" t="str">
        <f t="shared" si="21"/>
        <v>NO EXISTE</v>
      </c>
      <c r="O89" s="143" t="str">
        <f t="shared" si="22"/>
        <v>NO EXISTE</v>
      </c>
      <c r="P89" s="143" t="str">
        <f t="shared" si="23"/>
        <v>NO EXISTE</v>
      </c>
      <c r="Q89" s="148" t="s">
        <v>1123</v>
      </c>
      <c r="R89" s="148" t="s">
        <v>1025</v>
      </c>
      <c r="S89" s="148" t="s">
        <v>1121</v>
      </c>
      <c r="T89" s="149">
        <v>1</v>
      </c>
      <c r="U89" s="148" t="s">
        <v>591</v>
      </c>
      <c r="V89" s="150">
        <v>95.47</v>
      </c>
      <c r="W89" s="151">
        <f>V89*24</f>
        <v>2291.2799999999997</v>
      </c>
    </row>
    <row r="90" spans="1:23" ht="15" customHeight="1" x14ac:dyDescent="0.25">
      <c r="A90" s="148">
        <v>10005</v>
      </c>
      <c r="B90" s="148" t="s">
        <v>1124</v>
      </c>
      <c r="C90" s="143" t="s">
        <v>2504</v>
      </c>
      <c r="D90" s="143" t="s">
        <v>2504</v>
      </c>
      <c r="E90" s="143" t="s">
        <v>2504</v>
      </c>
      <c r="F90" s="143" t="s">
        <v>2504</v>
      </c>
      <c r="G90" s="143" t="s">
        <v>2504</v>
      </c>
      <c r="H90" s="143" t="s">
        <v>2504</v>
      </c>
      <c r="I90" s="143" t="str">
        <f t="shared" si="16"/>
        <v>NO EXISTE</v>
      </c>
      <c r="J90" s="143" t="str">
        <f t="shared" si="17"/>
        <v>NO EXISTE</v>
      </c>
      <c r="K90" s="143" t="str">
        <f t="shared" si="18"/>
        <v>NO EXISTE</v>
      </c>
      <c r="L90" s="143" t="str">
        <f t="shared" si="19"/>
        <v>NO EXISTE</v>
      </c>
      <c r="M90" s="143" t="str">
        <f t="shared" si="20"/>
        <v>NO EXISTE</v>
      </c>
      <c r="N90" s="143" t="str">
        <f t="shared" si="21"/>
        <v>NO EXISTE</v>
      </c>
      <c r="O90" s="143" t="str">
        <f t="shared" si="22"/>
        <v>NO EXISTE</v>
      </c>
      <c r="P90" s="143" t="str">
        <f t="shared" si="23"/>
        <v>NO EXISTE</v>
      </c>
      <c r="Q90" s="148" t="s">
        <v>1125</v>
      </c>
      <c r="R90" s="148" t="s">
        <v>1025</v>
      </c>
      <c r="S90" s="148" t="s">
        <v>1121</v>
      </c>
      <c r="T90" s="149">
        <v>1</v>
      </c>
      <c r="U90" s="148" t="s">
        <v>591</v>
      </c>
      <c r="V90" s="150">
        <v>96.42</v>
      </c>
      <c r="W90" s="151">
        <f>V90*24</f>
        <v>2314.08</v>
      </c>
    </row>
    <row r="91" spans="1:23" ht="15" customHeight="1" x14ac:dyDescent="0.25">
      <c r="A91" s="148">
        <v>10006</v>
      </c>
      <c r="B91" s="148" t="s">
        <v>1126</v>
      </c>
      <c r="C91" s="143" t="s">
        <v>2504</v>
      </c>
      <c r="D91" s="143" t="s">
        <v>2504</v>
      </c>
      <c r="E91" s="143" t="s">
        <v>2504</v>
      </c>
      <c r="F91" s="143" t="s">
        <v>2504</v>
      </c>
      <c r="G91" s="143" t="s">
        <v>2504</v>
      </c>
      <c r="H91" s="143" t="s">
        <v>2504</v>
      </c>
      <c r="I91" s="143" t="str">
        <f t="shared" si="16"/>
        <v>NO EXISTE</v>
      </c>
      <c r="J91" s="143" t="str">
        <f t="shared" si="17"/>
        <v>NO EXISTE</v>
      </c>
      <c r="K91" s="143" t="str">
        <f t="shared" si="18"/>
        <v>NO EXISTE</v>
      </c>
      <c r="L91" s="143" t="str">
        <f t="shared" si="19"/>
        <v>NO EXISTE</v>
      </c>
      <c r="M91" s="143" t="str">
        <f t="shared" si="20"/>
        <v>NO EXISTE</v>
      </c>
      <c r="N91" s="143" t="str">
        <f t="shared" si="21"/>
        <v>NO EXISTE</v>
      </c>
      <c r="O91" s="143" t="str">
        <f t="shared" si="22"/>
        <v>NO EXISTE</v>
      </c>
      <c r="P91" s="143" t="str">
        <f t="shared" si="23"/>
        <v>NO EXISTE</v>
      </c>
      <c r="Q91" s="148" t="s">
        <v>1127</v>
      </c>
      <c r="R91" s="148" t="s">
        <v>1025</v>
      </c>
      <c r="S91" s="148" t="s">
        <v>1121</v>
      </c>
      <c r="T91" s="149">
        <v>1</v>
      </c>
      <c r="U91" s="148" t="s">
        <v>591</v>
      </c>
      <c r="V91" s="150">
        <v>97.16</v>
      </c>
      <c r="W91" s="151">
        <f>V91*12</f>
        <v>1165.92</v>
      </c>
    </row>
    <row r="92" spans="1:23" ht="15" customHeight="1" x14ac:dyDescent="0.25">
      <c r="A92" s="148">
        <v>10007</v>
      </c>
      <c r="B92" s="148" t="s">
        <v>1128</v>
      </c>
      <c r="C92" s="143" t="s">
        <v>2504</v>
      </c>
      <c r="D92" s="143" t="s">
        <v>2504</v>
      </c>
      <c r="E92" s="143" t="s">
        <v>2504</v>
      </c>
      <c r="F92" s="143" t="s">
        <v>2504</v>
      </c>
      <c r="G92" s="143" t="s">
        <v>2504</v>
      </c>
      <c r="H92" s="143" t="s">
        <v>2504</v>
      </c>
      <c r="I92" s="143" t="str">
        <f t="shared" si="16"/>
        <v>NO EXISTE</v>
      </c>
      <c r="J92" s="143" t="str">
        <f t="shared" si="17"/>
        <v>NO EXISTE</v>
      </c>
      <c r="K92" s="143" t="str">
        <f t="shared" si="18"/>
        <v>NO EXISTE</v>
      </c>
      <c r="L92" s="143" t="str">
        <f t="shared" si="19"/>
        <v>NO EXISTE</v>
      </c>
      <c r="M92" s="143" t="str">
        <f t="shared" si="20"/>
        <v>NO EXISTE</v>
      </c>
      <c r="N92" s="143" t="str">
        <f t="shared" si="21"/>
        <v>NO EXISTE</v>
      </c>
      <c r="O92" s="143" t="str">
        <f t="shared" si="22"/>
        <v>NO EXISTE</v>
      </c>
      <c r="P92" s="143" t="str">
        <f t="shared" si="23"/>
        <v>NO EXISTE</v>
      </c>
      <c r="Q92" s="148" t="s">
        <v>1129</v>
      </c>
      <c r="R92" s="148" t="s">
        <v>1025</v>
      </c>
      <c r="S92" s="148" t="s">
        <v>1121</v>
      </c>
      <c r="T92" s="149">
        <v>1</v>
      </c>
      <c r="U92" s="148" t="s">
        <v>591</v>
      </c>
      <c r="V92" s="150">
        <v>97.51</v>
      </c>
      <c r="W92" s="151">
        <v>1740.67</v>
      </c>
    </row>
    <row r="93" spans="1:23" ht="15" customHeight="1" x14ac:dyDescent="0.25">
      <c r="A93" s="148">
        <v>10008</v>
      </c>
      <c r="B93" s="148" t="s">
        <v>1130</v>
      </c>
      <c r="C93" s="143" t="s">
        <v>2504</v>
      </c>
      <c r="D93" s="143" t="s">
        <v>2504</v>
      </c>
      <c r="E93" s="143" t="s">
        <v>2504</v>
      </c>
      <c r="F93" s="143" t="s">
        <v>2504</v>
      </c>
      <c r="G93" s="143" t="s">
        <v>2504</v>
      </c>
      <c r="H93" s="143" t="s">
        <v>2504</v>
      </c>
      <c r="I93" s="143" t="str">
        <f t="shared" si="16"/>
        <v>NO EXISTE</v>
      </c>
      <c r="J93" s="143" t="str">
        <f t="shared" si="17"/>
        <v>NO EXISTE</v>
      </c>
      <c r="K93" s="143" t="str">
        <f t="shared" si="18"/>
        <v>NO EXISTE</v>
      </c>
      <c r="L93" s="143" t="str">
        <f t="shared" si="19"/>
        <v>NO EXISTE</v>
      </c>
      <c r="M93" s="143" t="str">
        <f t="shared" si="20"/>
        <v>NO EXISTE</v>
      </c>
      <c r="N93" s="143" t="str">
        <f t="shared" si="21"/>
        <v>NO EXISTE</v>
      </c>
      <c r="O93" s="143" t="str">
        <f t="shared" si="22"/>
        <v>NO EXISTE</v>
      </c>
      <c r="P93" s="143" t="str">
        <f t="shared" si="23"/>
        <v>NO EXISTE</v>
      </c>
      <c r="Q93" s="148" t="s">
        <v>1131</v>
      </c>
      <c r="R93" s="148" t="s">
        <v>1025</v>
      </c>
      <c r="S93" s="148" t="s">
        <v>1121</v>
      </c>
      <c r="T93" s="149">
        <v>1</v>
      </c>
      <c r="U93" s="148" t="s">
        <v>591</v>
      </c>
      <c r="V93" s="150">
        <v>97.46</v>
      </c>
      <c r="W93" s="151">
        <v>18765.650000000001</v>
      </c>
    </row>
    <row r="94" spans="1:23" ht="15" customHeight="1" x14ac:dyDescent="0.25">
      <c r="A94" s="148">
        <v>10015</v>
      </c>
      <c r="B94" s="148" t="s">
        <v>1132</v>
      </c>
      <c r="C94" s="143" t="s">
        <v>2504</v>
      </c>
      <c r="D94" s="143" t="s">
        <v>2504</v>
      </c>
      <c r="E94" s="143" t="s">
        <v>2504</v>
      </c>
      <c r="F94" s="143" t="s">
        <v>2504</v>
      </c>
      <c r="G94" s="143" t="s">
        <v>2504</v>
      </c>
      <c r="H94" s="143" t="s">
        <v>2504</v>
      </c>
      <c r="I94" s="143" t="str">
        <f t="shared" si="16"/>
        <v>NO EXISTE</v>
      </c>
      <c r="J94" s="143" t="str">
        <f t="shared" si="17"/>
        <v>NO EXISTE</v>
      </c>
      <c r="K94" s="143" t="str">
        <f t="shared" si="18"/>
        <v>NO EXISTE</v>
      </c>
      <c r="L94" s="143" t="str">
        <f t="shared" si="19"/>
        <v>NO EXISTE</v>
      </c>
      <c r="M94" s="143" t="str">
        <f t="shared" si="20"/>
        <v>NO EXISTE</v>
      </c>
      <c r="N94" s="143" t="str">
        <f t="shared" si="21"/>
        <v>NO EXISTE</v>
      </c>
      <c r="O94" s="143" t="str">
        <f t="shared" si="22"/>
        <v>NO EXISTE</v>
      </c>
      <c r="P94" s="143" t="str">
        <f t="shared" si="23"/>
        <v>NO EXISTE</v>
      </c>
      <c r="Q94" s="148" t="s">
        <v>1133</v>
      </c>
      <c r="R94" s="148" t="s">
        <v>1025</v>
      </c>
      <c r="S94" s="148" t="s">
        <v>1134</v>
      </c>
      <c r="T94" s="149">
        <v>1</v>
      </c>
      <c r="U94" s="148" t="s">
        <v>591</v>
      </c>
      <c r="V94" s="150">
        <v>115.15</v>
      </c>
      <c r="W94" s="151">
        <v>1736.68</v>
      </c>
    </row>
    <row r="95" spans="1:23" ht="15" customHeight="1" x14ac:dyDescent="0.25">
      <c r="A95" s="148">
        <v>10016</v>
      </c>
      <c r="B95" s="148" t="s">
        <v>1135</v>
      </c>
      <c r="C95" s="143" t="s">
        <v>2504</v>
      </c>
      <c r="D95" s="143" t="s">
        <v>2504</v>
      </c>
      <c r="E95" s="143" t="s">
        <v>2504</v>
      </c>
      <c r="F95" s="143" t="s">
        <v>2504</v>
      </c>
      <c r="G95" s="143" t="s">
        <v>2504</v>
      </c>
      <c r="H95" s="143" t="s">
        <v>2504</v>
      </c>
      <c r="I95" s="143" t="str">
        <f t="shared" si="16"/>
        <v>NO EXISTE</v>
      </c>
      <c r="J95" s="143" t="str">
        <f t="shared" si="17"/>
        <v>NO EXISTE</v>
      </c>
      <c r="K95" s="143" t="str">
        <f t="shared" si="18"/>
        <v>NO EXISTE</v>
      </c>
      <c r="L95" s="143" t="str">
        <f t="shared" si="19"/>
        <v>NO EXISTE</v>
      </c>
      <c r="M95" s="143" t="str">
        <f t="shared" si="20"/>
        <v>NO EXISTE</v>
      </c>
      <c r="N95" s="143" t="str">
        <f t="shared" si="21"/>
        <v>NO EXISTE</v>
      </c>
      <c r="O95" s="143" t="str">
        <f t="shared" si="22"/>
        <v>NO EXISTE</v>
      </c>
      <c r="P95" s="143" t="str">
        <f t="shared" si="23"/>
        <v>NO EXISTE</v>
      </c>
      <c r="Q95" s="148" t="s">
        <v>1136</v>
      </c>
      <c r="R95" s="148" t="s">
        <v>1025</v>
      </c>
      <c r="S95" s="148" t="s">
        <v>1134</v>
      </c>
      <c r="T95" s="149">
        <v>1</v>
      </c>
      <c r="U95" s="148" t="s">
        <v>591</v>
      </c>
      <c r="V95" s="150">
        <v>128.46</v>
      </c>
      <c r="W95" s="151">
        <v>1735.21</v>
      </c>
    </row>
    <row r="96" spans="1:23" ht="15" customHeight="1" x14ac:dyDescent="0.25">
      <c r="A96" s="148">
        <v>10019</v>
      </c>
      <c r="B96" s="148" t="s">
        <v>1137</v>
      </c>
      <c r="C96" s="143" t="s">
        <v>2504</v>
      </c>
      <c r="D96" s="143" t="s">
        <v>2504</v>
      </c>
      <c r="E96" s="143" t="s">
        <v>2504</v>
      </c>
      <c r="F96" s="143" t="s">
        <v>2504</v>
      </c>
      <c r="G96" s="143" t="s">
        <v>2504</v>
      </c>
      <c r="H96" s="143" t="s">
        <v>2504</v>
      </c>
      <c r="I96" s="143" t="str">
        <f t="shared" si="16"/>
        <v>NO EXISTE</v>
      </c>
      <c r="J96" s="143" t="str">
        <f t="shared" si="17"/>
        <v>NO EXISTE</v>
      </c>
      <c r="K96" s="143" t="str">
        <f t="shared" si="18"/>
        <v>NO EXISTE</v>
      </c>
      <c r="L96" s="143" t="str">
        <f t="shared" si="19"/>
        <v>NO EXISTE</v>
      </c>
      <c r="M96" s="143" t="str">
        <f t="shared" si="20"/>
        <v>NO EXISTE</v>
      </c>
      <c r="N96" s="143" t="str">
        <f t="shared" si="21"/>
        <v>NO EXISTE</v>
      </c>
      <c r="O96" s="143" t="str">
        <f t="shared" si="22"/>
        <v>NO EXISTE</v>
      </c>
      <c r="P96" s="143" t="str">
        <f t="shared" si="23"/>
        <v>NO EXISTE</v>
      </c>
      <c r="Q96" s="148" t="s">
        <v>1138</v>
      </c>
      <c r="R96" s="148" t="s">
        <v>1025</v>
      </c>
      <c r="S96" s="148" t="s">
        <v>1139</v>
      </c>
      <c r="T96" s="149">
        <v>1</v>
      </c>
      <c r="U96" s="148" t="s">
        <v>591</v>
      </c>
      <c r="V96" s="150">
        <v>101.15</v>
      </c>
      <c r="W96" s="151">
        <v>1738.73</v>
      </c>
    </row>
    <row r="97" spans="1:23" ht="15" customHeight="1" x14ac:dyDescent="0.25">
      <c r="A97" s="148">
        <v>10022</v>
      </c>
      <c r="B97" s="148" t="s">
        <v>1140</v>
      </c>
      <c r="C97" s="143" t="s">
        <v>2504</v>
      </c>
      <c r="D97" s="143" t="s">
        <v>2504</v>
      </c>
      <c r="E97" s="143" t="s">
        <v>2504</v>
      </c>
      <c r="F97" s="143" t="s">
        <v>2504</v>
      </c>
      <c r="G97" s="143" t="s">
        <v>2504</v>
      </c>
      <c r="H97" s="143" t="s">
        <v>2504</v>
      </c>
      <c r="I97" s="143" t="str">
        <f t="shared" si="16"/>
        <v>NO EXISTE</v>
      </c>
      <c r="J97" s="143" t="str">
        <f t="shared" si="17"/>
        <v>NO EXISTE</v>
      </c>
      <c r="K97" s="143" t="str">
        <f t="shared" si="18"/>
        <v>NO EXISTE</v>
      </c>
      <c r="L97" s="143" t="str">
        <f t="shared" si="19"/>
        <v>NO EXISTE</v>
      </c>
      <c r="M97" s="143" t="str">
        <f t="shared" si="20"/>
        <v>NO EXISTE</v>
      </c>
      <c r="N97" s="143" t="str">
        <f t="shared" si="21"/>
        <v>NO EXISTE</v>
      </c>
      <c r="O97" s="143" t="str">
        <f t="shared" si="22"/>
        <v>NO EXISTE</v>
      </c>
      <c r="P97" s="143" t="str">
        <f t="shared" si="23"/>
        <v>NO EXISTE</v>
      </c>
      <c r="Q97" s="148" t="s">
        <v>1141</v>
      </c>
      <c r="R97" s="148" t="s">
        <v>1025</v>
      </c>
      <c r="S97" s="148" t="s">
        <v>1142</v>
      </c>
      <c r="T97" s="149">
        <v>1</v>
      </c>
      <c r="U97" s="148" t="s">
        <v>591</v>
      </c>
      <c r="V97" s="150">
        <v>176.43</v>
      </c>
      <c r="W97" s="151">
        <v>18718.46</v>
      </c>
    </row>
    <row r="98" spans="1:23" ht="15" customHeight="1" x14ac:dyDescent="0.25">
      <c r="A98" s="148">
        <v>10024</v>
      </c>
      <c r="B98" s="148" t="s">
        <v>1143</v>
      </c>
      <c r="C98" s="143" t="s">
        <v>2504</v>
      </c>
      <c r="D98" s="143" t="s">
        <v>2504</v>
      </c>
      <c r="E98" s="143" t="s">
        <v>2504</v>
      </c>
      <c r="F98" s="143" t="s">
        <v>2504</v>
      </c>
      <c r="G98" s="143" t="s">
        <v>2504</v>
      </c>
      <c r="H98" s="143" t="s">
        <v>2504</v>
      </c>
      <c r="I98" s="143" t="str">
        <f t="shared" si="16"/>
        <v>NO EXISTE</v>
      </c>
      <c r="J98" s="143" t="str">
        <f t="shared" si="17"/>
        <v>NO EXISTE</v>
      </c>
      <c r="K98" s="143" t="str">
        <f t="shared" si="18"/>
        <v>NO EXISTE</v>
      </c>
      <c r="L98" s="143" t="str">
        <f t="shared" si="19"/>
        <v>NO EXISTE</v>
      </c>
      <c r="M98" s="143" t="str">
        <f t="shared" si="20"/>
        <v>NO EXISTE</v>
      </c>
      <c r="N98" s="143" t="str">
        <f t="shared" si="21"/>
        <v>NO EXISTE</v>
      </c>
      <c r="O98" s="143" t="str">
        <f t="shared" si="22"/>
        <v>NO EXISTE</v>
      </c>
      <c r="P98" s="143" t="str">
        <f t="shared" si="23"/>
        <v>NO EXISTE</v>
      </c>
      <c r="Q98" s="148" t="s">
        <v>1144</v>
      </c>
      <c r="R98" s="148" t="s">
        <v>1025</v>
      </c>
      <c r="S98" s="148" t="s">
        <v>1142</v>
      </c>
      <c r="T98" s="149">
        <v>1</v>
      </c>
      <c r="U98" s="148" t="s">
        <v>591</v>
      </c>
      <c r="V98" s="150">
        <v>197.98</v>
      </c>
      <c r="W98" s="151">
        <v>18702.88</v>
      </c>
    </row>
    <row r="99" spans="1:23" ht="15" customHeight="1" x14ac:dyDescent="0.25">
      <c r="A99" s="148">
        <v>10027</v>
      </c>
      <c r="B99" s="148" t="s">
        <v>1145</v>
      </c>
      <c r="C99" s="143" t="s">
        <v>2504</v>
      </c>
      <c r="D99" s="143" t="s">
        <v>2504</v>
      </c>
      <c r="E99" s="143" t="s">
        <v>2504</v>
      </c>
      <c r="F99" s="143" t="s">
        <v>2504</v>
      </c>
      <c r="G99" s="143" t="s">
        <v>2504</v>
      </c>
      <c r="H99" s="143" t="s">
        <v>2504</v>
      </c>
      <c r="I99" s="143" t="str">
        <f t="shared" ref="I99:I162" si="24">IFERROR(VLOOKUP(B99,Base08,1,FALSE),"NO EXISTE")</f>
        <v>NO EXISTE</v>
      </c>
      <c r="J99" s="143" t="str">
        <f t="shared" ref="J99:J162" si="25">IFERROR(VLOOKUP(B99,Base09,1,FALSE),"NO EXISTE")</f>
        <v>NO EXISTE</v>
      </c>
      <c r="K99" s="143" t="str">
        <f t="shared" ref="K99:K162" si="26">IFERROR(VLOOKUP(B99,Base10,1,FALSE),"NO EXISTE")</f>
        <v>NO EXISTE</v>
      </c>
      <c r="L99" s="143" t="str">
        <f t="shared" ref="L99:L162" si="27">IFERROR(VLOOKUP(B99,Base11,1,FALSE),"NO EXISTE")</f>
        <v>NO EXISTE</v>
      </c>
      <c r="M99" s="143" t="str">
        <f t="shared" ref="M99:M162" si="28">IFERROR(VLOOKUP(B99,Base12,1,FALSE),"NO EXISTE")</f>
        <v>NO EXISTE</v>
      </c>
      <c r="N99" s="143" t="str">
        <f t="shared" ref="N99:N162" si="29">IFERROR(VLOOKUP(B99,Base13,1,FALSE),"NO EXISTE")</f>
        <v>NO EXISTE</v>
      </c>
      <c r="O99" s="143" t="str">
        <f t="shared" ref="O99:O162" si="30">IFERROR(VLOOKUP(B99,Base14,1,FALSE),"NO EXISTE")</f>
        <v>NO EXISTE</v>
      </c>
      <c r="P99" s="143" t="str">
        <f t="shared" ref="P99:P162" si="31">IFERROR(VLOOKUP(B99,Base15,1,FALSE),"NO EXISTE")</f>
        <v>NO EXISTE</v>
      </c>
      <c r="Q99" s="148" t="s">
        <v>1146</v>
      </c>
      <c r="R99" s="148" t="s">
        <v>1025</v>
      </c>
      <c r="S99" s="148" t="s">
        <v>1147</v>
      </c>
      <c r="T99" s="149">
        <v>1</v>
      </c>
      <c r="U99" s="148" t="s">
        <v>591</v>
      </c>
      <c r="V99" s="150">
        <v>99.95</v>
      </c>
      <c r="W99" s="151">
        <v>18740.310000000001</v>
      </c>
    </row>
    <row r="100" spans="1:23" ht="15" customHeight="1" x14ac:dyDescent="0.25">
      <c r="A100" s="148">
        <v>10037</v>
      </c>
      <c r="B100" s="148" t="s">
        <v>1148</v>
      </c>
      <c r="C100" s="143" t="s">
        <v>2504</v>
      </c>
      <c r="D100" s="143" t="s">
        <v>2504</v>
      </c>
      <c r="E100" s="143" t="s">
        <v>2504</v>
      </c>
      <c r="F100" s="143" t="s">
        <v>2504</v>
      </c>
      <c r="G100" s="143" t="s">
        <v>2504</v>
      </c>
      <c r="H100" s="143" t="s">
        <v>2504</v>
      </c>
      <c r="I100" s="143" t="str">
        <f t="shared" si="24"/>
        <v>NO EXISTE</v>
      </c>
      <c r="J100" s="143" t="str">
        <f t="shared" si="25"/>
        <v>NO EXISTE</v>
      </c>
      <c r="K100" s="143" t="str">
        <f t="shared" si="26"/>
        <v>NO EXISTE</v>
      </c>
      <c r="L100" s="143" t="str">
        <f t="shared" si="27"/>
        <v>NO EXISTE</v>
      </c>
      <c r="M100" s="143" t="str">
        <f t="shared" si="28"/>
        <v>NO EXISTE</v>
      </c>
      <c r="N100" s="143" t="str">
        <f t="shared" si="29"/>
        <v>NO EXISTE</v>
      </c>
      <c r="O100" s="143" t="str">
        <f t="shared" si="30"/>
        <v>NO EXISTE</v>
      </c>
      <c r="P100" s="143" t="str">
        <f t="shared" si="31"/>
        <v>NO EXISTE</v>
      </c>
      <c r="Q100" s="148" t="s">
        <v>1149</v>
      </c>
      <c r="R100" s="148" t="s">
        <v>1025</v>
      </c>
      <c r="S100" s="148" t="s">
        <v>1150</v>
      </c>
      <c r="T100" s="149">
        <v>1</v>
      </c>
      <c r="U100" s="148" t="s">
        <v>591</v>
      </c>
      <c r="V100" s="150">
        <v>98.87</v>
      </c>
      <c r="W100" s="151">
        <f>V100*24</f>
        <v>2372.88</v>
      </c>
    </row>
    <row r="101" spans="1:23" ht="15" customHeight="1" x14ac:dyDescent="0.25">
      <c r="A101" s="148">
        <v>10040</v>
      </c>
      <c r="B101" s="148" t="s">
        <v>1151</v>
      </c>
      <c r="C101" s="143" t="s">
        <v>2504</v>
      </c>
      <c r="D101" s="143" t="s">
        <v>2504</v>
      </c>
      <c r="E101" s="143" t="s">
        <v>2504</v>
      </c>
      <c r="F101" s="143" t="s">
        <v>2504</v>
      </c>
      <c r="G101" s="143" t="s">
        <v>2504</v>
      </c>
      <c r="H101" s="143" t="s">
        <v>2504</v>
      </c>
      <c r="I101" s="143" t="str">
        <f t="shared" si="24"/>
        <v>NO EXISTE</v>
      </c>
      <c r="J101" s="143" t="str">
        <f t="shared" si="25"/>
        <v>NO EXISTE</v>
      </c>
      <c r="K101" s="143" t="str">
        <f t="shared" si="26"/>
        <v>NO EXISTE</v>
      </c>
      <c r="L101" s="143" t="str">
        <f t="shared" si="27"/>
        <v>NO EXISTE</v>
      </c>
      <c r="M101" s="143" t="str">
        <f t="shared" si="28"/>
        <v>NO EXISTE</v>
      </c>
      <c r="N101" s="143" t="str">
        <f t="shared" si="29"/>
        <v>NO EXISTE</v>
      </c>
      <c r="O101" s="143" t="str">
        <f t="shared" si="30"/>
        <v>NO EXISTE</v>
      </c>
      <c r="P101" s="143" t="str">
        <f t="shared" si="31"/>
        <v>NO EXISTE</v>
      </c>
      <c r="Q101" s="148" t="s">
        <v>1152</v>
      </c>
      <c r="R101" s="148" t="s">
        <v>1025</v>
      </c>
      <c r="S101" s="148" t="s">
        <v>1150</v>
      </c>
      <c r="T101" s="149">
        <v>1</v>
      </c>
      <c r="U101" s="148" t="s">
        <v>591</v>
      </c>
      <c r="V101" s="150">
        <v>99.43</v>
      </c>
      <c r="W101" s="151">
        <f>V101*24</f>
        <v>2386.3200000000002</v>
      </c>
    </row>
    <row r="102" spans="1:23" ht="15" customHeight="1" x14ac:dyDescent="0.25">
      <c r="A102" s="148">
        <v>10047</v>
      </c>
      <c r="B102" s="148" t="s">
        <v>1153</v>
      </c>
      <c r="C102" s="143" t="s">
        <v>2504</v>
      </c>
      <c r="D102" s="143" t="s">
        <v>2504</v>
      </c>
      <c r="E102" s="143" t="s">
        <v>2504</v>
      </c>
      <c r="F102" s="143" t="s">
        <v>2504</v>
      </c>
      <c r="G102" s="143" t="s">
        <v>2504</v>
      </c>
      <c r="H102" s="143" t="s">
        <v>2504</v>
      </c>
      <c r="I102" s="143" t="str">
        <f t="shared" si="24"/>
        <v>NO EXISTE</v>
      </c>
      <c r="J102" s="143" t="str">
        <f t="shared" si="25"/>
        <v>NO EXISTE</v>
      </c>
      <c r="K102" s="143" t="str">
        <f t="shared" si="26"/>
        <v>NO EXISTE</v>
      </c>
      <c r="L102" s="143" t="str">
        <f t="shared" si="27"/>
        <v>NO EXISTE</v>
      </c>
      <c r="M102" s="143" t="str">
        <f t="shared" si="28"/>
        <v>NO EXISTE</v>
      </c>
      <c r="N102" s="143" t="str">
        <f t="shared" si="29"/>
        <v>NO EXISTE</v>
      </c>
      <c r="O102" s="143" t="str">
        <f t="shared" si="30"/>
        <v>NO EXISTE</v>
      </c>
      <c r="P102" s="143" t="str">
        <f t="shared" si="31"/>
        <v>NO EXISTE</v>
      </c>
      <c r="Q102" s="148" t="s">
        <v>1154</v>
      </c>
      <c r="R102" s="148" t="s">
        <v>1025</v>
      </c>
      <c r="S102" s="148" t="s">
        <v>1155</v>
      </c>
      <c r="T102" s="149">
        <v>1</v>
      </c>
      <c r="U102" s="148" t="s">
        <v>591</v>
      </c>
      <c r="V102" s="150">
        <v>87.62</v>
      </c>
      <c r="W102" s="151">
        <f>V102*12</f>
        <v>1051.44</v>
      </c>
    </row>
    <row r="103" spans="1:23" ht="15" customHeight="1" x14ac:dyDescent="0.25">
      <c r="A103" s="148">
        <v>10049</v>
      </c>
      <c r="B103" s="148" t="s">
        <v>1156</v>
      </c>
      <c r="C103" s="143" t="s">
        <v>2504</v>
      </c>
      <c r="D103" s="143" t="s">
        <v>2504</v>
      </c>
      <c r="E103" s="143" t="s">
        <v>2504</v>
      </c>
      <c r="F103" s="143" t="s">
        <v>2504</v>
      </c>
      <c r="G103" s="143" t="s">
        <v>2504</v>
      </c>
      <c r="H103" s="143" t="s">
        <v>2504</v>
      </c>
      <c r="I103" s="143" t="str">
        <f t="shared" si="24"/>
        <v>NO EXISTE</v>
      </c>
      <c r="J103" s="143" t="str">
        <f t="shared" si="25"/>
        <v>NO EXISTE</v>
      </c>
      <c r="K103" s="143" t="str">
        <f t="shared" si="26"/>
        <v>NO EXISTE</v>
      </c>
      <c r="L103" s="143" t="str">
        <f t="shared" si="27"/>
        <v>NO EXISTE</v>
      </c>
      <c r="M103" s="143" t="str">
        <f t="shared" si="28"/>
        <v>NO EXISTE</v>
      </c>
      <c r="N103" s="143" t="str">
        <f t="shared" si="29"/>
        <v>NO EXISTE</v>
      </c>
      <c r="O103" s="143" t="str">
        <f t="shared" si="30"/>
        <v>NO EXISTE</v>
      </c>
      <c r="P103" s="143" t="str">
        <f t="shared" si="31"/>
        <v>NO EXISTE</v>
      </c>
      <c r="Q103" s="148" t="s">
        <v>1157</v>
      </c>
      <c r="R103" s="148" t="s">
        <v>1025</v>
      </c>
      <c r="S103" s="148" t="s">
        <v>1155</v>
      </c>
      <c r="T103" s="149">
        <v>1</v>
      </c>
      <c r="U103" s="148" t="s">
        <v>591</v>
      </c>
      <c r="V103" s="150">
        <v>94.24</v>
      </c>
      <c r="W103" s="151">
        <v>2262.4699999999998</v>
      </c>
    </row>
    <row r="104" spans="1:23" ht="15" customHeight="1" x14ac:dyDescent="0.25">
      <c r="A104" s="148">
        <v>10050</v>
      </c>
      <c r="B104" s="148" t="s">
        <v>1158</v>
      </c>
      <c r="C104" s="143" t="s">
        <v>2504</v>
      </c>
      <c r="D104" s="143" t="s">
        <v>2504</v>
      </c>
      <c r="E104" s="143" t="s">
        <v>2504</v>
      </c>
      <c r="F104" s="143" t="s">
        <v>2504</v>
      </c>
      <c r="G104" s="143" t="s">
        <v>2504</v>
      </c>
      <c r="H104" s="143" t="s">
        <v>2504</v>
      </c>
      <c r="I104" s="143" t="str">
        <f t="shared" si="24"/>
        <v>NO EXISTE</v>
      </c>
      <c r="J104" s="143" t="str">
        <f t="shared" si="25"/>
        <v>NO EXISTE</v>
      </c>
      <c r="K104" s="143" t="str">
        <f t="shared" si="26"/>
        <v>NO EXISTE</v>
      </c>
      <c r="L104" s="143" t="str">
        <f t="shared" si="27"/>
        <v>NO EXISTE</v>
      </c>
      <c r="M104" s="143" t="str">
        <f t="shared" si="28"/>
        <v>NO EXISTE</v>
      </c>
      <c r="N104" s="143" t="str">
        <f t="shared" si="29"/>
        <v>NO EXISTE</v>
      </c>
      <c r="O104" s="143" t="str">
        <f t="shared" si="30"/>
        <v>NO EXISTE</v>
      </c>
      <c r="P104" s="143" t="str">
        <f t="shared" si="31"/>
        <v>NO EXISTE</v>
      </c>
      <c r="Q104" s="148" t="s">
        <v>1159</v>
      </c>
      <c r="R104" s="148" t="s">
        <v>1025</v>
      </c>
      <c r="S104" s="148" t="s">
        <v>1155</v>
      </c>
      <c r="T104" s="149">
        <v>1</v>
      </c>
      <c r="U104" s="148" t="s">
        <v>591</v>
      </c>
      <c r="V104" s="150">
        <v>95.83</v>
      </c>
      <c r="W104" s="151">
        <v>24304.97</v>
      </c>
    </row>
    <row r="105" spans="1:23" ht="15" customHeight="1" x14ac:dyDescent="0.25">
      <c r="A105" s="148">
        <v>10062</v>
      </c>
      <c r="B105" s="148" t="s">
        <v>1162</v>
      </c>
      <c r="C105" s="143" t="s">
        <v>2504</v>
      </c>
      <c r="D105" s="143" t="s">
        <v>2504</v>
      </c>
      <c r="E105" s="143" t="s">
        <v>2504</v>
      </c>
      <c r="F105" s="143" t="s">
        <v>2504</v>
      </c>
      <c r="G105" s="143" t="s">
        <v>2504</v>
      </c>
      <c r="H105" s="143" t="s">
        <v>2504</v>
      </c>
      <c r="I105" s="143" t="str">
        <f t="shared" si="24"/>
        <v>NO EXISTE</v>
      </c>
      <c r="J105" s="143" t="str">
        <f t="shared" si="25"/>
        <v>NO EXISTE</v>
      </c>
      <c r="K105" s="143" t="str">
        <f t="shared" si="26"/>
        <v>NO EXISTE</v>
      </c>
      <c r="L105" s="143" t="str">
        <f t="shared" si="27"/>
        <v>NO EXISTE</v>
      </c>
      <c r="M105" s="143" t="str">
        <f t="shared" si="28"/>
        <v>NO EXISTE</v>
      </c>
      <c r="N105" s="143" t="str">
        <f t="shared" si="29"/>
        <v>NO EXISTE</v>
      </c>
      <c r="O105" s="143" t="str">
        <f t="shared" si="30"/>
        <v>NO EXISTE</v>
      </c>
      <c r="P105" s="143" t="str">
        <f t="shared" si="31"/>
        <v>NO EXISTE</v>
      </c>
      <c r="Q105" s="148" t="s">
        <v>1163</v>
      </c>
      <c r="R105" s="148" t="s">
        <v>1025</v>
      </c>
      <c r="S105" s="148" t="s">
        <v>1164</v>
      </c>
      <c r="T105" s="149">
        <v>1</v>
      </c>
      <c r="U105" s="148" t="s">
        <v>591</v>
      </c>
      <c r="V105" s="150">
        <v>127.51</v>
      </c>
      <c r="W105" s="151">
        <v>2050.04</v>
      </c>
    </row>
    <row r="106" spans="1:23" ht="15" customHeight="1" x14ac:dyDescent="0.25">
      <c r="A106" s="148">
        <v>10063</v>
      </c>
      <c r="B106" s="148" t="s">
        <v>1165</v>
      </c>
      <c r="C106" s="143" t="s">
        <v>2504</v>
      </c>
      <c r="D106" s="143" t="s">
        <v>2504</v>
      </c>
      <c r="E106" s="143" t="s">
        <v>2504</v>
      </c>
      <c r="F106" s="143" t="s">
        <v>2504</v>
      </c>
      <c r="G106" s="143" t="s">
        <v>2504</v>
      </c>
      <c r="H106" s="143" t="s">
        <v>2504</v>
      </c>
      <c r="I106" s="143" t="str">
        <f t="shared" si="24"/>
        <v>NO EXISTE</v>
      </c>
      <c r="J106" s="143" t="str">
        <f t="shared" si="25"/>
        <v>NO EXISTE</v>
      </c>
      <c r="K106" s="143" t="str">
        <f t="shared" si="26"/>
        <v>NO EXISTE</v>
      </c>
      <c r="L106" s="143" t="str">
        <f t="shared" si="27"/>
        <v>NO EXISTE</v>
      </c>
      <c r="M106" s="143" t="str">
        <f t="shared" si="28"/>
        <v>NO EXISTE</v>
      </c>
      <c r="N106" s="143" t="str">
        <f t="shared" si="29"/>
        <v>NO EXISTE</v>
      </c>
      <c r="O106" s="143" t="str">
        <f t="shared" si="30"/>
        <v>NO EXISTE</v>
      </c>
      <c r="P106" s="143" t="str">
        <f t="shared" si="31"/>
        <v>NO EXISTE</v>
      </c>
      <c r="Q106" s="148" t="s">
        <v>1166</v>
      </c>
      <c r="R106" s="148" t="s">
        <v>1025</v>
      </c>
      <c r="S106" s="148" t="s">
        <v>1164</v>
      </c>
      <c r="T106" s="149">
        <v>1</v>
      </c>
      <c r="U106" s="148" t="s">
        <v>591</v>
      </c>
      <c r="V106" s="150">
        <v>131.03</v>
      </c>
      <c r="W106" s="151">
        <v>22052.73</v>
      </c>
    </row>
    <row r="107" spans="1:23" ht="15" customHeight="1" x14ac:dyDescent="0.25">
      <c r="A107" s="148">
        <v>10065</v>
      </c>
      <c r="B107" s="148" t="s">
        <v>1167</v>
      </c>
      <c r="C107" s="143" t="s">
        <v>2504</v>
      </c>
      <c r="D107" s="143" t="s">
        <v>2504</v>
      </c>
      <c r="E107" s="143" t="s">
        <v>2504</v>
      </c>
      <c r="F107" s="143" t="s">
        <v>2504</v>
      </c>
      <c r="G107" s="143" t="s">
        <v>2504</v>
      </c>
      <c r="H107" s="143" t="s">
        <v>2504</v>
      </c>
      <c r="I107" s="143" t="str">
        <f t="shared" si="24"/>
        <v>NO EXISTE</v>
      </c>
      <c r="J107" s="143" t="str">
        <f t="shared" si="25"/>
        <v>NO EXISTE</v>
      </c>
      <c r="K107" s="143" t="str">
        <f t="shared" si="26"/>
        <v>NO EXISTE</v>
      </c>
      <c r="L107" s="143" t="str">
        <f t="shared" si="27"/>
        <v>NO EXISTE</v>
      </c>
      <c r="M107" s="143" t="str">
        <f t="shared" si="28"/>
        <v>NO EXISTE</v>
      </c>
      <c r="N107" s="143" t="str">
        <f t="shared" si="29"/>
        <v>NO EXISTE</v>
      </c>
      <c r="O107" s="143" t="str">
        <f t="shared" si="30"/>
        <v>NO EXISTE</v>
      </c>
      <c r="P107" s="143" t="str">
        <f t="shared" si="31"/>
        <v>NO EXISTE</v>
      </c>
      <c r="Q107" s="148" t="s">
        <v>1168</v>
      </c>
      <c r="R107" s="148" t="s">
        <v>1025</v>
      </c>
      <c r="S107" s="148" t="s">
        <v>1164</v>
      </c>
      <c r="T107" s="149">
        <v>1</v>
      </c>
      <c r="U107" s="148" t="s">
        <v>591</v>
      </c>
      <c r="V107" s="150">
        <v>133.54</v>
      </c>
      <c r="W107" s="151">
        <v>413.6</v>
      </c>
    </row>
    <row r="108" spans="1:23" ht="15" customHeight="1" x14ac:dyDescent="0.25">
      <c r="A108" s="148">
        <v>10077</v>
      </c>
      <c r="B108" s="148" t="s">
        <v>1169</v>
      </c>
      <c r="C108" s="143" t="s">
        <v>2504</v>
      </c>
      <c r="D108" s="143" t="s">
        <v>2504</v>
      </c>
      <c r="E108" s="143" t="s">
        <v>2504</v>
      </c>
      <c r="F108" s="143" t="s">
        <v>2504</v>
      </c>
      <c r="G108" s="143" t="s">
        <v>2504</v>
      </c>
      <c r="H108" s="143" t="s">
        <v>2504</v>
      </c>
      <c r="I108" s="143" t="str">
        <f t="shared" si="24"/>
        <v>NO EXISTE</v>
      </c>
      <c r="J108" s="143" t="str">
        <f t="shared" si="25"/>
        <v>NO EXISTE</v>
      </c>
      <c r="K108" s="143" t="str">
        <f t="shared" si="26"/>
        <v>NO EXISTE</v>
      </c>
      <c r="L108" s="143" t="str">
        <f t="shared" si="27"/>
        <v>NO EXISTE</v>
      </c>
      <c r="M108" s="143" t="str">
        <f t="shared" si="28"/>
        <v>NO EXISTE</v>
      </c>
      <c r="N108" s="143" t="str">
        <f t="shared" si="29"/>
        <v>NO EXISTE</v>
      </c>
      <c r="O108" s="143" t="str">
        <f t="shared" si="30"/>
        <v>NO EXISTE</v>
      </c>
      <c r="P108" s="143" t="str">
        <f t="shared" si="31"/>
        <v>NO EXISTE</v>
      </c>
      <c r="Q108" s="148" t="s">
        <v>1170</v>
      </c>
      <c r="R108" s="148" t="s">
        <v>1025</v>
      </c>
      <c r="S108" s="148" t="s">
        <v>1171</v>
      </c>
      <c r="T108" s="149">
        <v>1</v>
      </c>
      <c r="U108" s="148" t="s">
        <v>591</v>
      </c>
      <c r="V108" s="150">
        <v>97.1</v>
      </c>
      <c r="W108" s="151">
        <v>820.63</v>
      </c>
    </row>
    <row r="109" spans="1:23" ht="15" customHeight="1" x14ac:dyDescent="0.25">
      <c r="A109" s="148">
        <v>10078</v>
      </c>
      <c r="B109" s="148" t="s">
        <v>1172</v>
      </c>
      <c r="C109" s="143" t="s">
        <v>2504</v>
      </c>
      <c r="D109" s="143" t="s">
        <v>2504</v>
      </c>
      <c r="E109" s="143" t="s">
        <v>2504</v>
      </c>
      <c r="F109" s="143" t="s">
        <v>2504</v>
      </c>
      <c r="G109" s="143" t="s">
        <v>2504</v>
      </c>
      <c r="H109" s="143" t="s">
        <v>2504</v>
      </c>
      <c r="I109" s="143" t="str">
        <f t="shared" si="24"/>
        <v>NO EXISTE</v>
      </c>
      <c r="J109" s="143" t="str">
        <f t="shared" si="25"/>
        <v>NO EXISTE</v>
      </c>
      <c r="K109" s="143" t="str">
        <f t="shared" si="26"/>
        <v>NO EXISTE</v>
      </c>
      <c r="L109" s="143" t="str">
        <f t="shared" si="27"/>
        <v>NO EXISTE</v>
      </c>
      <c r="M109" s="143" t="str">
        <f t="shared" si="28"/>
        <v>NO EXISTE</v>
      </c>
      <c r="N109" s="143" t="str">
        <f t="shared" si="29"/>
        <v>NO EXISTE</v>
      </c>
      <c r="O109" s="143" t="str">
        <f t="shared" si="30"/>
        <v>NO EXISTE</v>
      </c>
      <c r="P109" s="143" t="str">
        <f t="shared" si="31"/>
        <v>NO EXISTE</v>
      </c>
      <c r="Q109" s="148" t="s">
        <v>1173</v>
      </c>
      <c r="R109" s="148" t="s">
        <v>1025</v>
      </c>
      <c r="S109" s="148" t="s">
        <v>1171</v>
      </c>
      <c r="T109" s="149">
        <v>1</v>
      </c>
      <c r="U109" s="148" t="s">
        <v>591</v>
      </c>
      <c r="V109" s="150">
        <v>98.26</v>
      </c>
      <c r="W109" s="151">
        <v>1801.37</v>
      </c>
    </row>
    <row r="110" spans="1:23" ht="15" customHeight="1" x14ac:dyDescent="0.25">
      <c r="A110" s="148">
        <v>10081</v>
      </c>
      <c r="B110" s="148" t="s">
        <v>1174</v>
      </c>
      <c r="C110" s="143" t="s">
        <v>2504</v>
      </c>
      <c r="D110" s="143" t="s">
        <v>2504</v>
      </c>
      <c r="E110" s="143" t="s">
        <v>2504</v>
      </c>
      <c r="F110" s="143" t="s">
        <v>2504</v>
      </c>
      <c r="G110" s="143" t="s">
        <v>2504</v>
      </c>
      <c r="H110" s="143" t="s">
        <v>2504</v>
      </c>
      <c r="I110" s="143" t="str">
        <f t="shared" si="24"/>
        <v>NO EXISTE</v>
      </c>
      <c r="J110" s="143" t="str">
        <f t="shared" si="25"/>
        <v>NO EXISTE</v>
      </c>
      <c r="K110" s="143" t="str">
        <f t="shared" si="26"/>
        <v>NO EXISTE</v>
      </c>
      <c r="L110" s="143" t="str">
        <f t="shared" si="27"/>
        <v>NO EXISTE</v>
      </c>
      <c r="M110" s="143" t="str">
        <f t="shared" si="28"/>
        <v>NO EXISTE</v>
      </c>
      <c r="N110" s="143" t="str">
        <f t="shared" si="29"/>
        <v>NO EXISTE</v>
      </c>
      <c r="O110" s="143" t="str">
        <f t="shared" si="30"/>
        <v>NO EXISTE</v>
      </c>
      <c r="P110" s="143" t="str">
        <f t="shared" si="31"/>
        <v>NO EXISTE</v>
      </c>
      <c r="Q110" s="148" t="s">
        <v>1175</v>
      </c>
      <c r="R110" s="148" t="s">
        <v>1025</v>
      </c>
      <c r="S110" s="148" t="s">
        <v>1176</v>
      </c>
      <c r="T110" s="149">
        <v>1</v>
      </c>
      <c r="U110" s="148" t="s">
        <v>591</v>
      </c>
      <c r="V110" s="150">
        <v>98.76</v>
      </c>
      <c r="W110" s="151">
        <v>19410.560000000001</v>
      </c>
    </row>
    <row r="111" spans="1:23" ht="15" customHeight="1" x14ac:dyDescent="0.25">
      <c r="A111" s="148">
        <v>10084</v>
      </c>
      <c r="B111" s="148" t="s">
        <v>1177</v>
      </c>
      <c r="C111" s="143" t="s">
        <v>2504</v>
      </c>
      <c r="D111" s="143" t="s">
        <v>2504</v>
      </c>
      <c r="E111" s="143" t="s">
        <v>2504</v>
      </c>
      <c r="F111" s="143" t="s">
        <v>2504</v>
      </c>
      <c r="G111" s="143" t="s">
        <v>2504</v>
      </c>
      <c r="H111" s="143" t="s">
        <v>2504</v>
      </c>
      <c r="I111" s="143" t="str">
        <f t="shared" si="24"/>
        <v>NO EXISTE</v>
      </c>
      <c r="J111" s="143" t="str">
        <f t="shared" si="25"/>
        <v>NO EXISTE</v>
      </c>
      <c r="K111" s="143" t="str">
        <f t="shared" si="26"/>
        <v>NO EXISTE</v>
      </c>
      <c r="L111" s="143" t="str">
        <f t="shared" si="27"/>
        <v>NO EXISTE</v>
      </c>
      <c r="M111" s="143" t="str">
        <f t="shared" si="28"/>
        <v>NO EXISTE</v>
      </c>
      <c r="N111" s="143" t="str">
        <f t="shared" si="29"/>
        <v>NO EXISTE</v>
      </c>
      <c r="O111" s="143" t="str">
        <f t="shared" si="30"/>
        <v>NO EXISTE</v>
      </c>
      <c r="P111" s="143" t="str">
        <f t="shared" si="31"/>
        <v>NO EXISTE</v>
      </c>
      <c r="Q111" s="148" t="s">
        <v>1178</v>
      </c>
      <c r="R111" s="148" t="s">
        <v>1025</v>
      </c>
      <c r="S111" s="148" t="s">
        <v>1176</v>
      </c>
      <c r="T111" s="149">
        <v>1</v>
      </c>
      <c r="U111" s="148" t="s">
        <v>591</v>
      </c>
      <c r="V111" s="150">
        <v>99.88</v>
      </c>
      <c r="W111" s="151">
        <v>2461.81</v>
      </c>
    </row>
    <row r="112" spans="1:23" ht="15" customHeight="1" x14ac:dyDescent="0.25">
      <c r="A112" s="148">
        <v>10086</v>
      </c>
      <c r="B112" s="148" t="s">
        <v>1179</v>
      </c>
      <c r="C112" s="143" t="s">
        <v>2504</v>
      </c>
      <c r="D112" s="143" t="s">
        <v>2504</v>
      </c>
      <c r="E112" s="143" t="s">
        <v>2504</v>
      </c>
      <c r="F112" s="143" t="s">
        <v>2504</v>
      </c>
      <c r="G112" s="143" t="s">
        <v>2504</v>
      </c>
      <c r="H112" s="143" t="s">
        <v>2504</v>
      </c>
      <c r="I112" s="143" t="str">
        <f t="shared" si="24"/>
        <v>NO EXISTE</v>
      </c>
      <c r="J112" s="143" t="str">
        <f t="shared" si="25"/>
        <v>NO EXISTE</v>
      </c>
      <c r="K112" s="143" t="str">
        <f t="shared" si="26"/>
        <v>NO EXISTE</v>
      </c>
      <c r="L112" s="143" t="str">
        <f t="shared" si="27"/>
        <v>NO EXISTE</v>
      </c>
      <c r="M112" s="143" t="str">
        <f t="shared" si="28"/>
        <v>NO EXISTE</v>
      </c>
      <c r="N112" s="143" t="str">
        <f t="shared" si="29"/>
        <v>NO EXISTE</v>
      </c>
      <c r="O112" s="143" t="str">
        <f t="shared" si="30"/>
        <v>NO EXISTE</v>
      </c>
      <c r="P112" s="143" t="str">
        <f t="shared" si="31"/>
        <v>NO EXISTE</v>
      </c>
      <c r="Q112" s="148" t="s">
        <v>1180</v>
      </c>
      <c r="R112" s="148" t="s">
        <v>1025</v>
      </c>
      <c r="S112" s="148" t="s">
        <v>1176</v>
      </c>
      <c r="T112" s="149">
        <v>1</v>
      </c>
      <c r="U112" s="148" t="s">
        <v>591</v>
      </c>
      <c r="V112" s="150">
        <v>99.87</v>
      </c>
      <c r="W112" s="151">
        <v>26427.73</v>
      </c>
    </row>
    <row r="113" spans="1:23" ht="15" customHeight="1" x14ac:dyDescent="0.25">
      <c r="A113" s="148">
        <v>10107</v>
      </c>
      <c r="B113" s="148" t="s">
        <v>1181</v>
      </c>
      <c r="C113" s="143" t="s">
        <v>2504</v>
      </c>
      <c r="D113" s="143" t="s">
        <v>2504</v>
      </c>
      <c r="E113" s="143" t="s">
        <v>2504</v>
      </c>
      <c r="F113" s="143" t="s">
        <v>2504</v>
      </c>
      <c r="G113" s="143" t="s">
        <v>2504</v>
      </c>
      <c r="H113" s="143" t="s">
        <v>2504</v>
      </c>
      <c r="I113" s="143" t="str">
        <f t="shared" si="24"/>
        <v>NO EXISTE</v>
      </c>
      <c r="J113" s="143" t="str">
        <f t="shared" si="25"/>
        <v>NO EXISTE</v>
      </c>
      <c r="K113" s="143" t="str">
        <f t="shared" si="26"/>
        <v>NO EXISTE</v>
      </c>
      <c r="L113" s="143" t="str">
        <f t="shared" si="27"/>
        <v>NO EXISTE</v>
      </c>
      <c r="M113" s="143" t="str">
        <f t="shared" si="28"/>
        <v>NO EXISTE</v>
      </c>
      <c r="N113" s="143" t="str">
        <f t="shared" si="29"/>
        <v>NO EXISTE</v>
      </c>
      <c r="O113" s="143" t="str">
        <f t="shared" si="30"/>
        <v>NO EXISTE</v>
      </c>
      <c r="P113" s="143" t="str">
        <f t="shared" si="31"/>
        <v>NO EXISTE</v>
      </c>
      <c r="Q113" s="148" t="s">
        <v>1182</v>
      </c>
      <c r="R113" s="148" t="s">
        <v>1025</v>
      </c>
      <c r="S113" s="148" t="s">
        <v>1183</v>
      </c>
      <c r="T113" s="149">
        <v>1</v>
      </c>
      <c r="U113" s="148" t="s">
        <v>591</v>
      </c>
      <c r="V113" s="150">
        <v>105.38</v>
      </c>
      <c r="W113" s="151">
        <f>V113*15</f>
        <v>1580.6999999999998</v>
      </c>
    </row>
    <row r="114" spans="1:23" ht="15" customHeight="1" x14ac:dyDescent="0.25">
      <c r="A114" s="148">
        <v>10108</v>
      </c>
      <c r="B114" s="148" t="s">
        <v>1184</v>
      </c>
      <c r="C114" s="143" t="s">
        <v>2504</v>
      </c>
      <c r="D114" s="143" t="s">
        <v>2504</v>
      </c>
      <c r="E114" s="143" t="s">
        <v>2504</v>
      </c>
      <c r="F114" s="143" t="s">
        <v>2504</v>
      </c>
      <c r="G114" s="143" t="s">
        <v>2504</v>
      </c>
      <c r="H114" s="143" t="s">
        <v>2504</v>
      </c>
      <c r="I114" s="143" t="str">
        <f t="shared" si="24"/>
        <v>NO EXISTE</v>
      </c>
      <c r="J114" s="143" t="str">
        <f t="shared" si="25"/>
        <v>NO EXISTE</v>
      </c>
      <c r="K114" s="143" t="str">
        <f t="shared" si="26"/>
        <v>NO EXISTE</v>
      </c>
      <c r="L114" s="143" t="str">
        <f t="shared" si="27"/>
        <v>NO EXISTE</v>
      </c>
      <c r="M114" s="143" t="str">
        <f t="shared" si="28"/>
        <v>NO EXISTE</v>
      </c>
      <c r="N114" s="143" t="str">
        <f t="shared" si="29"/>
        <v>NO EXISTE</v>
      </c>
      <c r="O114" s="143" t="str">
        <f t="shared" si="30"/>
        <v>NO EXISTE</v>
      </c>
      <c r="P114" s="143" t="str">
        <f t="shared" si="31"/>
        <v>NO EXISTE</v>
      </c>
      <c r="Q114" s="148" t="s">
        <v>1185</v>
      </c>
      <c r="R114" s="148" t="s">
        <v>1025</v>
      </c>
      <c r="S114" s="148" t="s">
        <v>1183</v>
      </c>
      <c r="T114" s="149">
        <v>1</v>
      </c>
      <c r="U114" s="148" t="s">
        <v>591</v>
      </c>
      <c r="V114" s="150">
        <v>115.35</v>
      </c>
      <c r="W114" s="151">
        <f>V114*1000</f>
        <v>115350</v>
      </c>
    </row>
    <row r="115" spans="1:23" ht="15" customHeight="1" x14ac:dyDescent="0.25">
      <c r="A115" s="148">
        <v>10110</v>
      </c>
      <c r="B115" s="148" t="s">
        <v>1186</v>
      </c>
      <c r="C115" s="143" t="s">
        <v>2504</v>
      </c>
      <c r="D115" s="143" t="s">
        <v>2504</v>
      </c>
      <c r="E115" s="143" t="s">
        <v>2504</v>
      </c>
      <c r="F115" s="143" t="s">
        <v>2504</v>
      </c>
      <c r="G115" s="143" t="s">
        <v>2504</v>
      </c>
      <c r="H115" s="143" t="s">
        <v>2504</v>
      </c>
      <c r="I115" s="143" t="str">
        <f t="shared" si="24"/>
        <v>NO EXISTE</v>
      </c>
      <c r="J115" s="143" t="str">
        <f t="shared" si="25"/>
        <v>NO EXISTE</v>
      </c>
      <c r="K115" s="143" t="str">
        <f t="shared" si="26"/>
        <v>NO EXISTE</v>
      </c>
      <c r="L115" s="143" t="str">
        <f t="shared" si="27"/>
        <v>NO EXISTE</v>
      </c>
      <c r="M115" s="143" t="str">
        <f t="shared" si="28"/>
        <v>NO EXISTE</v>
      </c>
      <c r="N115" s="143" t="str">
        <f t="shared" si="29"/>
        <v>NO EXISTE</v>
      </c>
      <c r="O115" s="143" t="str">
        <f t="shared" si="30"/>
        <v>NO EXISTE</v>
      </c>
      <c r="P115" s="143" t="str">
        <f t="shared" si="31"/>
        <v>NO EXISTE</v>
      </c>
      <c r="Q115" s="148" t="s">
        <v>1187</v>
      </c>
      <c r="R115" s="148" t="s">
        <v>1025</v>
      </c>
      <c r="S115" s="148" t="s">
        <v>1183</v>
      </c>
      <c r="T115" s="149">
        <v>1</v>
      </c>
      <c r="U115" s="148" t="s">
        <v>591</v>
      </c>
      <c r="V115" s="150">
        <v>136.22</v>
      </c>
      <c r="W115" s="151">
        <v>35156.54</v>
      </c>
    </row>
    <row r="116" spans="1:23" ht="15" customHeight="1" x14ac:dyDescent="0.25">
      <c r="A116" s="148">
        <v>10130</v>
      </c>
      <c r="B116" s="148" t="s">
        <v>1190</v>
      </c>
      <c r="C116" s="143" t="s">
        <v>2504</v>
      </c>
      <c r="D116" s="143" t="s">
        <v>2504</v>
      </c>
      <c r="E116" s="143" t="s">
        <v>2504</v>
      </c>
      <c r="F116" s="143" t="s">
        <v>2504</v>
      </c>
      <c r="G116" s="143" t="s">
        <v>2504</v>
      </c>
      <c r="H116" s="143" t="s">
        <v>2504</v>
      </c>
      <c r="I116" s="143" t="str">
        <f t="shared" si="24"/>
        <v>NO EXISTE</v>
      </c>
      <c r="J116" s="143" t="str">
        <f t="shared" si="25"/>
        <v>NO EXISTE</v>
      </c>
      <c r="K116" s="143" t="str">
        <f t="shared" si="26"/>
        <v>NO EXISTE</v>
      </c>
      <c r="L116" s="143" t="str">
        <f t="shared" si="27"/>
        <v>NO EXISTE</v>
      </c>
      <c r="M116" s="143" t="str">
        <f t="shared" si="28"/>
        <v>NO EXISTE</v>
      </c>
      <c r="N116" s="143" t="str">
        <f t="shared" si="29"/>
        <v>NO EXISTE</v>
      </c>
      <c r="O116" s="143" t="str">
        <f t="shared" si="30"/>
        <v>NO EXISTE</v>
      </c>
      <c r="P116" s="143" t="str">
        <f t="shared" si="31"/>
        <v>NO EXISTE</v>
      </c>
      <c r="Q116" s="148" t="s">
        <v>1191</v>
      </c>
      <c r="R116" s="148" t="s">
        <v>1025</v>
      </c>
      <c r="S116" s="148" t="s">
        <v>1192</v>
      </c>
      <c r="T116" s="149">
        <v>1</v>
      </c>
      <c r="U116" s="148" t="s">
        <v>591</v>
      </c>
      <c r="V116" s="150">
        <v>212.62</v>
      </c>
      <c r="W116" s="151">
        <f>V116*4</f>
        <v>850.48</v>
      </c>
    </row>
    <row r="117" spans="1:23" ht="15" customHeight="1" x14ac:dyDescent="0.25">
      <c r="A117" s="148">
        <v>10134</v>
      </c>
      <c r="B117" s="148" t="s">
        <v>1193</v>
      </c>
      <c r="C117" s="143" t="s">
        <v>2504</v>
      </c>
      <c r="D117" s="143" t="s">
        <v>2504</v>
      </c>
      <c r="E117" s="143" t="s">
        <v>2504</v>
      </c>
      <c r="F117" s="143" t="s">
        <v>2504</v>
      </c>
      <c r="G117" s="143" t="s">
        <v>2504</v>
      </c>
      <c r="H117" s="143" t="s">
        <v>2504</v>
      </c>
      <c r="I117" s="143" t="str">
        <f t="shared" si="24"/>
        <v>NO EXISTE</v>
      </c>
      <c r="J117" s="143" t="str">
        <f t="shared" si="25"/>
        <v>NO EXISTE</v>
      </c>
      <c r="K117" s="143" t="str">
        <f t="shared" si="26"/>
        <v>NO EXISTE</v>
      </c>
      <c r="L117" s="143" t="str">
        <f t="shared" si="27"/>
        <v>NO EXISTE</v>
      </c>
      <c r="M117" s="143" t="str">
        <f t="shared" si="28"/>
        <v>NO EXISTE</v>
      </c>
      <c r="N117" s="143" t="str">
        <f t="shared" si="29"/>
        <v>NO EXISTE</v>
      </c>
      <c r="O117" s="143" t="str">
        <f t="shared" si="30"/>
        <v>NO EXISTE</v>
      </c>
      <c r="P117" s="143" t="str">
        <f t="shared" si="31"/>
        <v>NO EXISTE</v>
      </c>
      <c r="Q117" s="148" t="s">
        <v>1194</v>
      </c>
      <c r="R117" s="148" t="s">
        <v>1025</v>
      </c>
      <c r="S117" s="148" t="s">
        <v>1195</v>
      </c>
      <c r="T117" s="149">
        <v>1</v>
      </c>
      <c r="U117" s="148" t="s">
        <v>591</v>
      </c>
      <c r="V117" s="150">
        <v>101.05</v>
      </c>
      <c r="W117" s="151">
        <v>2169.71</v>
      </c>
    </row>
    <row r="118" spans="1:23" ht="15" customHeight="1" x14ac:dyDescent="0.25">
      <c r="A118" s="148">
        <v>10135</v>
      </c>
      <c r="B118" s="148" t="s">
        <v>1196</v>
      </c>
      <c r="C118" s="143" t="s">
        <v>2504</v>
      </c>
      <c r="D118" s="143" t="s">
        <v>2504</v>
      </c>
      <c r="E118" s="143" t="s">
        <v>2504</v>
      </c>
      <c r="F118" s="143" t="s">
        <v>2504</v>
      </c>
      <c r="G118" s="143" t="s">
        <v>2504</v>
      </c>
      <c r="H118" s="143" t="s">
        <v>2504</v>
      </c>
      <c r="I118" s="143" t="str">
        <f t="shared" si="24"/>
        <v>NO EXISTE</v>
      </c>
      <c r="J118" s="143" t="str">
        <f t="shared" si="25"/>
        <v>NO EXISTE</v>
      </c>
      <c r="K118" s="143" t="str">
        <f t="shared" si="26"/>
        <v>NO EXISTE</v>
      </c>
      <c r="L118" s="143" t="str">
        <f t="shared" si="27"/>
        <v>NO EXISTE</v>
      </c>
      <c r="M118" s="143" t="str">
        <f t="shared" si="28"/>
        <v>NO EXISTE</v>
      </c>
      <c r="N118" s="143" t="str">
        <f t="shared" si="29"/>
        <v>NO EXISTE</v>
      </c>
      <c r="O118" s="143" t="str">
        <f t="shared" si="30"/>
        <v>NO EXISTE</v>
      </c>
      <c r="P118" s="143" t="str">
        <f t="shared" si="31"/>
        <v>NO EXISTE</v>
      </c>
      <c r="Q118" s="148" t="s">
        <v>1197</v>
      </c>
      <c r="R118" s="148" t="s">
        <v>1025</v>
      </c>
      <c r="S118" s="148" t="s">
        <v>1198</v>
      </c>
      <c r="T118" s="149">
        <v>1</v>
      </c>
      <c r="U118" s="148" t="s">
        <v>591</v>
      </c>
      <c r="V118" s="150">
        <v>102.93</v>
      </c>
      <c r="W118" s="151">
        <v>2335.2800000000002</v>
      </c>
    </row>
    <row r="119" spans="1:23" ht="15" customHeight="1" x14ac:dyDescent="0.25">
      <c r="A119" s="148">
        <v>10136</v>
      </c>
      <c r="B119" s="148" t="s">
        <v>1199</v>
      </c>
      <c r="C119" s="143" t="s">
        <v>2504</v>
      </c>
      <c r="D119" s="143" t="s">
        <v>2504</v>
      </c>
      <c r="E119" s="143" t="s">
        <v>2504</v>
      </c>
      <c r="F119" s="143" t="s">
        <v>2504</v>
      </c>
      <c r="G119" s="143" t="s">
        <v>2504</v>
      </c>
      <c r="H119" s="143" t="s">
        <v>2504</v>
      </c>
      <c r="I119" s="143" t="str">
        <f t="shared" si="24"/>
        <v>NO EXISTE</v>
      </c>
      <c r="J119" s="143" t="str">
        <f t="shared" si="25"/>
        <v>NO EXISTE</v>
      </c>
      <c r="K119" s="143" t="str">
        <f t="shared" si="26"/>
        <v>NO EXISTE</v>
      </c>
      <c r="L119" s="143" t="str">
        <f t="shared" si="27"/>
        <v>NO EXISTE</v>
      </c>
      <c r="M119" s="143" t="str">
        <f t="shared" si="28"/>
        <v>NO EXISTE</v>
      </c>
      <c r="N119" s="143" t="str">
        <f t="shared" si="29"/>
        <v>NO EXISTE</v>
      </c>
      <c r="O119" s="143" t="str">
        <f t="shared" si="30"/>
        <v>NO EXISTE</v>
      </c>
      <c r="P119" s="143" t="str">
        <f t="shared" si="31"/>
        <v>NO EXISTE</v>
      </c>
      <c r="Q119" s="148" t="s">
        <v>1200</v>
      </c>
      <c r="R119" s="148" t="s">
        <v>1025</v>
      </c>
      <c r="S119" s="148" t="s">
        <v>1201</v>
      </c>
      <c r="T119" s="149">
        <v>1</v>
      </c>
      <c r="U119" s="148" t="s">
        <v>591</v>
      </c>
      <c r="V119" s="150">
        <v>124.23</v>
      </c>
      <c r="W119" s="151">
        <v>24257.18</v>
      </c>
    </row>
    <row r="120" spans="1:23" ht="15" customHeight="1" x14ac:dyDescent="0.25">
      <c r="A120" s="148">
        <v>10137</v>
      </c>
      <c r="B120" s="148" t="s">
        <v>1202</v>
      </c>
      <c r="C120" s="143" t="s">
        <v>2504</v>
      </c>
      <c r="D120" s="143" t="s">
        <v>2504</v>
      </c>
      <c r="E120" s="143" t="s">
        <v>2504</v>
      </c>
      <c r="F120" s="143" t="s">
        <v>2504</v>
      </c>
      <c r="G120" s="143" t="s">
        <v>2504</v>
      </c>
      <c r="H120" s="143" t="s">
        <v>2504</v>
      </c>
      <c r="I120" s="143" t="str">
        <f t="shared" si="24"/>
        <v>NO EXISTE</v>
      </c>
      <c r="J120" s="143" t="str">
        <f t="shared" si="25"/>
        <v>NO EXISTE</v>
      </c>
      <c r="K120" s="143" t="str">
        <f t="shared" si="26"/>
        <v>NO EXISTE</v>
      </c>
      <c r="L120" s="143" t="str">
        <f t="shared" si="27"/>
        <v>NO EXISTE</v>
      </c>
      <c r="M120" s="143" t="str">
        <f t="shared" si="28"/>
        <v>NO EXISTE</v>
      </c>
      <c r="N120" s="143" t="str">
        <f t="shared" si="29"/>
        <v>NO EXISTE</v>
      </c>
      <c r="O120" s="143" t="str">
        <f t="shared" si="30"/>
        <v>NO EXISTE</v>
      </c>
      <c r="P120" s="143" t="str">
        <f t="shared" si="31"/>
        <v>NO EXISTE</v>
      </c>
      <c r="Q120" s="148" t="s">
        <v>1203</v>
      </c>
      <c r="R120" s="148" t="s">
        <v>1025</v>
      </c>
      <c r="S120" s="148" t="s">
        <v>1201</v>
      </c>
      <c r="T120" s="149">
        <v>1</v>
      </c>
      <c r="U120" s="148" t="s">
        <v>591</v>
      </c>
      <c r="V120" s="150">
        <v>124.62</v>
      </c>
      <c r="W120" s="151">
        <f>V120*15</f>
        <v>1869.3000000000002</v>
      </c>
    </row>
    <row r="121" spans="1:23" ht="15" customHeight="1" x14ac:dyDescent="0.25">
      <c r="A121" s="148">
        <v>10139</v>
      </c>
      <c r="B121" s="148" t="s">
        <v>1204</v>
      </c>
      <c r="C121" s="143" t="s">
        <v>2504</v>
      </c>
      <c r="D121" s="143" t="s">
        <v>2504</v>
      </c>
      <c r="E121" s="143" t="s">
        <v>2504</v>
      </c>
      <c r="F121" s="143" t="s">
        <v>2504</v>
      </c>
      <c r="G121" s="143" t="s">
        <v>2504</v>
      </c>
      <c r="H121" s="143" t="s">
        <v>2504</v>
      </c>
      <c r="I121" s="143" t="str">
        <f t="shared" si="24"/>
        <v>NO EXISTE</v>
      </c>
      <c r="J121" s="143" t="str">
        <f t="shared" si="25"/>
        <v>NO EXISTE</v>
      </c>
      <c r="K121" s="143" t="str">
        <f t="shared" si="26"/>
        <v>NO EXISTE</v>
      </c>
      <c r="L121" s="143" t="str">
        <f t="shared" si="27"/>
        <v>NO EXISTE</v>
      </c>
      <c r="M121" s="143" t="str">
        <f t="shared" si="28"/>
        <v>NO EXISTE</v>
      </c>
      <c r="N121" s="143" t="str">
        <f t="shared" si="29"/>
        <v>NO EXISTE</v>
      </c>
      <c r="O121" s="143" t="str">
        <f t="shared" si="30"/>
        <v>NO EXISTE</v>
      </c>
      <c r="P121" s="143" t="str">
        <f t="shared" si="31"/>
        <v>NO EXISTE</v>
      </c>
      <c r="Q121" s="148" t="s">
        <v>1205</v>
      </c>
      <c r="R121" s="148" t="s">
        <v>1025</v>
      </c>
      <c r="S121" s="148" t="s">
        <v>1206</v>
      </c>
      <c r="T121" s="149">
        <v>1</v>
      </c>
      <c r="U121" s="148" t="s">
        <v>591</v>
      </c>
      <c r="V121" s="150">
        <v>119.62</v>
      </c>
      <c r="W121" s="151">
        <v>3360.66</v>
      </c>
    </row>
    <row r="122" spans="1:23" ht="15" customHeight="1" x14ac:dyDescent="0.25">
      <c r="A122" s="148">
        <v>10141</v>
      </c>
      <c r="B122" s="148" t="s">
        <v>1207</v>
      </c>
      <c r="C122" s="143" t="s">
        <v>2504</v>
      </c>
      <c r="D122" s="143" t="s">
        <v>2504</v>
      </c>
      <c r="E122" s="143" t="s">
        <v>2504</v>
      </c>
      <c r="F122" s="143" t="s">
        <v>2504</v>
      </c>
      <c r="G122" s="143" t="s">
        <v>2504</v>
      </c>
      <c r="H122" s="143" t="s">
        <v>2504</v>
      </c>
      <c r="I122" s="143" t="str">
        <f t="shared" si="24"/>
        <v>NO EXISTE</v>
      </c>
      <c r="J122" s="143" t="str">
        <f t="shared" si="25"/>
        <v>NO EXISTE</v>
      </c>
      <c r="K122" s="143" t="str">
        <f t="shared" si="26"/>
        <v>NO EXISTE</v>
      </c>
      <c r="L122" s="143" t="str">
        <f t="shared" si="27"/>
        <v>NO EXISTE</v>
      </c>
      <c r="M122" s="143" t="str">
        <f t="shared" si="28"/>
        <v>NO EXISTE</v>
      </c>
      <c r="N122" s="143" t="str">
        <f t="shared" si="29"/>
        <v>NO EXISTE</v>
      </c>
      <c r="O122" s="143" t="str">
        <f t="shared" si="30"/>
        <v>NO EXISTE</v>
      </c>
      <c r="P122" s="143" t="str">
        <f t="shared" si="31"/>
        <v>NO EXISTE</v>
      </c>
      <c r="Q122" s="148" t="s">
        <v>1208</v>
      </c>
      <c r="R122" s="148" t="s">
        <v>1025</v>
      </c>
      <c r="S122" s="148" t="s">
        <v>1209</v>
      </c>
      <c r="T122" s="149">
        <v>1</v>
      </c>
      <c r="U122" s="148" t="s">
        <v>591</v>
      </c>
      <c r="V122" s="150">
        <v>88.09</v>
      </c>
      <c r="W122" s="151">
        <v>27851.02</v>
      </c>
    </row>
    <row r="123" spans="1:23" ht="15" customHeight="1" x14ac:dyDescent="0.25">
      <c r="A123" s="148">
        <v>10144</v>
      </c>
      <c r="B123" s="148" t="s">
        <v>1210</v>
      </c>
      <c r="C123" s="143" t="s">
        <v>2504</v>
      </c>
      <c r="D123" s="143" t="s">
        <v>2504</v>
      </c>
      <c r="E123" s="143" t="s">
        <v>2504</v>
      </c>
      <c r="F123" s="143" t="s">
        <v>2504</v>
      </c>
      <c r="G123" s="143" t="s">
        <v>2504</v>
      </c>
      <c r="H123" s="143" t="s">
        <v>2504</v>
      </c>
      <c r="I123" s="143" t="str">
        <f t="shared" si="24"/>
        <v>NO EXISTE</v>
      </c>
      <c r="J123" s="143" t="str">
        <f t="shared" si="25"/>
        <v>NO EXISTE</v>
      </c>
      <c r="K123" s="143" t="str">
        <f t="shared" si="26"/>
        <v>NO EXISTE</v>
      </c>
      <c r="L123" s="143" t="str">
        <f t="shared" si="27"/>
        <v>NO EXISTE</v>
      </c>
      <c r="M123" s="143" t="str">
        <f t="shared" si="28"/>
        <v>NO EXISTE</v>
      </c>
      <c r="N123" s="143" t="str">
        <f t="shared" si="29"/>
        <v>NO EXISTE</v>
      </c>
      <c r="O123" s="143" t="str">
        <f t="shared" si="30"/>
        <v>NO EXISTE</v>
      </c>
      <c r="P123" s="143" t="str">
        <f t="shared" si="31"/>
        <v>NO EXISTE</v>
      </c>
      <c r="Q123" s="148" t="s">
        <v>1211</v>
      </c>
      <c r="R123" s="148" t="s">
        <v>1025</v>
      </c>
      <c r="S123" s="148" t="s">
        <v>1212</v>
      </c>
      <c r="T123" s="149">
        <v>1</v>
      </c>
      <c r="U123" s="148" t="s">
        <v>591</v>
      </c>
      <c r="V123" s="150">
        <v>100.09</v>
      </c>
      <c r="W123" s="151">
        <v>5319.69</v>
      </c>
    </row>
    <row r="124" spans="1:23" ht="15" customHeight="1" x14ac:dyDescent="0.25">
      <c r="A124" s="148">
        <v>10148</v>
      </c>
      <c r="B124" s="148" t="s">
        <v>1213</v>
      </c>
      <c r="C124" s="143" t="s">
        <v>2504</v>
      </c>
      <c r="D124" s="143" t="s">
        <v>2504</v>
      </c>
      <c r="E124" s="143" t="s">
        <v>2504</v>
      </c>
      <c r="F124" s="143" t="s">
        <v>2504</v>
      </c>
      <c r="G124" s="143" t="s">
        <v>2504</v>
      </c>
      <c r="H124" s="143" t="s">
        <v>2504</v>
      </c>
      <c r="I124" s="143" t="str">
        <f t="shared" si="24"/>
        <v>NO EXISTE</v>
      </c>
      <c r="J124" s="143" t="str">
        <f t="shared" si="25"/>
        <v>NO EXISTE</v>
      </c>
      <c r="K124" s="143" t="str">
        <f t="shared" si="26"/>
        <v>NO EXISTE</v>
      </c>
      <c r="L124" s="143" t="str">
        <f t="shared" si="27"/>
        <v>NO EXISTE</v>
      </c>
      <c r="M124" s="143" t="str">
        <f t="shared" si="28"/>
        <v>NO EXISTE</v>
      </c>
      <c r="N124" s="143" t="str">
        <f t="shared" si="29"/>
        <v>NO EXISTE</v>
      </c>
      <c r="O124" s="143" t="str">
        <f t="shared" si="30"/>
        <v>NO EXISTE</v>
      </c>
      <c r="P124" s="143" t="str">
        <f t="shared" si="31"/>
        <v>NO EXISTE</v>
      </c>
      <c r="Q124" s="148" t="s">
        <v>1214</v>
      </c>
      <c r="R124" s="148" t="s">
        <v>1025</v>
      </c>
      <c r="S124" s="148" t="s">
        <v>1212</v>
      </c>
      <c r="T124" s="149">
        <v>1</v>
      </c>
      <c r="U124" s="148" t="s">
        <v>591</v>
      </c>
      <c r="V124" s="150">
        <v>108.12</v>
      </c>
      <c r="W124" s="151">
        <f>V124*16</f>
        <v>1729.92</v>
      </c>
    </row>
    <row r="125" spans="1:23" ht="15" customHeight="1" x14ac:dyDescent="0.25">
      <c r="A125" s="148">
        <v>10149</v>
      </c>
      <c r="B125" s="148" t="s">
        <v>1215</v>
      </c>
      <c r="C125" s="143" t="s">
        <v>2504</v>
      </c>
      <c r="D125" s="143" t="s">
        <v>2504</v>
      </c>
      <c r="E125" s="143" t="s">
        <v>2504</v>
      </c>
      <c r="F125" s="143" t="s">
        <v>2504</v>
      </c>
      <c r="G125" s="143" t="s">
        <v>2504</v>
      </c>
      <c r="H125" s="143" t="s">
        <v>2504</v>
      </c>
      <c r="I125" s="143" t="str">
        <f t="shared" si="24"/>
        <v>NO EXISTE</v>
      </c>
      <c r="J125" s="143" t="str">
        <f t="shared" si="25"/>
        <v>NO EXISTE</v>
      </c>
      <c r="K125" s="143" t="str">
        <f t="shared" si="26"/>
        <v>NO EXISTE</v>
      </c>
      <c r="L125" s="143" t="str">
        <f t="shared" si="27"/>
        <v>NO EXISTE</v>
      </c>
      <c r="M125" s="143" t="str">
        <f t="shared" si="28"/>
        <v>NO EXISTE</v>
      </c>
      <c r="N125" s="143" t="str">
        <f t="shared" si="29"/>
        <v>NO EXISTE</v>
      </c>
      <c r="O125" s="143" t="str">
        <f t="shared" si="30"/>
        <v>NO EXISTE</v>
      </c>
      <c r="P125" s="143" t="str">
        <f t="shared" si="31"/>
        <v>NO EXISTE</v>
      </c>
      <c r="Q125" s="148" t="s">
        <v>1216</v>
      </c>
      <c r="R125" s="148" t="s">
        <v>1025</v>
      </c>
      <c r="S125" s="148" t="s">
        <v>1212</v>
      </c>
      <c r="T125" s="149">
        <v>1</v>
      </c>
      <c r="U125" s="148" t="s">
        <v>591</v>
      </c>
      <c r="V125" s="150">
        <v>110.88</v>
      </c>
      <c r="W125" s="151">
        <f>V125*24</f>
        <v>2661.12</v>
      </c>
    </row>
    <row r="126" spans="1:23" ht="15" customHeight="1" x14ac:dyDescent="0.25">
      <c r="A126" s="148">
        <v>10152</v>
      </c>
      <c r="B126" s="148" t="s">
        <v>1217</v>
      </c>
      <c r="C126" s="143" t="s">
        <v>2504</v>
      </c>
      <c r="D126" s="143" t="s">
        <v>2504</v>
      </c>
      <c r="E126" s="143" t="s">
        <v>2504</v>
      </c>
      <c r="F126" s="143" t="s">
        <v>2504</v>
      </c>
      <c r="G126" s="143" t="s">
        <v>2504</v>
      </c>
      <c r="H126" s="143" t="s">
        <v>2504</v>
      </c>
      <c r="I126" s="143" t="str">
        <f t="shared" si="24"/>
        <v>NO EXISTE</v>
      </c>
      <c r="J126" s="143" t="str">
        <f t="shared" si="25"/>
        <v>NO EXISTE</v>
      </c>
      <c r="K126" s="143" t="str">
        <f t="shared" si="26"/>
        <v>NO EXISTE</v>
      </c>
      <c r="L126" s="143" t="str">
        <f t="shared" si="27"/>
        <v>NO EXISTE</v>
      </c>
      <c r="M126" s="143" t="str">
        <f t="shared" si="28"/>
        <v>NO EXISTE</v>
      </c>
      <c r="N126" s="143" t="str">
        <f t="shared" si="29"/>
        <v>NO EXISTE</v>
      </c>
      <c r="O126" s="143" t="str">
        <f t="shared" si="30"/>
        <v>NO EXISTE</v>
      </c>
      <c r="P126" s="143" t="str">
        <f t="shared" si="31"/>
        <v>NO EXISTE</v>
      </c>
      <c r="Q126" s="148" t="s">
        <v>1218</v>
      </c>
      <c r="R126" s="148" t="s">
        <v>1025</v>
      </c>
      <c r="S126" s="148" t="s">
        <v>1212</v>
      </c>
      <c r="T126" s="149">
        <v>1</v>
      </c>
      <c r="U126" s="148" t="s">
        <v>591</v>
      </c>
      <c r="V126" s="150">
        <v>118.53</v>
      </c>
      <c r="W126" s="151">
        <f>V126*6</f>
        <v>711.18000000000006</v>
      </c>
    </row>
    <row r="127" spans="1:23" ht="15" customHeight="1" x14ac:dyDescent="0.25">
      <c r="A127" s="148">
        <v>10154</v>
      </c>
      <c r="B127" s="148" t="s">
        <v>1219</v>
      </c>
      <c r="C127" s="143" t="s">
        <v>2504</v>
      </c>
      <c r="D127" s="143" t="s">
        <v>2504</v>
      </c>
      <c r="E127" s="143" t="s">
        <v>2504</v>
      </c>
      <c r="F127" s="143" t="s">
        <v>2504</v>
      </c>
      <c r="G127" s="143" t="s">
        <v>2504</v>
      </c>
      <c r="H127" s="143" t="s">
        <v>2504</v>
      </c>
      <c r="I127" s="143" t="str">
        <f t="shared" si="24"/>
        <v>NO EXISTE</v>
      </c>
      <c r="J127" s="143" t="str">
        <f t="shared" si="25"/>
        <v>NO EXISTE</v>
      </c>
      <c r="K127" s="143" t="str">
        <f t="shared" si="26"/>
        <v>NO EXISTE</v>
      </c>
      <c r="L127" s="143" t="str">
        <f t="shared" si="27"/>
        <v>NO EXISTE</v>
      </c>
      <c r="M127" s="143" t="str">
        <f t="shared" si="28"/>
        <v>NO EXISTE</v>
      </c>
      <c r="N127" s="143" t="str">
        <f t="shared" si="29"/>
        <v>NO EXISTE</v>
      </c>
      <c r="O127" s="143" t="str">
        <f t="shared" si="30"/>
        <v>NO EXISTE</v>
      </c>
      <c r="P127" s="143" t="str">
        <f t="shared" si="31"/>
        <v>NO EXISTE</v>
      </c>
      <c r="Q127" s="148" t="s">
        <v>1220</v>
      </c>
      <c r="R127" s="148" t="s">
        <v>1025</v>
      </c>
      <c r="S127" s="148" t="s">
        <v>1212</v>
      </c>
      <c r="T127" s="149">
        <v>1</v>
      </c>
      <c r="U127" s="148" t="s">
        <v>591</v>
      </c>
      <c r="V127" s="150">
        <v>103.3</v>
      </c>
      <c r="W127" s="151">
        <f>V127*24</f>
        <v>2479.1999999999998</v>
      </c>
    </row>
    <row r="128" spans="1:23" ht="15" customHeight="1" x14ac:dyDescent="0.25">
      <c r="A128" s="148">
        <v>10167</v>
      </c>
      <c r="B128" s="148" t="s">
        <v>1221</v>
      </c>
      <c r="C128" s="143" t="s">
        <v>2504</v>
      </c>
      <c r="D128" s="143" t="s">
        <v>2504</v>
      </c>
      <c r="E128" s="143" t="s">
        <v>2504</v>
      </c>
      <c r="F128" s="143" t="s">
        <v>2504</v>
      </c>
      <c r="G128" s="143" t="s">
        <v>2504</v>
      </c>
      <c r="H128" s="143" t="s">
        <v>2504</v>
      </c>
      <c r="I128" s="143" t="str">
        <f t="shared" si="24"/>
        <v>NO EXISTE</v>
      </c>
      <c r="J128" s="143" t="str">
        <f t="shared" si="25"/>
        <v>NO EXISTE</v>
      </c>
      <c r="K128" s="143" t="str">
        <f t="shared" si="26"/>
        <v>NO EXISTE</v>
      </c>
      <c r="L128" s="143" t="str">
        <f t="shared" si="27"/>
        <v>NO EXISTE</v>
      </c>
      <c r="M128" s="143" t="str">
        <f t="shared" si="28"/>
        <v>NO EXISTE</v>
      </c>
      <c r="N128" s="143" t="str">
        <f t="shared" si="29"/>
        <v>NO EXISTE</v>
      </c>
      <c r="O128" s="143" t="str">
        <f t="shared" si="30"/>
        <v>NO EXISTE</v>
      </c>
      <c r="P128" s="143" t="str">
        <f t="shared" si="31"/>
        <v>NO EXISTE</v>
      </c>
      <c r="Q128" s="148" t="s">
        <v>1222</v>
      </c>
      <c r="R128" s="148" t="s">
        <v>1025</v>
      </c>
      <c r="S128" s="148" t="s">
        <v>1189</v>
      </c>
      <c r="T128" s="149">
        <v>1</v>
      </c>
      <c r="U128" s="148" t="s">
        <v>591</v>
      </c>
      <c r="V128" s="150">
        <v>178.11</v>
      </c>
      <c r="W128" s="151">
        <v>2069.69</v>
      </c>
    </row>
    <row r="129" spans="1:23" ht="15" customHeight="1" x14ac:dyDescent="0.25">
      <c r="A129" s="148">
        <v>10168</v>
      </c>
      <c r="B129" s="148" t="s">
        <v>1223</v>
      </c>
      <c r="C129" s="143" t="s">
        <v>2504</v>
      </c>
      <c r="D129" s="143" t="s">
        <v>2504</v>
      </c>
      <c r="E129" s="143" t="s">
        <v>2504</v>
      </c>
      <c r="F129" s="143" t="s">
        <v>2504</v>
      </c>
      <c r="G129" s="143" t="s">
        <v>2504</v>
      </c>
      <c r="H129" s="143" t="s">
        <v>2504</v>
      </c>
      <c r="I129" s="143" t="str">
        <f t="shared" si="24"/>
        <v>NO EXISTE</v>
      </c>
      <c r="J129" s="143" t="str">
        <f t="shared" si="25"/>
        <v>NO EXISTE</v>
      </c>
      <c r="K129" s="143" t="str">
        <f t="shared" si="26"/>
        <v>NO EXISTE</v>
      </c>
      <c r="L129" s="143" t="str">
        <f t="shared" si="27"/>
        <v>NO EXISTE</v>
      </c>
      <c r="M129" s="143" t="str">
        <f t="shared" si="28"/>
        <v>NO EXISTE</v>
      </c>
      <c r="N129" s="143" t="str">
        <f t="shared" si="29"/>
        <v>NO EXISTE</v>
      </c>
      <c r="O129" s="143" t="str">
        <f t="shared" si="30"/>
        <v>NO EXISTE</v>
      </c>
      <c r="P129" s="143" t="str">
        <f t="shared" si="31"/>
        <v>NO EXISTE</v>
      </c>
      <c r="Q129" s="148" t="s">
        <v>1224</v>
      </c>
      <c r="R129" s="148" t="s">
        <v>1025</v>
      </c>
      <c r="S129" s="148" t="s">
        <v>1059</v>
      </c>
      <c r="T129" s="149">
        <v>1</v>
      </c>
      <c r="U129" s="148" t="s">
        <v>591</v>
      </c>
      <c r="V129" s="150">
        <v>106.68</v>
      </c>
      <c r="W129" s="151">
        <v>2080.5500000000002</v>
      </c>
    </row>
    <row r="130" spans="1:23" ht="15" customHeight="1" x14ac:dyDescent="0.25">
      <c r="A130" s="148">
        <v>10181</v>
      </c>
      <c r="B130" s="148" t="s">
        <v>1225</v>
      </c>
      <c r="C130" s="143" t="s">
        <v>2504</v>
      </c>
      <c r="D130" s="143" t="s">
        <v>2504</v>
      </c>
      <c r="E130" s="143" t="s">
        <v>2504</v>
      </c>
      <c r="F130" s="143" t="s">
        <v>2504</v>
      </c>
      <c r="G130" s="143" t="s">
        <v>2504</v>
      </c>
      <c r="H130" s="143" t="s">
        <v>2504</v>
      </c>
      <c r="I130" s="143" t="str">
        <f t="shared" si="24"/>
        <v>NO EXISTE</v>
      </c>
      <c r="J130" s="143" t="str">
        <f t="shared" si="25"/>
        <v>NO EXISTE</v>
      </c>
      <c r="K130" s="143" t="str">
        <f t="shared" si="26"/>
        <v>NO EXISTE</v>
      </c>
      <c r="L130" s="143" t="str">
        <f t="shared" si="27"/>
        <v>NO EXISTE</v>
      </c>
      <c r="M130" s="143" t="str">
        <f t="shared" si="28"/>
        <v>NO EXISTE</v>
      </c>
      <c r="N130" s="143" t="str">
        <f t="shared" si="29"/>
        <v>NO EXISTE</v>
      </c>
      <c r="O130" s="143" t="str">
        <f t="shared" si="30"/>
        <v>NO EXISTE</v>
      </c>
      <c r="P130" s="143" t="str">
        <f t="shared" si="31"/>
        <v>NO EXISTE</v>
      </c>
      <c r="Q130" s="148" t="s">
        <v>1226</v>
      </c>
      <c r="R130" s="148" t="s">
        <v>1025</v>
      </c>
      <c r="S130" s="148" t="s">
        <v>1227</v>
      </c>
      <c r="T130" s="149">
        <v>1</v>
      </c>
      <c r="U130" s="148" t="s">
        <v>591</v>
      </c>
      <c r="V130" s="150">
        <v>111.29</v>
      </c>
      <c r="W130" s="151">
        <f>V130*15</f>
        <v>1669.3500000000001</v>
      </c>
    </row>
    <row r="131" spans="1:23" ht="15" customHeight="1" x14ac:dyDescent="0.25">
      <c r="A131" s="148">
        <v>10183</v>
      </c>
      <c r="B131" s="148" t="s">
        <v>1228</v>
      </c>
      <c r="C131" s="143" t="s">
        <v>2504</v>
      </c>
      <c r="D131" s="143" t="s">
        <v>2504</v>
      </c>
      <c r="E131" s="143" t="s">
        <v>2504</v>
      </c>
      <c r="F131" s="143" t="s">
        <v>2504</v>
      </c>
      <c r="G131" s="143" t="s">
        <v>2504</v>
      </c>
      <c r="H131" s="143" t="s">
        <v>2504</v>
      </c>
      <c r="I131" s="143" t="str">
        <f t="shared" si="24"/>
        <v>NO EXISTE</v>
      </c>
      <c r="J131" s="143" t="str">
        <f t="shared" si="25"/>
        <v>NO EXISTE</v>
      </c>
      <c r="K131" s="143" t="str">
        <f t="shared" si="26"/>
        <v>NO EXISTE</v>
      </c>
      <c r="L131" s="143" t="str">
        <f t="shared" si="27"/>
        <v>NO EXISTE</v>
      </c>
      <c r="M131" s="143" t="str">
        <f t="shared" si="28"/>
        <v>NO EXISTE</v>
      </c>
      <c r="N131" s="143" t="str">
        <f t="shared" si="29"/>
        <v>NO EXISTE</v>
      </c>
      <c r="O131" s="143" t="str">
        <f t="shared" si="30"/>
        <v>NO EXISTE</v>
      </c>
      <c r="P131" s="143" t="str">
        <f t="shared" si="31"/>
        <v>NO EXISTE</v>
      </c>
      <c r="Q131" s="148" t="s">
        <v>1229</v>
      </c>
      <c r="R131" s="148" t="s">
        <v>1025</v>
      </c>
      <c r="S131" s="148" t="s">
        <v>1227</v>
      </c>
      <c r="T131" s="149">
        <v>1</v>
      </c>
      <c r="U131" s="148" t="s">
        <v>591</v>
      </c>
      <c r="V131" s="150">
        <v>111.98</v>
      </c>
      <c r="W131" s="151">
        <v>21225.919999999998</v>
      </c>
    </row>
    <row r="132" spans="1:23" ht="15" customHeight="1" x14ac:dyDescent="0.25">
      <c r="A132" s="148">
        <v>10184</v>
      </c>
      <c r="B132" s="148" t="s">
        <v>1230</v>
      </c>
      <c r="C132" s="143" t="s">
        <v>2504</v>
      </c>
      <c r="D132" s="143" t="s">
        <v>2504</v>
      </c>
      <c r="E132" s="143" t="s">
        <v>2504</v>
      </c>
      <c r="F132" s="143" t="s">
        <v>2504</v>
      </c>
      <c r="G132" s="143" t="s">
        <v>2504</v>
      </c>
      <c r="H132" s="143" t="s">
        <v>2504</v>
      </c>
      <c r="I132" s="143" t="str">
        <f t="shared" si="24"/>
        <v>NO EXISTE</v>
      </c>
      <c r="J132" s="143" t="str">
        <f t="shared" si="25"/>
        <v>NO EXISTE</v>
      </c>
      <c r="K132" s="143" t="str">
        <f t="shared" si="26"/>
        <v>NO EXISTE</v>
      </c>
      <c r="L132" s="143" t="str">
        <f t="shared" si="27"/>
        <v>NO EXISTE</v>
      </c>
      <c r="M132" s="143" t="str">
        <f t="shared" si="28"/>
        <v>NO EXISTE</v>
      </c>
      <c r="N132" s="143" t="str">
        <f t="shared" si="29"/>
        <v>NO EXISTE</v>
      </c>
      <c r="O132" s="143" t="str">
        <f t="shared" si="30"/>
        <v>NO EXISTE</v>
      </c>
      <c r="P132" s="143" t="str">
        <f t="shared" si="31"/>
        <v>NO EXISTE</v>
      </c>
      <c r="Q132" s="148" t="s">
        <v>1231</v>
      </c>
      <c r="R132" s="148" t="s">
        <v>1025</v>
      </c>
      <c r="S132" s="148" t="s">
        <v>1164</v>
      </c>
      <c r="T132" s="149">
        <v>1</v>
      </c>
      <c r="U132" s="148" t="s">
        <v>591</v>
      </c>
      <c r="V132" s="150">
        <v>114.1</v>
      </c>
      <c r="W132" s="151">
        <f>V132*24</f>
        <v>2738.3999999999996</v>
      </c>
    </row>
    <row r="133" spans="1:23" ht="15" customHeight="1" x14ac:dyDescent="0.25">
      <c r="A133" s="148">
        <v>10441</v>
      </c>
      <c r="B133" s="148" t="s">
        <v>1530</v>
      </c>
      <c r="C133" s="143" t="s">
        <v>2504</v>
      </c>
      <c r="D133" s="143" t="s">
        <v>2504</v>
      </c>
      <c r="E133" s="143" t="s">
        <v>2504</v>
      </c>
      <c r="F133" s="143" t="s">
        <v>2504</v>
      </c>
      <c r="G133" s="143" t="s">
        <v>2504</v>
      </c>
      <c r="H133" s="143" t="s">
        <v>2504</v>
      </c>
      <c r="I133" s="143" t="str">
        <f t="shared" si="24"/>
        <v>NO EXISTE</v>
      </c>
      <c r="J133" s="143" t="str">
        <f t="shared" si="25"/>
        <v>NO EXISTE</v>
      </c>
      <c r="K133" s="143" t="str">
        <f t="shared" si="26"/>
        <v>NO EXISTE</v>
      </c>
      <c r="L133" s="143" t="str">
        <f t="shared" si="27"/>
        <v>NO EXISTE</v>
      </c>
      <c r="M133" s="143" t="str">
        <f t="shared" si="28"/>
        <v>NO EXISTE</v>
      </c>
      <c r="N133" s="143" t="str">
        <f t="shared" si="29"/>
        <v>NO EXISTE</v>
      </c>
      <c r="O133" s="143" t="str">
        <f t="shared" si="30"/>
        <v>NO EXISTE</v>
      </c>
      <c r="P133" s="143" t="str">
        <f t="shared" si="31"/>
        <v>NO EXISTE</v>
      </c>
      <c r="Q133" s="148" t="s">
        <v>1531</v>
      </c>
      <c r="R133" s="148" t="s">
        <v>1025</v>
      </c>
      <c r="S133" s="148" t="s">
        <v>1209</v>
      </c>
      <c r="T133" s="149">
        <v>19</v>
      </c>
      <c r="U133" s="148" t="s">
        <v>591</v>
      </c>
      <c r="V133" s="150">
        <v>1783.2</v>
      </c>
      <c r="W133" s="151">
        <f>V133*24</f>
        <v>42796.800000000003</v>
      </c>
    </row>
    <row r="134" spans="1:23" ht="15" customHeight="1" x14ac:dyDescent="0.25">
      <c r="A134" s="148">
        <v>10442</v>
      </c>
      <c r="B134" s="148" t="s">
        <v>1532</v>
      </c>
      <c r="C134" s="143" t="s">
        <v>2504</v>
      </c>
      <c r="D134" s="143" t="s">
        <v>2504</v>
      </c>
      <c r="E134" s="143" t="s">
        <v>2504</v>
      </c>
      <c r="F134" s="143" t="s">
        <v>2504</v>
      </c>
      <c r="G134" s="143" t="s">
        <v>2504</v>
      </c>
      <c r="H134" s="143" t="s">
        <v>2504</v>
      </c>
      <c r="I134" s="143" t="str">
        <f t="shared" si="24"/>
        <v>NO EXISTE</v>
      </c>
      <c r="J134" s="143" t="str">
        <f t="shared" si="25"/>
        <v>NO EXISTE</v>
      </c>
      <c r="K134" s="143" t="str">
        <f t="shared" si="26"/>
        <v>NO EXISTE</v>
      </c>
      <c r="L134" s="143" t="str">
        <f t="shared" si="27"/>
        <v>NO EXISTE</v>
      </c>
      <c r="M134" s="143" t="str">
        <f t="shared" si="28"/>
        <v>NO EXISTE</v>
      </c>
      <c r="N134" s="143" t="str">
        <f t="shared" si="29"/>
        <v>NO EXISTE</v>
      </c>
      <c r="O134" s="143" t="str">
        <f t="shared" si="30"/>
        <v>NO EXISTE</v>
      </c>
      <c r="P134" s="143" t="str">
        <f t="shared" si="31"/>
        <v>NO EXISTE</v>
      </c>
      <c r="Q134" s="148" t="s">
        <v>1533</v>
      </c>
      <c r="R134" s="148" t="s">
        <v>1025</v>
      </c>
      <c r="S134" s="148" t="s">
        <v>1513</v>
      </c>
      <c r="T134" s="149">
        <v>19</v>
      </c>
      <c r="U134" s="148" t="s">
        <v>591</v>
      </c>
      <c r="V134" s="150">
        <v>2890.97</v>
      </c>
      <c r="W134" s="151">
        <v>3134.64</v>
      </c>
    </row>
    <row r="135" spans="1:23" ht="15" customHeight="1" x14ac:dyDescent="0.25">
      <c r="A135" s="148">
        <v>10443</v>
      </c>
      <c r="B135" s="148" t="s">
        <v>1534</v>
      </c>
      <c r="C135" s="143" t="s">
        <v>2504</v>
      </c>
      <c r="D135" s="143" t="s">
        <v>2504</v>
      </c>
      <c r="E135" s="143" t="s">
        <v>2504</v>
      </c>
      <c r="F135" s="143" t="s">
        <v>2504</v>
      </c>
      <c r="G135" s="143" t="s">
        <v>2504</v>
      </c>
      <c r="H135" s="143" t="s">
        <v>2504</v>
      </c>
      <c r="I135" s="143" t="str">
        <f t="shared" si="24"/>
        <v>NO EXISTE</v>
      </c>
      <c r="J135" s="143" t="str">
        <f t="shared" si="25"/>
        <v>NO EXISTE</v>
      </c>
      <c r="K135" s="143" t="str">
        <f t="shared" si="26"/>
        <v>NO EXISTE</v>
      </c>
      <c r="L135" s="143" t="str">
        <f t="shared" si="27"/>
        <v>NO EXISTE</v>
      </c>
      <c r="M135" s="143" t="str">
        <f t="shared" si="28"/>
        <v>NO EXISTE</v>
      </c>
      <c r="N135" s="143" t="str">
        <f t="shared" si="29"/>
        <v>NO EXISTE</v>
      </c>
      <c r="O135" s="143" t="str">
        <f t="shared" si="30"/>
        <v>NO EXISTE</v>
      </c>
      <c r="P135" s="143" t="str">
        <f t="shared" si="31"/>
        <v>NO EXISTE</v>
      </c>
      <c r="Q135" s="148" t="s">
        <v>1535</v>
      </c>
      <c r="R135" s="148" t="s">
        <v>1025</v>
      </c>
      <c r="S135" s="148" t="s">
        <v>1527</v>
      </c>
      <c r="T135" s="149">
        <v>19</v>
      </c>
      <c r="U135" s="148" t="s">
        <v>591</v>
      </c>
      <c r="V135" s="150">
        <v>1878.98</v>
      </c>
      <c r="W135" s="151">
        <v>18951.82</v>
      </c>
    </row>
    <row r="136" spans="1:23" ht="15" customHeight="1" x14ac:dyDescent="0.25">
      <c r="A136" s="148">
        <v>10444</v>
      </c>
      <c r="B136" s="148" t="s">
        <v>1536</v>
      </c>
      <c r="C136" s="143" t="s">
        <v>2504</v>
      </c>
      <c r="D136" s="143" t="s">
        <v>2504</v>
      </c>
      <c r="E136" s="143" t="s">
        <v>2504</v>
      </c>
      <c r="F136" s="143" t="s">
        <v>2504</v>
      </c>
      <c r="G136" s="143" t="s">
        <v>2504</v>
      </c>
      <c r="H136" s="143" t="s">
        <v>2504</v>
      </c>
      <c r="I136" s="143" t="str">
        <f t="shared" si="24"/>
        <v>NO EXISTE</v>
      </c>
      <c r="J136" s="143" t="str">
        <f t="shared" si="25"/>
        <v>NO EXISTE</v>
      </c>
      <c r="K136" s="143" t="str">
        <f t="shared" si="26"/>
        <v>NO EXISTE</v>
      </c>
      <c r="L136" s="143" t="str">
        <f t="shared" si="27"/>
        <v>NO EXISTE</v>
      </c>
      <c r="M136" s="143" t="str">
        <f t="shared" si="28"/>
        <v>NO EXISTE</v>
      </c>
      <c r="N136" s="143" t="str">
        <f t="shared" si="29"/>
        <v>NO EXISTE</v>
      </c>
      <c r="O136" s="143" t="str">
        <f t="shared" si="30"/>
        <v>NO EXISTE</v>
      </c>
      <c r="P136" s="143" t="str">
        <f t="shared" si="31"/>
        <v>NO EXISTE</v>
      </c>
      <c r="Q136" s="148" t="s">
        <v>1537</v>
      </c>
      <c r="R136" s="148" t="s">
        <v>1025</v>
      </c>
      <c r="S136" s="148" t="s">
        <v>1212</v>
      </c>
      <c r="T136" s="149">
        <v>19</v>
      </c>
      <c r="U136" s="148" t="s">
        <v>591</v>
      </c>
      <c r="V136" s="150">
        <v>2034.61</v>
      </c>
      <c r="W136" s="151">
        <f>V136*12</f>
        <v>24415.32</v>
      </c>
    </row>
    <row r="137" spans="1:23" ht="15" customHeight="1" x14ac:dyDescent="0.25">
      <c r="A137" s="148">
        <v>10449</v>
      </c>
      <c r="B137" s="148" t="s">
        <v>1538</v>
      </c>
      <c r="C137" s="143" t="s">
        <v>2504</v>
      </c>
      <c r="D137" s="143" t="s">
        <v>2504</v>
      </c>
      <c r="E137" s="143" t="s">
        <v>2504</v>
      </c>
      <c r="F137" s="143" t="s">
        <v>2504</v>
      </c>
      <c r="G137" s="143" t="s">
        <v>2504</v>
      </c>
      <c r="H137" s="143" t="s">
        <v>2504</v>
      </c>
      <c r="I137" s="143" t="str">
        <f t="shared" si="24"/>
        <v>NO EXISTE</v>
      </c>
      <c r="J137" s="143" t="str">
        <f t="shared" si="25"/>
        <v>NO EXISTE</v>
      </c>
      <c r="K137" s="143" t="str">
        <f t="shared" si="26"/>
        <v>NO EXISTE</v>
      </c>
      <c r="L137" s="143" t="str">
        <f t="shared" si="27"/>
        <v>NO EXISTE</v>
      </c>
      <c r="M137" s="143" t="str">
        <f t="shared" si="28"/>
        <v>NO EXISTE</v>
      </c>
      <c r="N137" s="143" t="str">
        <f t="shared" si="29"/>
        <v>NO EXISTE</v>
      </c>
      <c r="O137" s="143" t="str">
        <f t="shared" si="30"/>
        <v>NO EXISTE</v>
      </c>
      <c r="P137" s="143" t="str">
        <f t="shared" si="31"/>
        <v>NO EXISTE</v>
      </c>
      <c r="Q137" s="148" t="s">
        <v>1539</v>
      </c>
      <c r="R137" s="148" t="s">
        <v>1025</v>
      </c>
      <c r="S137" s="148" t="s">
        <v>1212</v>
      </c>
      <c r="T137" s="149">
        <v>19</v>
      </c>
      <c r="U137" s="148" t="s">
        <v>591</v>
      </c>
      <c r="V137" s="150">
        <v>2239.59</v>
      </c>
      <c r="W137" s="151">
        <f>V137*1000</f>
        <v>2239590</v>
      </c>
    </row>
    <row r="138" spans="1:23" ht="15" customHeight="1" x14ac:dyDescent="0.25">
      <c r="A138" s="148">
        <v>10452</v>
      </c>
      <c r="B138" s="148" t="s">
        <v>1540</v>
      </c>
      <c r="C138" s="143" t="s">
        <v>2504</v>
      </c>
      <c r="D138" s="143" t="s">
        <v>2504</v>
      </c>
      <c r="E138" s="143" t="s">
        <v>2504</v>
      </c>
      <c r="F138" s="143" t="s">
        <v>2504</v>
      </c>
      <c r="G138" s="143" t="s">
        <v>2504</v>
      </c>
      <c r="H138" s="143" t="s">
        <v>2504</v>
      </c>
      <c r="I138" s="143" t="str">
        <f t="shared" si="24"/>
        <v>NO EXISTE</v>
      </c>
      <c r="J138" s="143" t="str">
        <f t="shared" si="25"/>
        <v>NO EXISTE</v>
      </c>
      <c r="K138" s="143" t="str">
        <f t="shared" si="26"/>
        <v>NO EXISTE</v>
      </c>
      <c r="L138" s="143" t="str">
        <f t="shared" si="27"/>
        <v>NO EXISTE</v>
      </c>
      <c r="M138" s="143" t="str">
        <f t="shared" si="28"/>
        <v>NO EXISTE</v>
      </c>
      <c r="N138" s="143" t="str">
        <f t="shared" si="29"/>
        <v>NO EXISTE</v>
      </c>
      <c r="O138" s="143" t="str">
        <f t="shared" si="30"/>
        <v>NO EXISTE</v>
      </c>
      <c r="P138" s="143" t="str">
        <f t="shared" si="31"/>
        <v>NO EXISTE</v>
      </c>
      <c r="Q138" s="148" t="s">
        <v>1541</v>
      </c>
      <c r="R138" s="148" t="s">
        <v>1025</v>
      </c>
      <c r="S138" s="148" t="s">
        <v>1212</v>
      </c>
      <c r="T138" s="149">
        <v>19</v>
      </c>
      <c r="U138" s="148" t="s">
        <v>591</v>
      </c>
      <c r="V138" s="150">
        <v>2384.92</v>
      </c>
      <c r="W138" s="151">
        <f>V138*1000</f>
        <v>2384920</v>
      </c>
    </row>
    <row r="139" spans="1:23" ht="15" customHeight="1" x14ac:dyDescent="0.25">
      <c r="A139" s="148">
        <v>10453</v>
      </c>
      <c r="B139" s="148" t="s">
        <v>1542</v>
      </c>
      <c r="C139" s="143" t="s">
        <v>2504</v>
      </c>
      <c r="D139" s="143" t="s">
        <v>2504</v>
      </c>
      <c r="E139" s="143" t="s">
        <v>2504</v>
      </c>
      <c r="F139" s="143" t="s">
        <v>2504</v>
      </c>
      <c r="G139" s="143" t="s">
        <v>2504</v>
      </c>
      <c r="H139" s="143" t="s">
        <v>2504</v>
      </c>
      <c r="I139" s="143" t="str">
        <f t="shared" si="24"/>
        <v>NO EXISTE</v>
      </c>
      <c r="J139" s="143" t="str">
        <f t="shared" si="25"/>
        <v>NO EXISTE</v>
      </c>
      <c r="K139" s="143" t="str">
        <f t="shared" si="26"/>
        <v>NO EXISTE</v>
      </c>
      <c r="L139" s="143" t="str">
        <f t="shared" si="27"/>
        <v>NO EXISTE</v>
      </c>
      <c r="M139" s="143" t="str">
        <f t="shared" si="28"/>
        <v>NO EXISTE</v>
      </c>
      <c r="N139" s="143" t="str">
        <f t="shared" si="29"/>
        <v>NO EXISTE</v>
      </c>
      <c r="O139" s="143" t="str">
        <f t="shared" si="30"/>
        <v>NO EXISTE</v>
      </c>
      <c r="P139" s="143" t="str">
        <f t="shared" si="31"/>
        <v>NO EXISTE</v>
      </c>
      <c r="Q139" s="148" t="s">
        <v>1543</v>
      </c>
      <c r="R139" s="148" t="s">
        <v>1025</v>
      </c>
      <c r="S139" s="148" t="s">
        <v>1212</v>
      </c>
      <c r="T139" s="149">
        <v>19</v>
      </c>
      <c r="U139" s="148" t="s">
        <v>591</v>
      </c>
      <c r="V139" s="150">
        <v>2064.5300000000002</v>
      </c>
      <c r="W139" s="151">
        <v>11259.49</v>
      </c>
    </row>
    <row r="140" spans="1:23" ht="15" customHeight="1" x14ac:dyDescent="0.25">
      <c r="A140" s="148">
        <v>10454</v>
      </c>
      <c r="B140" s="148" t="s">
        <v>1544</v>
      </c>
      <c r="C140" s="143" t="s">
        <v>2504</v>
      </c>
      <c r="D140" s="143" t="s">
        <v>2504</v>
      </c>
      <c r="E140" s="143" t="s">
        <v>2504</v>
      </c>
      <c r="F140" s="143" t="s">
        <v>2504</v>
      </c>
      <c r="G140" s="143" t="s">
        <v>2504</v>
      </c>
      <c r="H140" s="143" t="s">
        <v>2504</v>
      </c>
      <c r="I140" s="143" t="str">
        <f t="shared" si="24"/>
        <v>NO EXISTE</v>
      </c>
      <c r="J140" s="143" t="str">
        <f t="shared" si="25"/>
        <v>NO EXISTE</v>
      </c>
      <c r="K140" s="143" t="str">
        <f t="shared" si="26"/>
        <v>NO EXISTE</v>
      </c>
      <c r="L140" s="143" t="str">
        <f t="shared" si="27"/>
        <v>NO EXISTE</v>
      </c>
      <c r="M140" s="143" t="str">
        <f t="shared" si="28"/>
        <v>NO EXISTE</v>
      </c>
      <c r="N140" s="143" t="str">
        <f t="shared" si="29"/>
        <v>NO EXISTE</v>
      </c>
      <c r="O140" s="143" t="str">
        <f t="shared" si="30"/>
        <v>NO EXISTE</v>
      </c>
      <c r="P140" s="143" t="str">
        <f t="shared" si="31"/>
        <v>NO EXISTE</v>
      </c>
      <c r="Q140" s="148" t="s">
        <v>1545</v>
      </c>
      <c r="R140" s="148" t="s">
        <v>1025</v>
      </c>
      <c r="S140" s="148" t="s">
        <v>1212</v>
      </c>
      <c r="T140" s="149">
        <v>19</v>
      </c>
      <c r="U140" s="148" t="s">
        <v>591</v>
      </c>
      <c r="V140" s="150">
        <v>2095.5700000000002</v>
      </c>
      <c r="W140" s="151">
        <v>1123.6400000000001</v>
      </c>
    </row>
    <row r="141" spans="1:23" ht="15" customHeight="1" x14ac:dyDescent="0.25">
      <c r="A141" s="148">
        <v>10460</v>
      </c>
      <c r="B141" s="148" t="s">
        <v>1546</v>
      </c>
      <c r="C141" s="143" t="s">
        <v>2504</v>
      </c>
      <c r="D141" s="143" t="s">
        <v>2504</v>
      </c>
      <c r="E141" s="143" t="s">
        <v>2504</v>
      </c>
      <c r="F141" s="143" t="s">
        <v>2504</v>
      </c>
      <c r="G141" s="143" t="s">
        <v>2504</v>
      </c>
      <c r="H141" s="143" t="s">
        <v>2504</v>
      </c>
      <c r="I141" s="143" t="str">
        <f t="shared" si="24"/>
        <v>NO EXISTE</v>
      </c>
      <c r="J141" s="143" t="str">
        <f t="shared" si="25"/>
        <v>NO EXISTE</v>
      </c>
      <c r="K141" s="143" t="str">
        <f t="shared" si="26"/>
        <v>NO EXISTE</v>
      </c>
      <c r="L141" s="143" t="str">
        <f t="shared" si="27"/>
        <v>NO EXISTE</v>
      </c>
      <c r="M141" s="143" t="str">
        <f t="shared" si="28"/>
        <v>NO EXISTE</v>
      </c>
      <c r="N141" s="143" t="str">
        <f t="shared" si="29"/>
        <v>NO EXISTE</v>
      </c>
      <c r="O141" s="143" t="str">
        <f t="shared" si="30"/>
        <v>NO EXISTE</v>
      </c>
      <c r="P141" s="143" t="str">
        <f t="shared" si="31"/>
        <v>NO EXISTE</v>
      </c>
      <c r="Q141" s="148" t="s">
        <v>1547</v>
      </c>
      <c r="R141" s="148" t="s">
        <v>1025</v>
      </c>
      <c r="S141" s="148" t="s">
        <v>1548</v>
      </c>
      <c r="T141" s="149">
        <v>19</v>
      </c>
      <c r="U141" s="148" t="s">
        <v>591</v>
      </c>
      <c r="V141" s="150">
        <v>2092.73</v>
      </c>
      <c r="W141" s="151">
        <f>V141*4</f>
        <v>8370.92</v>
      </c>
    </row>
    <row r="142" spans="1:23" ht="15" customHeight="1" x14ac:dyDescent="0.25">
      <c r="A142" s="148">
        <v>10462</v>
      </c>
      <c r="B142" s="148" t="s">
        <v>1549</v>
      </c>
      <c r="C142" s="143" t="s">
        <v>2504</v>
      </c>
      <c r="D142" s="143" t="s">
        <v>2504</v>
      </c>
      <c r="E142" s="143" t="s">
        <v>2504</v>
      </c>
      <c r="F142" s="143" t="s">
        <v>2504</v>
      </c>
      <c r="G142" s="143" t="s">
        <v>2504</v>
      </c>
      <c r="H142" s="143" t="s">
        <v>2504</v>
      </c>
      <c r="I142" s="143" t="str">
        <f t="shared" si="24"/>
        <v>NO EXISTE</v>
      </c>
      <c r="J142" s="143" t="str">
        <f t="shared" si="25"/>
        <v>NO EXISTE</v>
      </c>
      <c r="K142" s="143" t="str">
        <f t="shared" si="26"/>
        <v>NO EXISTE</v>
      </c>
      <c r="L142" s="143" t="str">
        <f t="shared" si="27"/>
        <v>NO EXISTE</v>
      </c>
      <c r="M142" s="143" t="str">
        <f t="shared" si="28"/>
        <v>NO EXISTE</v>
      </c>
      <c r="N142" s="143" t="str">
        <f t="shared" si="29"/>
        <v>NO EXISTE</v>
      </c>
      <c r="O142" s="143" t="str">
        <f t="shared" si="30"/>
        <v>NO EXISTE</v>
      </c>
      <c r="P142" s="143" t="str">
        <f t="shared" si="31"/>
        <v>NO EXISTE</v>
      </c>
      <c r="Q142" s="148" t="s">
        <v>1550</v>
      </c>
      <c r="R142" s="148" t="s">
        <v>1025</v>
      </c>
      <c r="S142" s="148" t="s">
        <v>1548</v>
      </c>
      <c r="T142" s="149">
        <v>19</v>
      </c>
      <c r="U142" s="148" t="s">
        <v>591</v>
      </c>
      <c r="V142" s="150">
        <v>2222.65</v>
      </c>
      <c r="W142" s="151">
        <f>V142*15</f>
        <v>33339.75</v>
      </c>
    </row>
    <row r="143" spans="1:23" ht="15" customHeight="1" x14ac:dyDescent="0.25">
      <c r="A143" s="148">
        <v>10463</v>
      </c>
      <c r="B143" s="148" t="s">
        <v>1551</v>
      </c>
      <c r="C143" s="143" t="s">
        <v>2504</v>
      </c>
      <c r="D143" s="143" t="s">
        <v>2504</v>
      </c>
      <c r="E143" s="143" t="s">
        <v>2504</v>
      </c>
      <c r="F143" s="143" t="s">
        <v>2504</v>
      </c>
      <c r="G143" s="143" t="s">
        <v>2504</v>
      </c>
      <c r="H143" s="143" t="s">
        <v>2504</v>
      </c>
      <c r="I143" s="143" t="str">
        <f t="shared" si="24"/>
        <v>NO EXISTE</v>
      </c>
      <c r="J143" s="143" t="str">
        <f t="shared" si="25"/>
        <v>NO EXISTE</v>
      </c>
      <c r="K143" s="143" t="str">
        <f t="shared" si="26"/>
        <v>NO EXISTE</v>
      </c>
      <c r="L143" s="143" t="str">
        <f t="shared" si="27"/>
        <v>NO EXISTE</v>
      </c>
      <c r="M143" s="143" t="str">
        <f t="shared" si="28"/>
        <v>NO EXISTE</v>
      </c>
      <c r="N143" s="143" t="str">
        <f t="shared" si="29"/>
        <v>NO EXISTE</v>
      </c>
      <c r="O143" s="143" t="str">
        <f t="shared" si="30"/>
        <v>NO EXISTE</v>
      </c>
      <c r="P143" s="143" t="str">
        <f t="shared" si="31"/>
        <v>NO EXISTE</v>
      </c>
      <c r="Q143" s="148" t="s">
        <v>1552</v>
      </c>
      <c r="R143" s="148" t="s">
        <v>1025</v>
      </c>
      <c r="S143" s="148" t="s">
        <v>1548</v>
      </c>
      <c r="T143" s="149">
        <v>19</v>
      </c>
      <c r="U143" s="148" t="s">
        <v>591</v>
      </c>
      <c r="V143" s="150">
        <v>3016.7</v>
      </c>
      <c r="W143" s="151">
        <v>17313.86</v>
      </c>
    </row>
    <row r="144" spans="1:23" ht="15" customHeight="1" x14ac:dyDescent="0.25">
      <c r="A144" s="148">
        <v>10464</v>
      </c>
      <c r="B144" s="148" t="s">
        <v>1553</v>
      </c>
      <c r="C144" s="143" t="s">
        <v>2504</v>
      </c>
      <c r="D144" s="143" t="s">
        <v>2504</v>
      </c>
      <c r="E144" s="143" t="s">
        <v>2504</v>
      </c>
      <c r="F144" s="143" t="s">
        <v>2504</v>
      </c>
      <c r="G144" s="143" t="s">
        <v>2504</v>
      </c>
      <c r="H144" s="143" t="s">
        <v>2504</v>
      </c>
      <c r="I144" s="143" t="str">
        <f t="shared" si="24"/>
        <v>NO EXISTE</v>
      </c>
      <c r="J144" s="143" t="str">
        <f t="shared" si="25"/>
        <v>NO EXISTE</v>
      </c>
      <c r="K144" s="143" t="str">
        <f t="shared" si="26"/>
        <v>NO EXISTE</v>
      </c>
      <c r="L144" s="143" t="str">
        <f t="shared" si="27"/>
        <v>NO EXISTE</v>
      </c>
      <c r="M144" s="143" t="str">
        <f t="shared" si="28"/>
        <v>NO EXISTE</v>
      </c>
      <c r="N144" s="143" t="str">
        <f t="shared" si="29"/>
        <v>NO EXISTE</v>
      </c>
      <c r="O144" s="143" t="str">
        <f t="shared" si="30"/>
        <v>NO EXISTE</v>
      </c>
      <c r="P144" s="143" t="str">
        <f t="shared" si="31"/>
        <v>NO EXISTE</v>
      </c>
      <c r="Q144" s="148" t="s">
        <v>1554</v>
      </c>
      <c r="R144" s="148" t="s">
        <v>1025</v>
      </c>
      <c r="S144" s="148" t="s">
        <v>1548</v>
      </c>
      <c r="T144" s="149">
        <v>19</v>
      </c>
      <c r="U144" s="148" t="s">
        <v>591</v>
      </c>
      <c r="V144" s="150">
        <v>3312.74</v>
      </c>
      <c r="W144" s="151">
        <f>V144*4</f>
        <v>13250.96</v>
      </c>
    </row>
    <row r="145" spans="1:23" ht="15" customHeight="1" x14ac:dyDescent="0.25">
      <c r="A145" s="148">
        <v>10465</v>
      </c>
      <c r="B145" s="148" t="s">
        <v>1555</v>
      </c>
      <c r="C145" s="143" t="s">
        <v>2504</v>
      </c>
      <c r="D145" s="143" t="s">
        <v>2504</v>
      </c>
      <c r="E145" s="143" t="s">
        <v>2504</v>
      </c>
      <c r="F145" s="143" t="s">
        <v>2504</v>
      </c>
      <c r="G145" s="143" t="s">
        <v>2504</v>
      </c>
      <c r="H145" s="143" t="s">
        <v>2504</v>
      </c>
      <c r="I145" s="143" t="str">
        <f t="shared" si="24"/>
        <v>NO EXISTE</v>
      </c>
      <c r="J145" s="143" t="str">
        <f t="shared" si="25"/>
        <v>NO EXISTE</v>
      </c>
      <c r="K145" s="143" t="str">
        <f t="shared" si="26"/>
        <v>NO EXISTE</v>
      </c>
      <c r="L145" s="143" t="str">
        <f t="shared" si="27"/>
        <v>NO EXISTE</v>
      </c>
      <c r="M145" s="143" t="str">
        <f t="shared" si="28"/>
        <v>NO EXISTE</v>
      </c>
      <c r="N145" s="143" t="str">
        <f t="shared" si="29"/>
        <v>NO EXISTE</v>
      </c>
      <c r="O145" s="143" t="str">
        <f t="shared" si="30"/>
        <v>NO EXISTE</v>
      </c>
      <c r="P145" s="143" t="str">
        <f t="shared" si="31"/>
        <v>NO EXISTE</v>
      </c>
      <c r="Q145" s="148" t="s">
        <v>1556</v>
      </c>
      <c r="R145" s="148" t="s">
        <v>1025</v>
      </c>
      <c r="S145" s="148" t="s">
        <v>1548</v>
      </c>
      <c r="T145" s="149">
        <v>19</v>
      </c>
      <c r="U145" s="148" t="s">
        <v>591</v>
      </c>
      <c r="V145" s="150">
        <v>3514.55</v>
      </c>
      <c r="W145" s="151">
        <f>V145*4</f>
        <v>14058.2</v>
      </c>
    </row>
    <row r="146" spans="1:23" ht="15" customHeight="1" x14ac:dyDescent="0.25">
      <c r="A146" s="148">
        <v>10466</v>
      </c>
      <c r="B146" s="148" t="s">
        <v>1557</v>
      </c>
      <c r="C146" s="143" t="s">
        <v>2504</v>
      </c>
      <c r="D146" s="143" t="s">
        <v>2504</v>
      </c>
      <c r="E146" s="143" t="s">
        <v>2504</v>
      </c>
      <c r="F146" s="143" t="s">
        <v>2504</v>
      </c>
      <c r="G146" s="143" t="s">
        <v>2504</v>
      </c>
      <c r="H146" s="143" t="s">
        <v>2504</v>
      </c>
      <c r="I146" s="143" t="str">
        <f t="shared" si="24"/>
        <v>NO EXISTE</v>
      </c>
      <c r="J146" s="143" t="str">
        <f t="shared" si="25"/>
        <v>NO EXISTE</v>
      </c>
      <c r="K146" s="143" t="str">
        <f t="shared" si="26"/>
        <v>NO EXISTE</v>
      </c>
      <c r="L146" s="143" t="str">
        <f t="shared" si="27"/>
        <v>NO EXISTE</v>
      </c>
      <c r="M146" s="143" t="str">
        <f t="shared" si="28"/>
        <v>NO EXISTE</v>
      </c>
      <c r="N146" s="143" t="str">
        <f t="shared" si="29"/>
        <v>NO EXISTE</v>
      </c>
      <c r="O146" s="143" t="str">
        <f t="shared" si="30"/>
        <v>NO EXISTE</v>
      </c>
      <c r="P146" s="143" t="str">
        <f t="shared" si="31"/>
        <v>NO EXISTE</v>
      </c>
      <c r="Q146" s="148" t="s">
        <v>1558</v>
      </c>
      <c r="R146" s="148" t="s">
        <v>1025</v>
      </c>
      <c r="S146" s="148" t="s">
        <v>1548</v>
      </c>
      <c r="T146" s="149">
        <v>19</v>
      </c>
      <c r="U146" s="148" t="s">
        <v>591</v>
      </c>
      <c r="V146" s="150">
        <v>3106.28</v>
      </c>
      <c r="W146" s="151">
        <f>V146*1000</f>
        <v>3106280</v>
      </c>
    </row>
    <row r="147" spans="1:23" ht="15" customHeight="1" x14ac:dyDescent="0.25">
      <c r="A147" s="148">
        <v>10741</v>
      </c>
      <c r="B147" s="148" t="s">
        <v>1818</v>
      </c>
      <c r="C147" s="143" t="s">
        <v>2504</v>
      </c>
      <c r="D147" s="143" t="s">
        <v>2504</v>
      </c>
      <c r="E147" s="143" t="s">
        <v>2504</v>
      </c>
      <c r="F147" s="143" t="s">
        <v>2504</v>
      </c>
      <c r="G147" s="143" t="s">
        <v>2504</v>
      </c>
      <c r="H147" s="143" t="s">
        <v>2504</v>
      </c>
      <c r="I147" s="143" t="str">
        <f t="shared" si="24"/>
        <v>NO EXISTE</v>
      </c>
      <c r="J147" s="143" t="str">
        <f t="shared" si="25"/>
        <v>NO EXISTE</v>
      </c>
      <c r="K147" s="143" t="str">
        <f t="shared" si="26"/>
        <v>NO EXISTE</v>
      </c>
      <c r="L147" s="143" t="str">
        <f t="shared" si="27"/>
        <v>NO EXISTE</v>
      </c>
      <c r="M147" s="143" t="str">
        <f t="shared" si="28"/>
        <v>NO EXISTE</v>
      </c>
      <c r="N147" s="143" t="str">
        <f t="shared" si="29"/>
        <v>NO EXISTE</v>
      </c>
      <c r="O147" s="143" t="str">
        <f t="shared" si="30"/>
        <v>NO EXISTE</v>
      </c>
      <c r="P147" s="143" t="str">
        <f t="shared" si="31"/>
        <v>NO EXISTE</v>
      </c>
      <c r="Q147" s="148" t="s">
        <v>1819</v>
      </c>
      <c r="R147" s="148" t="s">
        <v>1025</v>
      </c>
      <c r="S147" s="148" t="s">
        <v>1209</v>
      </c>
      <c r="T147" s="149">
        <v>200</v>
      </c>
      <c r="U147" s="148" t="s">
        <v>591</v>
      </c>
      <c r="V147" s="150">
        <v>18681.54</v>
      </c>
      <c r="W147" s="151">
        <v>32743.94</v>
      </c>
    </row>
    <row r="148" spans="1:23" ht="15" customHeight="1" x14ac:dyDescent="0.25">
      <c r="A148" s="148">
        <v>10744</v>
      </c>
      <c r="B148" s="148" t="s">
        <v>1820</v>
      </c>
      <c r="C148" s="143" t="s">
        <v>2504</v>
      </c>
      <c r="D148" s="143" t="s">
        <v>2504</v>
      </c>
      <c r="E148" s="143" t="s">
        <v>2504</v>
      </c>
      <c r="F148" s="143" t="s">
        <v>2504</v>
      </c>
      <c r="G148" s="143" t="s">
        <v>2504</v>
      </c>
      <c r="H148" s="143" t="s">
        <v>2504</v>
      </c>
      <c r="I148" s="143" t="str">
        <f t="shared" si="24"/>
        <v>NO EXISTE</v>
      </c>
      <c r="J148" s="143" t="str">
        <f t="shared" si="25"/>
        <v>NO EXISTE</v>
      </c>
      <c r="K148" s="143" t="str">
        <f t="shared" si="26"/>
        <v>NO EXISTE</v>
      </c>
      <c r="L148" s="143" t="str">
        <f t="shared" si="27"/>
        <v>NO EXISTE</v>
      </c>
      <c r="M148" s="143" t="str">
        <f t="shared" si="28"/>
        <v>NO EXISTE</v>
      </c>
      <c r="N148" s="143" t="str">
        <f t="shared" si="29"/>
        <v>NO EXISTE</v>
      </c>
      <c r="O148" s="143" t="str">
        <f t="shared" si="30"/>
        <v>NO EXISTE</v>
      </c>
      <c r="P148" s="143" t="str">
        <f t="shared" si="31"/>
        <v>NO EXISTE</v>
      </c>
      <c r="Q148" s="148" t="s">
        <v>1821</v>
      </c>
      <c r="R148" s="148" t="s">
        <v>1025</v>
      </c>
      <c r="S148" s="148" t="s">
        <v>1212</v>
      </c>
      <c r="T148" s="149">
        <v>200</v>
      </c>
      <c r="U148" s="148" t="s">
        <v>591</v>
      </c>
      <c r="V148" s="150">
        <v>21387.17</v>
      </c>
      <c r="W148" s="151">
        <f>V148*1000</f>
        <v>21387170</v>
      </c>
    </row>
    <row r="149" spans="1:23" ht="15" customHeight="1" x14ac:dyDescent="0.25">
      <c r="A149" s="148">
        <v>10745</v>
      </c>
      <c r="B149" s="148" t="s">
        <v>1822</v>
      </c>
      <c r="C149" s="143" t="s">
        <v>2504</v>
      </c>
      <c r="D149" s="143" t="s">
        <v>2504</v>
      </c>
      <c r="E149" s="143" t="s">
        <v>2504</v>
      </c>
      <c r="F149" s="143" t="s">
        <v>2504</v>
      </c>
      <c r="G149" s="143" t="s">
        <v>2504</v>
      </c>
      <c r="H149" s="143" t="s">
        <v>2504</v>
      </c>
      <c r="I149" s="143" t="str">
        <f t="shared" si="24"/>
        <v>NO EXISTE</v>
      </c>
      <c r="J149" s="143" t="str">
        <f t="shared" si="25"/>
        <v>NO EXISTE</v>
      </c>
      <c r="K149" s="143" t="str">
        <f t="shared" si="26"/>
        <v>NO EXISTE</v>
      </c>
      <c r="L149" s="143" t="str">
        <f t="shared" si="27"/>
        <v>NO EXISTE</v>
      </c>
      <c r="M149" s="143" t="str">
        <f t="shared" si="28"/>
        <v>NO EXISTE</v>
      </c>
      <c r="N149" s="143" t="str">
        <f t="shared" si="29"/>
        <v>NO EXISTE</v>
      </c>
      <c r="O149" s="143" t="str">
        <f t="shared" si="30"/>
        <v>NO EXISTE</v>
      </c>
      <c r="P149" s="143" t="str">
        <f t="shared" si="31"/>
        <v>NO EXISTE</v>
      </c>
      <c r="Q149" s="148" t="s">
        <v>1823</v>
      </c>
      <c r="R149" s="148" t="s">
        <v>1025</v>
      </c>
      <c r="S149" s="148" t="s">
        <v>1212</v>
      </c>
      <c r="T149" s="149">
        <v>200</v>
      </c>
      <c r="U149" s="148" t="s">
        <v>591</v>
      </c>
      <c r="V149" s="150">
        <v>22751.54</v>
      </c>
      <c r="W149" s="151">
        <v>4136.51</v>
      </c>
    </row>
    <row r="150" spans="1:23" ht="15" customHeight="1" x14ac:dyDescent="0.25">
      <c r="A150" s="148">
        <v>10749</v>
      </c>
      <c r="B150" s="148" t="s">
        <v>1824</v>
      </c>
      <c r="C150" s="143" t="s">
        <v>2504</v>
      </c>
      <c r="D150" s="143" t="s">
        <v>2504</v>
      </c>
      <c r="E150" s="143" t="s">
        <v>2504</v>
      </c>
      <c r="F150" s="143" t="s">
        <v>2504</v>
      </c>
      <c r="G150" s="143" t="s">
        <v>2504</v>
      </c>
      <c r="H150" s="143" t="s">
        <v>2504</v>
      </c>
      <c r="I150" s="143" t="str">
        <f t="shared" si="24"/>
        <v>NO EXISTE</v>
      </c>
      <c r="J150" s="143" t="str">
        <f t="shared" si="25"/>
        <v>NO EXISTE</v>
      </c>
      <c r="K150" s="143" t="str">
        <f t="shared" si="26"/>
        <v>NO EXISTE</v>
      </c>
      <c r="L150" s="143" t="str">
        <f t="shared" si="27"/>
        <v>NO EXISTE</v>
      </c>
      <c r="M150" s="143" t="str">
        <f t="shared" si="28"/>
        <v>NO EXISTE</v>
      </c>
      <c r="N150" s="143" t="str">
        <f t="shared" si="29"/>
        <v>NO EXISTE</v>
      </c>
      <c r="O150" s="143" t="str">
        <f t="shared" si="30"/>
        <v>NO EXISTE</v>
      </c>
      <c r="P150" s="143" t="str">
        <f t="shared" si="31"/>
        <v>NO EXISTE</v>
      </c>
      <c r="Q150" s="148" t="s">
        <v>1825</v>
      </c>
      <c r="R150" s="148" t="s">
        <v>1025</v>
      </c>
      <c r="S150" s="148" t="s">
        <v>1212</v>
      </c>
      <c r="T150" s="149">
        <v>200</v>
      </c>
      <c r="U150" s="148" t="s">
        <v>591</v>
      </c>
      <c r="V150" s="150">
        <v>23546.38</v>
      </c>
      <c r="W150" s="151">
        <v>43642.54</v>
      </c>
    </row>
    <row r="151" spans="1:23" ht="15" customHeight="1" x14ac:dyDescent="0.25">
      <c r="A151" s="148">
        <v>10751</v>
      </c>
      <c r="B151" s="148" t="s">
        <v>1826</v>
      </c>
      <c r="C151" s="143" t="s">
        <v>2504</v>
      </c>
      <c r="D151" s="143" t="s">
        <v>2504</v>
      </c>
      <c r="E151" s="143" t="s">
        <v>2504</v>
      </c>
      <c r="F151" s="143" t="s">
        <v>2504</v>
      </c>
      <c r="G151" s="143" t="s">
        <v>2504</v>
      </c>
      <c r="H151" s="143" t="s">
        <v>2504</v>
      </c>
      <c r="I151" s="143" t="str">
        <f t="shared" si="24"/>
        <v>NO EXISTE</v>
      </c>
      <c r="J151" s="143" t="str">
        <f t="shared" si="25"/>
        <v>NO EXISTE</v>
      </c>
      <c r="K151" s="143" t="str">
        <f t="shared" si="26"/>
        <v>NO EXISTE</v>
      </c>
      <c r="L151" s="143" t="str">
        <f t="shared" si="27"/>
        <v>NO EXISTE</v>
      </c>
      <c r="M151" s="143" t="str">
        <f t="shared" si="28"/>
        <v>NO EXISTE</v>
      </c>
      <c r="N151" s="143" t="str">
        <f t="shared" si="29"/>
        <v>NO EXISTE</v>
      </c>
      <c r="O151" s="143" t="str">
        <f t="shared" si="30"/>
        <v>NO EXISTE</v>
      </c>
      <c r="P151" s="143" t="str">
        <f t="shared" si="31"/>
        <v>NO EXISTE</v>
      </c>
      <c r="Q151" s="148" t="s">
        <v>1827</v>
      </c>
      <c r="R151" s="148" t="s">
        <v>1025</v>
      </c>
      <c r="S151" s="148" t="s">
        <v>1212</v>
      </c>
      <c r="T151" s="149">
        <v>200</v>
      </c>
      <c r="U151" s="148" t="s">
        <v>591</v>
      </c>
      <c r="V151" s="150">
        <v>19367.46</v>
      </c>
      <c r="W151" s="151">
        <f>V151*1000</f>
        <v>19367460</v>
      </c>
    </row>
    <row r="152" spans="1:23" ht="15" customHeight="1" x14ac:dyDescent="0.25">
      <c r="A152" s="148">
        <v>10752</v>
      </c>
      <c r="B152" s="148" t="s">
        <v>1828</v>
      </c>
      <c r="C152" s="143" t="s">
        <v>2504</v>
      </c>
      <c r="D152" s="143" t="s">
        <v>2504</v>
      </c>
      <c r="E152" s="143" t="s">
        <v>2504</v>
      </c>
      <c r="F152" s="143" t="s">
        <v>2504</v>
      </c>
      <c r="G152" s="143" t="s">
        <v>2504</v>
      </c>
      <c r="H152" s="143" t="s">
        <v>2504</v>
      </c>
      <c r="I152" s="143" t="str">
        <f t="shared" si="24"/>
        <v>NO EXISTE</v>
      </c>
      <c r="J152" s="143" t="str">
        <f t="shared" si="25"/>
        <v>NO EXISTE</v>
      </c>
      <c r="K152" s="143" t="str">
        <f t="shared" si="26"/>
        <v>NO EXISTE</v>
      </c>
      <c r="L152" s="143" t="str">
        <f t="shared" si="27"/>
        <v>NO EXISTE</v>
      </c>
      <c r="M152" s="143" t="str">
        <f t="shared" si="28"/>
        <v>NO EXISTE</v>
      </c>
      <c r="N152" s="143" t="str">
        <f t="shared" si="29"/>
        <v>NO EXISTE</v>
      </c>
      <c r="O152" s="143" t="str">
        <f t="shared" si="30"/>
        <v>NO EXISTE</v>
      </c>
      <c r="P152" s="143" t="str">
        <f t="shared" si="31"/>
        <v>NO EXISTE</v>
      </c>
      <c r="Q152" s="148" t="s">
        <v>1829</v>
      </c>
      <c r="R152" s="148" t="s">
        <v>1025</v>
      </c>
      <c r="S152" s="148" t="s">
        <v>1212</v>
      </c>
      <c r="T152" s="149">
        <v>200</v>
      </c>
      <c r="U152" s="148" t="s">
        <v>591</v>
      </c>
      <c r="V152" s="150">
        <v>25071.37</v>
      </c>
      <c r="W152" s="151">
        <v>3926.95</v>
      </c>
    </row>
    <row r="153" spans="1:23" ht="15" customHeight="1" x14ac:dyDescent="0.25">
      <c r="A153" s="148">
        <v>10753</v>
      </c>
      <c r="B153" s="148" t="s">
        <v>1830</v>
      </c>
      <c r="C153" s="143" t="s">
        <v>2504</v>
      </c>
      <c r="D153" s="143" t="s">
        <v>2504</v>
      </c>
      <c r="E153" s="143" t="s">
        <v>2504</v>
      </c>
      <c r="F153" s="143" t="s">
        <v>2504</v>
      </c>
      <c r="G153" s="143" t="s">
        <v>2504</v>
      </c>
      <c r="H153" s="143" t="s">
        <v>2504</v>
      </c>
      <c r="I153" s="143" t="str">
        <f t="shared" si="24"/>
        <v>NO EXISTE</v>
      </c>
      <c r="J153" s="143" t="str">
        <f t="shared" si="25"/>
        <v>NO EXISTE</v>
      </c>
      <c r="K153" s="143" t="str">
        <f t="shared" si="26"/>
        <v>NO EXISTE</v>
      </c>
      <c r="L153" s="143" t="str">
        <f t="shared" si="27"/>
        <v>NO EXISTE</v>
      </c>
      <c r="M153" s="143" t="str">
        <f t="shared" si="28"/>
        <v>NO EXISTE</v>
      </c>
      <c r="N153" s="143" t="str">
        <f t="shared" si="29"/>
        <v>NO EXISTE</v>
      </c>
      <c r="O153" s="143" t="str">
        <f t="shared" si="30"/>
        <v>NO EXISTE</v>
      </c>
      <c r="P153" s="143" t="str">
        <f t="shared" si="31"/>
        <v>NO EXISTE</v>
      </c>
      <c r="Q153" s="148" t="s">
        <v>1831</v>
      </c>
      <c r="R153" s="148" t="s">
        <v>1025</v>
      </c>
      <c r="S153" s="148" t="s">
        <v>1212</v>
      </c>
      <c r="T153" s="149">
        <v>200</v>
      </c>
      <c r="U153" s="148" t="s">
        <v>591</v>
      </c>
      <c r="V153" s="150">
        <v>21696.82</v>
      </c>
      <c r="W153" s="151">
        <v>41239.230000000003</v>
      </c>
    </row>
    <row r="154" spans="1:23" ht="15" customHeight="1" x14ac:dyDescent="0.25">
      <c r="A154" s="148">
        <v>10754</v>
      </c>
      <c r="B154" s="148" t="s">
        <v>1832</v>
      </c>
      <c r="C154" s="143" t="s">
        <v>2504</v>
      </c>
      <c r="D154" s="143" t="s">
        <v>2504</v>
      </c>
      <c r="E154" s="143" t="s">
        <v>2504</v>
      </c>
      <c r="F154" s="143" t="s">
        <v>2504</v>
      </c>
      <c r="G154" s="143" t="s">
        <v>2504</v>
      </c>
      <c r="H154" s="143" t="s">
        <v>2504</v>
      </c>
      <c r="I154" s="143" t="str">
        <f t="shared" si="24"/>
        <v>NO EXISTE</v>
      </c>
      <c r="J154" s="143" t="str">
        <f t="shared" si="25"/>
        <v>NO EXISTE</v>
      </c>
      <c r="K154" s="143" t="str">
        <f t="shared" si="26"/>
        <v>NO EXISTE</v>
      </c>
      <c r="L154" s="143" t="str">
        <f t="shared" si="27"/>
        <v>NO EXISTE</v>
      </c>
      <c r="M154" s="143" t="str">
        <f t="shared" si="28"/>
        <v>NO EXISTE</v>
      </c>
      <c r="N154" s="143" t="str">
        <f t="shared" si="29"/>
        <v>NO EXISTE</v>
      </c>
      <c r="O154" s="143" t="str">
        <f t="shared" si="30"/>
        <v>NO EXISTE</v>
      </c>
      <c r="P154" s="143" t="str">
        <f t="shared" si="31"/>
        <v>NO EXISTE</v>
      </c>
      <c r="Q154" s="148" t="s">
        <v>1833</v>
      </c>
      <c r="R154" s="148" t="s">
        <v>1025</v>
      </c>
      <c r="S154" s="148" t="s">
        <v>1212</v>
      </c>
      <c r="T154" s="149">
        <v>200</v>
      </c>
      <c r="U154" s="148" t="s">
        <v>591</v>
      </c>
      <c r="V154" s="150">
        <v>22028.84</v>
      </c>
      <c r="W154" s="151">
        <v>769.39</v>
      </c>
    </row>
    <row r="155" spans="1:23" ht="15" customHeight="1" x14ac:dyDescent="0.25">
      <c r="A155" s="148">
        <v>10755</v>
      </c>
      <c r="B155" s="148" t="s">
        <v>1834</v>
      </c>
      <c r="C155" s="143" t="s">
        <v>2504</v>
      </c>
      <c r="D155" s="143" t="s">
        <v>2504</v>
      </c>
      <c r="E155" s="143" t="s">
        <v>2504</v>
      </c>
      <c r="F155" s="143" t="s">
        <v>2504</v>
      </c>
      <c r="G155" s="143" t="s">
        <v>2504</v>
      </c>
      <c r="H155" s="143" t="s">
        <v>2504</v>
      </c>
      <c r="I155" s="143" t="str">
        <f t="shared" si="24"/>
        <v>NO EXISTE</v>
      </c>
      <c r="J155" s="143" t="str">
        <f t="shared" si="25"/>
        <v>NO EXISTE</v>
      </c>
      <c r="K155" s="143" t="str">
        <f t="shared" si="26"/>
        <v>NO EXISTE</v>
      </c>
      <c r="L155" s="143" t="str">
        <f t="shared" si="27"/>
        <v>NO EXISTE</v>
      </c>
      <c r="M155" s="143" t="str">
        <f t="shared" si="28"/>
        <v>NO EXISTE</v>
      </c>
      <c r="N155" s="143" t="str">
        <f t="shared" si="29"/>
        <v>NO EXISTE</v>
      </c>
      <c r="O155" s="143" t="str">
        <f t="shared" si="30"/>
        <v>NO EXISTE</v>
      </c>
      <c r="P155" s="143" t="str">
        <f t="shared" si="31"/>
        <v>NO EXISTE</v>
      </c>
      <c r="Q155" s="148" t="s">
        <v>1835</v>
      </c>
      <c r="R155" s="148" t="s">
        <v>1025</v>
      </c>
      <c r="S155" s="148" t="s">
        <v>1212</v>
      </c>
      <c r="T155" s="149">
        <v>200</v>
      </c>
      <c r="U155" s="148" t="s">
        <v>591</v>
      </c>
      <c r="V155" s="150">
        <v>21873.54</v>
      </c>
      <c r="W155" s="151">
        <v>791.5</v>
      </c>
    </row>
    <row r="156" spans="1:23" ht="15" customHeight="1" x14ac:dyDescent="0.25">
      <c r="A156" s="148">
        <v>10757</v>
      </c>
      <c r="B156" s="148" t="s">
        <v>1836</v>
      </c>
      <c r="C156" s="143" t="s">
        <v>2504</v>
      </c>
      <c r="D156" s="143" t="s">
        <v>2504</v>
      </c>
      <c r="E156" s="143" t="s">
        <v>2504</v>
      </c>
      <c r="F156" s="143" t="s">
        <v>2504</v>
      </c>
      <c r="G156" s="143" t="s">
        <v>2504</v>
      </c>
      <c r="H156" s="143" t="s">
        <v>2504</v>
      </c>
      <c r="I156" s="143" t="str">
        <f t="shared" si="24"/>
        <v>NO EXISTE</v>
      </c>
      <c r="J156" s="143" t="str">
        <f t="shared" si="25"/>
        <v>NO EXISTE</v>
      </c>
      <c r="K156" s="143" t="str">
        <f t="shared" si="26"/>
        <v>NO EXISTE</v>
      </c>
      <c r="L156" s="143" t="str">
        <f t="shared" si="27"/>
        <v>NO EXISTE</v>
      </c>
      <c r="M156" s="143" t="str">
        <f t="shared" si="28"/>
        <v>NO EXISTE</v>
      </c>
      <c r="N156" s="143" t="str">
        <f t="shared" si="29"/>
        <v>NO EXISTE</v>
      </c>
      <c r="O156" s="143" t="str">
        <f t="shared" si="30"/>
        <v>NO EXISTE</v>
      </c>
      <c r="P156" s="143" t="str">
        <f t="shared" si="31"/>
        <v>NO EXISTE</v>
      </c>
      <c r="Q156" s="148" t="s">
        <v>1837</v>
      </c>
      <c r="R156" s="148" t="s">
        <v>1025</v>
      </c>
      <c r="S156" s="148" t="s">
        <v>1212</v>
      </c>
      <c r="T156" s="149">
        <v>200</v>
      </c>
      <c r="U156" s="148" t="s">
        <v>591</v>
      </c>
      <c r="V156" s="150">
        <v>22211.74</v>
      </c>
      <c r="W156" s="151">
        <v>1022.17</v>
      </c>
    </row>
    <row r="157" spans="1:23" ht="15" customHeight="1" x14ac:dyDescent="0.25">
      <c r="A157" s="148">
        <v>10758</v>
      </c>
      <c r="B157" s="148" t="s">
        <v>1838</v>
      </c>
      <c r="C157" s="143" t="s">
        <v>2504</v>
      </c>
      <c r="D157" s="143" t="s">
        <v>2504</v>
      </c>
      <c r="E157" s="143" t="s">
        <v>2504</v>
      </c>
      <c r="F157" s="143" t="s">
        <v>2504</v>
      </c>
      <c r="G157" s="143" t="s">
        <v>2504</v>
      </c>
      <c r="H157" s="143" t="s">
        <v>2504</v>
      </c>
      <c r="I157" s="143" t="str">
        <f t="shared" si="24"/>
        <v>NO EXISTE</v>
      </c>
      <c r="J157" s="143" t="str">
        <f t="shared" si="25"/>
        <v>NO EXISTE</v>
      </c>
      <c r="K157" s="143" t="str">
        <f t="shared" si="26"/>
        <v>NO EXISTE</v>
      </c>
      <c r="L157" s="143" t="str">
        <f t="shared" si="27"/>
        <v>NO EXISTE</v>
      </c>
      <c r="M157" s="143" t="str">
        <f t="shared" si="28"/>
        <v>NO EXISTE</v>
      </c>
      <c r="N157" s="143" t="str">
        <f t="shared" si="29"/>
        <v>NO EXISTE</v>
      </c>
      <c r="O157" s="143" t="str">
        <f t="shared" si="30"/>
        <v>NO EXISTE</v>
      </c>
      <c r="P157" s="143" t="str">
        <f t="shared" si="31"/>
        <v>NO EXISTE</v>
      </c>
      <c r="Q157" s="148" t="s">
        <v>1839</v>
      </c>
      <c r="R157" s="148" t="s">
        <v>1025</v>
      </c>
      <c r="S157" s="148" t="s">
        <v>1212</v>
      </c>
      <c r="T157" s="149">
        <v>200</v>
      </c>
      <c r="U157" s="148" t="s">
        <v>591</v>
      </c>
      <c r="V157" s="150">
        <v>22476.49</v>
      </c>
      <c r="W157" s="151">
        <f>V157*4</f>
        <v>89905.96</v>
      </c>
    </row>
    <row r="158" spans="1:23" ht="15" customHeight="1" x14ac:dyDescent="0.25">
      <c r="A158" s="148">
        <v>10762</v>
      </c>
      <c r="B158" s="148" t="s">
        <v>1840</v>
      </c>
      <c r="C158" s="143" t="s">
        <v>2504</v>
      </c>
      <c r="D158" s="143" t="s">
        <v>2504</v>
      </c>
      <c r="E158" s="143" t="s">
        <v>2504</v>
      </c>
      <c r="F158" s="143" t="s">
        <v>2504</v>
      </c>
      <c r="G158" s="143" t="s">
        <v>2504</v>
      </c>
      <c r="H158" s="143" t="s">
        <v>2504</v>
      </c>
      <c r="I158" s="143" t="str">
        <f t="shared" si="24"/>
        <v>NO EXISTE</v>
      </c>
      <c r="J158" s="143" t="str">
        <f t="shared" si="25"/>
        <v>NO EXISTE</v>
      </c>
      <c r="K158" s="143" t="str">
        <f t="shared" si="26"/>
        <v>NO EXISTE</v>
      </c>
      <c r="L158" s="143" t="str">
        <f t="shared" si="27"/>
        <v>NO EXISTE</v>
      </c>
      <c r="M158" s="143" t="str">
        <f t="shared" si="28"/>
        <v>NO EXISTE</v>
      </c>
      <c r="N158" s="143" t="str">
        <f t="shared" si="29"/>
        <v>NO EXISTE</v>
      </c>
      <c r="O158" s="143" t="str">
        <f t="shared" si="30"/>
        <v>NO EXISTE</v>
      </c>
      <c r="P158" s="143" t="str">
        <f t="shared" si="31"/>
        <v>NO EXISTE</v>
      </c>
      <c r="Q158" s="148" t="s">
        <v>1841</v>
      </c>
      <c r="R158" s="148" t="s">
        <v>1025</v>
      </c>
      <c r="S158" s="148" t="s">
        <v>1548</v>
      </c>
      <c r="T158" s="149">
        <v>200</v>
      </c>
      <c r="U158" s="148" t="s">
        <v>591</v>
      </c>
      <c r="V158" s="150">
        <v>30279.919999999998</v>
      </c>
      <c r="W158" s="151">
        <v>18085.96</v>
      </c>
    </row>
    <row r="159" spans="1:23" ht="15" customHeight="1" x14ac:dyDescent="0.25">
      <c r="A159" s="148">
        <v>10763</v>
      </c>
      <c r="B159" s="148" t="s">
        <v>1842</v>
      </c>
      <c r="C159" s="143" t="s">
        <v>2504</v>
      </c>
      <c r="D159" s="143" t="s">
        <v>2504</v>
      </c>
      <c r="E159" s="143" t="s">
        <v>2504</v>
      </c>
      <c r="F159" s="143" t="s">
        <v>2504</v>
      </c>
      <c r="G159" s="143" t="s">
        <v>2504</v>
      </c>
      <c r="H159" s="143" t="s">
        <v>2504</v>
      </c>
      <c r="I159" s="143" t="str">
        <f t="shared" si="24"/>
        <v>NO EXISTE</v>
      </c>
      <c r="J159" s="143" t="str">
        <f t="shared" si="25"/>
        <v>NO EXISTE</v>
      </c>
      <c r="K159" s="143" t="str">
        <f t="shared" si="26"/>
        <v>NO EXISTE</v>
      </c>
      <c r="L159" s="143" t="str">
        <f t="shared" si="27"/>
        <v>NO EXISTE</v>
      </c>
      <c r="M159" s="143" t="str">
        <f t="shared" si="28"/>
        <v>NO EXISTE</v>
      </c>
      <c r="N159" s="143" t="str">
        <f t="shared" si="29"/>
        <v>NO EXISTE</v>
      </c>
      <c r="O159" s="143" t="str">
        <f t="shared" si="30"/>
        <v>NO EXISTE</v>
      </c>
      <c r="P159" s="143" t="str">
        <f t="shared" si="31"/>
        <v>NO EXISTE</v>
      </c>
      <c r="Q159" s="148" t="s">
        <v>1843</v>
      </c>
      <c r="R159" s="148" t="s">
        <v>1025</v>
      </c>
      <c r="S159" s="148" t="s">
        <v>1548</v>
      </c>
      <c r="T159" s="149">
        <v>200</v>
      </c>
      <c r="U159" s="148" t="s">
        <v>591</v>
      </c>
      <c r="V159" s="150">
        <v>31665.59</v>
      </c>
      <c r="W159" s="151">
        <f>V159*1000</f>
        <v>31665590</v>
      </c>
    </row>
    <row r="160" spans="1:23" ht="15" customHeight="1" x14ac:dyDescent="0.25">
      <c r="A160" s="148">
        <v>10764</v>
      </c>
      <c r="B160" s="148" t="s">
        <v>1844</v>
      </c>
      <c r="C160" s="143" t="s">
        <v>2504</v>
      </c>
      <c r="D160" s="143" t="s">
        <v>2504</v>
      </c>
      <c r="E160" s="143" t="s">
        <v>2504</v>
      </c>
      <c r="F160" s="143" t="s">
        <v>2504</v>
      </c>
      <c r="G160" s="143" t="s">
        <v>2504</v>
      </c>
      <c r="H160" s="143" t="s">
        <v>2504</v>
      </c>
      <c r="I160" s="143" t="str">
        <f t="shared" si="24"/>
        <v>NO EXISTE</v>
      </c>
      <c r="J160" s="143" t="str">
        <f t="shared" si="25"/>
        <v>NO EXISTE</v>
      </c>
      <c r="K160" s="143" t="str">
        <f t="shared" si="26"/>
        <v>NO EXISTE</v>
      </c>
      <c r="L160" s="143" t="str">
        <f t="shared" si="27"/>
        <v>NO EXISTE</v>
      </c>
      <c r="M160" s="143" t="str">
        <f t="shared" si="28"/>
        <v>NO EXISTE</v>
      </c>
      <c r="N160" s="143" t="str">
        <f t="shared" si="29"/>
        <v>NO EXISTE</v>
      </c>
      <c r="O160" s="143" t="str">
        <f t="shared" si="30"/>
        <v>NO EXISTE</v>
      </c>
      <c r="P160" s="143" t="str">
        <f t="shared" si="31"/>
        <v>NO EXISTE</v>
      </c>
      <c r="Q160" s="148" t="s">
        <v>1845</v>
      </c>
      <c r="R160" s="148" t="s">
        <v>1025</v>
      </c>
      <c r="S160" s="148" t="s">
        <v>1548</v>
      </c>
      <c r="T160" s="149">
        <v>200</v>
      </c>
      <c r="U160" s="148" t="s">
        <v>591</v>
      </c>
      <c r="V160" s="150">
        <v>34781.9</v>
      </c>
      <c r="W160" s="151">
        <v>18786.150000000001</v>
      </c>
    </row>
    <row r="161" spans="1:23" ht="15" customHeight="1" x14ac:dyDescent="0.25">
      <c r="A161" s="148">
        <v>10766</v>
      </c>
      <c r="B161" s="148" t="s">
        <v>1846</v>
      </c>
      <c r="C161" s="143" t="s">
        <v>2504</v>
      </c>
      <c r="D161" s="143" t="s">
        <v>2504</v>
      </c>
      <c r="E161" s="143" t="s">
        <v>2504</v>
      </c>
      <c r="F161" s="143" t="s">
        <v>2504</v>
      </c>
      <c r="G161" s="143" t="s">
        <v>2504</v>
      </c>
      <c r="H161" s="143" t="s">
        <v>2504</v>
      </c>
      <c r="I161" s="143" t="str">
        <f t="shared" si="24"/>
        <v>NO EXISTE</v>
      </c>
      <c r="J161" s="143" t="str">
        <f t="shared" si="25"/>
        <v>NO EXISTE</v>
      </c>
      <c r="K161" s="143" t="str">
        <f t="shared" si="26"/>
        <v>NO EXISTE</v>
      </c>
      <c r="L161" s="143" t="str">
        <f t="shared" si="27"/>
        <v>NO EXISTE</v>
      </c>
      <c r="M161" s="143" t="str">
        <f t="shared" si="28"/>
        <v>NO EXISTE</v>
      </c>
      <c r="N161" s="143" t="str">
        <f t="shared" si="29"/>
        <v>NO EXISTE</v>
      </c>
      <c r="O161" s="143" t="str">
        <f t="shared" si="30"/>
        <v>NO EXISTE</v>
      </c>
      <c r="P161" s="143" t="str">
        <f t="shared" si="31"/>
        <v>NO EXISTE</v>
      </c>
      <c r="Q161" s="148" t="s">
        <v>1847</v>
      </c>
      <c r="R161" s="148" t="s">
        <v>1025</v>
      </c>
      <c r="S161" s="148" t="s">
        <v>1548</v>
      </c>
      <c r="T161" s="149">
        <v>200</v>
      </c>
      <c r="U161" s="148" t="s">
        <v>591</v>
      </c>
      <c r="V161" s="150">
        <v>39581.279999999999</v>
      </c>
      <c r="W161" s="151">
        <v>25205.42</v>
      </c>
    </row>
    <row r="162" spans="1:23" ht="15" customHeight="1" x14ac:dyDescent="0.25">
      <c r="A162" s="148">
        <v>10768</v>
      </c>
      <c r="B162" s="148" t="s">
        <v>1848</v>
      </c>
      <c r="C162" s="143" t="s">
        <v>2504</v>
      </c>
      <c r="D162" s="143" t="s">
        <v>2504</v>
      </c>
      <c r="E162" s="143" t="s">
        <v>2504</v>
      </c>
      <c r="F162" s="143" t="s">
        <v>2504</v>
      </c>
      <c r="G162" s="143" t="s">
        <v>2504</v>
      </c>
      <c r="H162" s="143" t="s">
        <v>2504</v>
      </c>
      <c r="I162" s="143" t="str">
        <f t="shared" si="24"/>
        <v>NO EXISTE</v>
      </c>
      <c r="J162" s="143" t="str">
        <f t="shared" si="25"/>
        <v>NO EXISTE</v>
      </c>
      <c r="K162" s="143" t="str">
        <f t="shared" si="26"/>
        <v>NO EXISTE</v>
      </c>
      <c r="L162" s="143" t="str">
        <f t="shared" si="27"/>
        <v>NO EXISTE</v>
      </c>
      <c r="M162" s="143" t="str">
        <f t="shared" si="28"/>
        <v>NO EXISTE</v>
      </c>
      <c r="N162" s="143" t="str">
        <f t="shared" si="29"/>
        <v>NO EXISTE</v>
      </c>
      <c r="O162" s="143" t="str">
        <f t="shared" si="30"/>
        <v>NO EXISTE</v>
      </c>
      <c r="P162" s="143" t="str">
        <f t="shared" si="31"/>
        <v>NO EXISTE</v>
      </c>
      <c r="Q162" s="148" t="s">
        <v>1849</v>
      </c>
      <c r="R162" s="148" t="s">
        <v>1025</v>
      </c>
      <c r="S162" s="148" t="s">
        <v>1227</v>
      </c>
      <c r="T162" s="149">
        <v>200</v>
      </c>
      <c r="U162" s="148" t="s">
        <v>591</v>
      </c>
      <c r="V162" s="150">
        <v>22696.720000000001</v>
      </c>
      <c r="W162" s="151">
        <v>890.25</v>
      </c>
    </row>
    <row r="163" spans="1:23" ht="15" customHeight="1" x14ac:dyDescent="0.25">
      <c r="A163" s="148">
        <v>11345</v>
      </c>
      <c r="B163" s="148" t="s">
        <v>2027</v>
      </c>
      <c r="C163" s="143" t="s">
        <v>2504</v>
      </c>
      <c r="D163" s="143" t="s">
        <v>2504</v>
      </c>
      <c r="E163" s="143" t="s">
        <v>2504</v>
      </c>
      <c r="F163" s="143" t="s">
        <v>2504</v>
      </c>
      <c r="G163" s="143" t="s">
        <v>2504</v>
      </c>
      <c r="H163" s="143" t="s">
        <v>2504</v>
      </c>
      <c r="I163" s="143" t="str">
        <f t="shared" ref="I163:I226" si="32">IFERROR(VLOOKUP(B163,Base08,1,FALSE),"NO EXISTE")</f>
        <v>NO EXISTE</v>
      </c>
      <c r="J163" s="143" t="str">
        <f t="shared" ref="J163:J226" si="33">IFERROR(VLOOKUP(B163,Base09,1,FALSE),"NO EXISTE")</f>
        <v>NO EXISTE</v>
      </c>
      <c r="K163" s="143" t="str">
        <f t="shared" ref="K163:K226" si="34">IFERROR(VLOOKUP(B163,Base10,1,FALSE),"NO EXISTE")</f>
        <v>NO EXISTE</v>
      </c>
      <c r="L163" s="143" t="str">
        <f t="shared" ref="L163:L226" si="35">IFERROR(VLOOKUP(B163,Base11,1,FALSE),"NO EXISTE")</f>
        <v>NO EXISTE</v>
      </c>
      <c r="M163" s="143" t="str">
        <f t="shared" ref="M163:M226" si="36">IFERROR(VLOOKUP(B163,Base12,1,FALSE),"NO EXISTE")</f>
        <v>NO EXISTE</v>
      </c>
      <c r="N163" s="143" t="str">
        <f t="shared" ref="N163:N226" si="37">IFERROR(VLOOKUP(B163,Base13,1,FALSE),"NO EXISTE")</f>
        <v>NO EXISTE</v>
      </c>
      <c r="O163" s="143" t="str">
        <f t="shared" ref="O163:O226" si="38">IFERROR(VLOOKUP(B163,Base14,1,FALSE),"NO EXISTE")</f>
        <v>NO EXISTE</v>
      </c>
      <c r="P163" s="143" t="str">
        <f t="shared" ref="P163:P226" si="39">IFERROR(VLOOKUP(B163,Base15,1,FALSE),"NO EXISTE")</f>
        <v>NO EXISTE</v>
      </c>
      <c r="Q163" s="148" t="s">
        <v>2028</v>
      </c>
      <c r="R163" s="148" t="s">
        <v>600</v>
      </c>
      <c r="S163" s="148" t="s">
        <v>2029</v>
      </c>
      <c r="T163" s="149">
        <v>200</v>
      </c>
      <c r="U163" s="148" t="s">
        <v>591</v>
      </c>
      <c r="V163" s="150">
        <v>9660.76</v>
      </c>
      <c r="W163" s="151">
        <v>19381.71</v>
      </c>
    </row>
    <row r="164" spans="1:23" ht="15" customHeight="1" x14ac:dyDescent="0.25">
      <c r="A164" s="148">
        <v>11346</v>
      </c>
      <c r="B164" s="148" t="s">
        <v>2030</v>
      </c>
      <c r="C164" s="143" t="s">
        <v>2504</v>
      </c>
      <c r="D164" s="143" t="s">
        <v>2504</v>
      </c>
      <c r="E164" s="143" t="s">
        <v>2504</v>
      </c>
      <c r="F164" s="143" t="s">
        <v>2504</v>
      </c>
      <c r="G164" s="143" t="s">
        <v>2504</v>
      </c>
      <c r="H164" s="143" t="s">
        <v>2504</v>
      </c>
      <c r="I164" s="143" t="str">
        <f t="shared" si="32"/>
        <v>NO EXISTE</v>
      </c>
      <c r="J164" s="143" t="str">
        <f t="shared" si="33"/>
        <v>NO EXISTE</v>
      </c>
      <c r="K164" s="143" t="str">
        <f t="shared" si="34"/>
        <v>NO EXISTE</v>
      </c>
      <c r="L164" s="143" t="str">
        <f t="shared" si="35"/>
        <v>NO EXISTE</v>
      </c>
      <c r="M164" s="143" t="str">
        <f t="shared" si="36"/>
        <v>NO EXISTE</v>
      </c>
      <c r="N164" s="143" t="str">
        <f t="shared" si="37"/>
        <v>NO EXISTE</v>
      </c>
      <c r="O164" s="143" t="str">
        <f t="shared" si="38"/>
        <v>NO EXISTE</v>
      </c>
      <c r="P164" s="143" t="str">
        <f t="shared" si="39"/>
        <v>NO EXISTE</v>
      </c>
      <c r="Q164" s="148" t="s">
        <v>2031</v>
      </c>
      <c r="R164" s="148" t="s">
        <v>2032</v>
      </c>
      <c r="S164" s="148" t="s">
        <v>2033</v>
      </c>
      <c r="T164" s="149">
        <v>200</v>
      </c>
      <c r="U164" s="148" t="s">
        <v>591</v>
      </c>
      <c r="V164" s="150">
        <v>12793.34</v>
      </c>
      <c r="W164" s="151">
        <f>V164*4</f>
        <v>51173.36</v>
      </c>
    </row>
    <row r="165" spans="1:23" ht="15" customHeight="1" x14ac:dyDescent="0.25">
      <c r="A165" s="148">
        <v>16010</v>
      </c>
      <c r="B165" s="148" t="s">
        <v>2047</v>
      </c>
      <c r="C165" s="143" t="s">
        <v>2504</v>
      </c>
      <c r="D165" s="143" t="s">
        <v>2504</v>
      </c>
      <c r="E165" s="143" t="s">
        <v>2504</v>
      </c>
      <c r="F165" s="143" t="s">
        <v>2504</v>
      </c>
      <c r="G165" s="143" t="s">
        <v>2504</v>
      </c>
      <c r="H165" s="143" t="s">
        <v>2504</v>
      </c>
      <c r="I165" s="143" t="str">
        <f t="shared" si="32"/>
        <v>NO EXISTE</v>
      </c>
      <c r="J165" s="143" t="str">
        <f t="shared" si="33"/>
        <v>NO EXISTE</v>
      </c>
      <c r="K165" s="143" t="str">
        <f t="shared" si="34"/>
        <v>NO EXISTE</v>
      </c>
      <c r="L165" s="143" t="str">
        <f t="shared" si="35"/>
        <v>NO EXISTE</v>
      </c>
      <c r="M165" s="143" t="str">
        <f t="shared" si="36"/>
        <v>NO EXISTE</v>
      </c>
      <c r="N165" s="143" t="str">
        <f t="shared" si="37"/>
        <v>NO EXISTE</v>
      </c>
      <c r="O165" s="143" t="str">
        <f t="shared" si="38"/>
        <v>NO EXISTE</v>
      </c>
      <c r="P165" s="143" t="str">
        <f t="shared" si="39"/>
        <v>NO EXISTE</v>
      </c>
      <c r="Q165" s="148" t="s">
        <v>2048</v>
      </c>
      <c r="R165" s="148" t="s">
        <v>594</v>
      </c>
      <c r="S165" s="148" t="s">
        <v>595</v>
      </c>
      <c r="T165" s="149">
        <v>1</v>
      </c>
      <c r="U165" s="148" t="s">
        <v>591</v>
      </c>
      <c r="V165" s="150">
        <v>99.33</v>
      </c>
      <c r="W165" s="151">
        <f>V165*16</f>
        <v>1589.28</v>
      </c>
    </row>
    <row r="166" spans="1:23" ht="15" customHeight="1" x14ac:dyDescent="0.25">
      <c r="A166" s="148">
        <v>16016</v>
      </c>
      <c r="B166" s="148" t="s">
        <v>2055</v>
      </c>
      <c r="C166" s="143" t="s">
        <v>2504</v>
      </c>
      <c r="D166" s="143" t="s">
        <v>2504</v>
      </c>
      <c r="E166" s="143" t="s">
        <v>2504</v>
      </c>
      <c r="F166" s="143" t="s">
        <v>2504</v>
      </c>
      <c r="G166" s="143" t="s">
        <v>2504</v>
      </c>
      <c r="H166" s="143" t="s">
        <v>2504</v>
      </c>
      <c r="I166" s="143" t="str">
        <f t="shared" si="32"/>
        <v>NO EXISTE</v>
      </c>
      <c r="J166" s="143" t="str">
        <f t="shared" si="33"/>
        <v>NO EXISTE</v>
      </c>
      <c r="K166" s="143" t="str">
        <f t="shared" si="34"/>
        <v>NO EXISTE</v>
      </c>
      <c r="L166" s="143" t="str">
        <f t="shared" si="35"/>
        <v>NO EXISTE</v>
      </c>
      <c r="M166" s="143" t="str">
        <f t="shared" si="36"/>
        <v>NO EXISTE</v>
      </c>
      <c r="N166" s="143" t="str">
        <f t="shared" si="37"/>
        <v>NO EXISTE</v>
      </c>
      <c r="O166" s="143" t="str">
        <f t="shared" si="38"/>
        <v>NO EXISTE</v>
      </c>
      <c r="P166" s="143" t="str">
        <f t="shared" si="39"/>
        <v>NO EXISTE</v>
      </c>
      <c r="Q166" s="148" t="s">
        <v>2056</v>
      </c>
      <c r="R166" s="148" t="s">
        <v>594</v>
      </c>
      <c r="S166" s="148" t="s">
        <v>604</v>
      </c>
      <c r="T166" s="149">
        <v>1</v>
      </c>
      <c r="U166" s="148" t="s">
        <v>591</v>
      </c>
      <c r="V166" s="150">
        <v>101.58</v>
      </c>
      <c r="W166" s="151">
        <f>V166*16</f>
        <v>1625.28</v>
      </c>
    </row>
    <row r="167" spans="1:23" ht="15" customHeight="1" x14ac:dyDescent="0.25">
      <c r="A167" s="148">
        <v>16021</v>
      </c>
      <c r="B167" s="148" t="s">
        <v>2062</v>
      </c>
      <c r="C167" s="143" t="s">
        <v>2504</v>
      </c>
      <c r="D167" s="143" t="s">
        <v>2504</v>
      </c>
      <c r="E167" s="143" t="s">
        <v>2504</v>
      </c>
      <c r="F167" s="143" t="s">
        <v>2504</v>
      </c>
      <c r="G167" s="143" t="s">
        <v>2504</v>
      </c>
      <c r="H167" s="143" t="s">
        <v>2504</v>
      </c>
      <c r="I167" s="143" t="str">
        <f t="shared" si="32"/>
        <v>NO EXISTE</v>
      </c>
      <c r="J167" s="143" t="str">
        <f t="shared" si="33"/>
        <v>NO EXISTE</v>
      </c>
      <c r="K167" s="143" t="str">
        <f t="shared" si="34"/>
        <v>NO EXISTE</v>
      </c>
      <c r="L167" s="143" t="str">
        <f t="shared" si="35"/>
        <v>NO EXISTE</v>
      </c>
      <c r="M167" s="143" t="str">
        <f t="shared" si="36"/>
        <v>NO EXISTE</v>
      </c>
      <c r="N167" s="143" t="str">
        <f t="shared" si="37"/>
        <v>NO EXISTE</v>
      </c>
      <c r="O167" s="143" t="str">
        <f t="shared" si="38"/>
        <v>NO EXISTE</v>
      </c>
      <c r="P167" s="143" t="str">
        <f t="shared" si="39"/>
        <v>NO EXISTE</v>
      </c>
      <c r="Q167" s="148" t="s">
        <v>2063</v>
      </c>
      <c r="R167" s="148" t="s">
        <v>594</v>
      </c>
      <c r="S167" s="148" t="s">
        <v>604</v>
      </c>
      <c r="T167" s="149">
        <v>1</v>
      </c>
      <c r="U167" s="148" t="s">
        <v>591</v>
      </c>
      <c r="V167" s="150">
        <v>102.4</v>
      </c>
      <c r="W167" s="151">
        <f>V167*16</f>
        <v>1638.4</v>
      </c>
    </row>
    <row r="168" spans="1:23" ht="15" customHeight="1" x14ac:dyDescent="0.25">
      <c r="A168" s="148">
        <v>16027</v>
      </c>
      <c r="B168" s="148" t="s">
        <v>2069</v>
      </c>
      <c r="C168" s="143" t="s">
        <v>2504</v>
      </c>
      <c r="D168" s="143" t="s">
        <v>2504</v>
      </c>
      <c r="E168" s="143" t="s">
        <v>2504</v>
      </c>
      <c r="F168" s="143" t="s">
        <v>2504</v>
      </c>
      <c r="G168" s="143" t="s">
        <v>2504</v>
      </c>
      <c r="H168" s="143" t="s">
        <v>2504</v>
      </c>
      <c r="I168" s="143" t="str">
        <f t="shared" si="32"/>
        <v>NO EXISTE</v>
      </c>
      <c r="J168" s="143" t="str">
        <f t="shared" si="33"/>
        <v>NO EXISTE</v>
      </c>
      <c r="K168" s="143" t="str">
        <f t="shared" si="34"/>
        <v>NO EXISTE</v>
      </c>
      <c r="L168" s="143" t="str">
        <f t="shared" si="35"/>
        <v>NO EXISTE</v>
      </c>
      <c r="M168" s="143" t="str">
        <f t="shared" si="36"/>
        <v>NO EXISTE</v>
      </c>
      <c r="N168" s="143" t="str">
        <f t="shared" si="37"/>
        <v>NO EXISTE</v>
      </c>
      <c r="O168" s="143" t="str">
        <f t="shared" si="38"/>
        <v>NO EXISTE</v>
      </c>
      <c r="P168" s="143" t="str">
        <f t="shared" si="39"/>
        <v>NO EXISTE</v>
      </c>
      <c r="Q168" s="148" t="s">
        <v>2070</v>
      </c>
      <c r="R168" s="148" t="s">
        <v>589</v>
      </c>
      <c r="S168" s="148" t="s">
        <v>2071</v>
      </c>
      <c r="T168" s="149">
        <v>1</v>
      </c>
      <c r="U168" s="148" t="s">
        <v>591</v>
      </c>
      <c r="V168" s="150">
        <v>83.48</v>
      </c>
      <c r="W168" s="151">
        <v>1722.58</v>
      </c>
    </row>
    <row r="169" spans="1:23" ht="15" customHeight="1" x14ac:dyDescent="0.25">
      <c r="A169" s="148">
        <v>16030</v>
      </c>
      <c r="B169" s="148" t="s">
        <v>2075</v>
      </c>
      <c r="C169" s="143" t="s">
        <v>2504</v>
      </c>
      <c r="D169" s="143" t="s">
        <v>2504</v>
      </c>
      <c r="E169" s="143" t="s">
        <v>2504</v>
      </c>
      <c r="F169" s="143" t="s">
        <v>2504</v>
      </c>
      <c r="G169" s="143" t="s">
        <v>2504</v>
      </c>
      <c r="H169" s="143" t="s">
        <v>2504</v>
      </c>
      <c r="I169" s="143" t="str">
        <f t="shared" si="32"/>
        <v>NO EXISTE</v>
      </c>
      <c r="J169" s="143" t="str">
        <f t="shared" si="33"/>
        <v>NO EXISTE</v>
      </c>
      <c r="K169" s="143" t="str">
        <f t="shared" si="34"/>
        <v>NO EXISTE</v>
      </c>
      <c r="L169" s="143" t="str">
        <f t="shared" si="35"/>
        <v>NO EXISTE</v>
      </c>
      <c r="M169" s="143" t="str">
        <f t="shared" si="36"/>
        <v>NO EXISTE</v>
      </c>
      <c r="N169" s="143" t="str">
        <f t="shared" si="37"/>
        <v>NO EXISTE</v>
      </c>
      <c r="O169" s="143" t="str">
        <f t="shared" si="38"/>
        <v>NO EXISTE</v>
      </c>
      <c r="P169" s="143" t="str">
        <f t="shared" si="39"/>
        <v>NO EXISTE</v>
      </c>
      <c r="Q169" s="148" t="s">
        <v>2076</v>
      </c>
      <c r="R169" s="148" t="s">
        <v>589</v>
      </c>
      <c r="S169" s="148" t="s">
        <v>627</v>
      </c>
      <c r="T169" s="149">
        <v>1</v>
      </c>
      <c r="U169" s="148" t="s">
        <v>591</v>
      </c>
      <c r="V169" s="150">
        <v>63.66</v>
      </c>
      <c r="W169" s="151">
        <v>18236.47</v>
      </c>
    </row>
    <row r="170" spans="1:23" ht="15" customHeight="1" x14ac:dyDescent="0.25">
      <c r="A170" s="148">
        <v>16032</v>
      </c>
      <c r="B170" s="148" t="s">
        <v>2078</v>
      </c>
      <c r="C170" s="143" t="s">
        <v>2504</v>
      </c>
      <c r="D170" s="143" t="s">
        <v>2504</v>
      </c>
      <c r="E170" s="143" t="s">
        <v>2504</v>
      </c>
      <c r="F170" s="143" t="s">
        <v>2504</v>
      </c>
      <c r="G170" s="143" t="s">
        <v>2504</v>
      </c>
      <c r="H170" s="143" t="s">
        <v>2504</v>
      </c>
      <c r="I170" s="143" t="str">
        <f t="shared" si="32"/>
        <v>NO EXISTE</v>
      </c>
      <c r="J170" s="143" t="str">
        <f t="shared" si="33"/>
        <v>NO EXISTE</v>
      </c>
      <c r="K170" s="143" t="str">
        <f t="shared" si="34"/>
        <v>NO EXISTE</v>
      </c>
      <c r="L170" s="143" t="str">
        <f t="shared" si="35"/>
        <v>NO EXISTE</v>
      </c>
      <c r="M170" s="143" t="str">
        <f t="shared" si="36"/>
        <v>NO EXISTE</v>
      </c>
      <c r="N170" s="143" t="str">
        <f t="shared" si="37"/>
        <v>NO EXISTE</v>
      </c>
      <c r="O170" s="143" t="str">
        <f t="shared" si="38"/>
        <v>NO EXISTE</v>
      </c>
      <c r="P170" s="143" t="str">
        <f t="shared" si="39"/>
        <v>NO EXISTE</v>
      </c>
      <c r="Q170" s="148" t="s">
        <v>2079</v>
      </c>
      <c r="R170" s="148" t="s">
        <v>589</v>
      </c>
      <c r="S170" s="148" t="s">
        <v>627</v>
      </c>
      <c r="T170" s="149">
        <v>3.7850000000000001</v>
      </c>
      <c r="U170" s="148" t="s">
        <v>591</v>
      </c>
      <c r="V170" s="150">
        <v>286.97000000000003</v>
      </c>
      <c r="W170" s="151">
        <f>V170*15</f>
        <v>4304.55</v>
      </c>
    </row>
    <row r="171" spans="1:23" ht="15" customHeight="1" x14ac:dyDescent="0.25">
      <c r="A171" s="148">
        <v>16040</v>
      </c>
      <c r="B171" s="148" t="s">
        <v>2089</v>
      </c>
      <c r="C171" s="143" t="s">
        <v>2504</v>
      </c>
      <c r="D171" s="143" t="s">
        <v>2504</v>
      </c>
      <c r="E171" s="143" t="s">
        <v>2504</v>
      </c>
      <c r="F171" s="143" t="s">
        <v>2504</v>
      </c>
      <c r="G171" s="143" t="s">
        <v>2504</v>
      </c>
      <c r="H171" s="143" t="s">
        <v>2504</v>
      </c>
      <c r="I171" s="143" t="str">
        <f t="shared" si="32"/>
        <v>NO EXISTE</v>
      </c>
      <c r="J171" s="143" t="str">
        <f t="shared" si="33"/>
        <v>NO EXISTE</v>
      </c>
      <c r="K171" s="143" t="str">
        <f t="shared" si="34"/>
        <v>NO EXISTE</v>
      </c>
      <c r="L171" s="143" t="str">
        <f t="shared" si="35"/>
        <v>NO EXISTE</v>
      </c>
      <c r="M171" s="143" t="str">
        <f t="shared" si="36"/>
        <v>NO EXISTE</v>
      </c>
      <c r="N171" s="143" t="str">
        <f t="shared" si="37"/>
        <v>NO EXISTE</v>
      </c>
      <c r="O171" s="143" t="str">
        <f t="shared" si="38"/>
        <v>NO EXISTE</v>
      </c>
      <c r="P171" s="143" t="str">
        <f t="shared" si="39"/>
        <v>NO EXISTE</v>
      </c>
      <c r="Q171" s="148" t="s">
        <v>2090</v>
      </c>
      <c r="R171" s="148" t="s">
        <v>594</v>
      </c>
      <c r="S171" s="148" t="s">
        <v>2091</v>
      </c>
      <c r="T171" s="149">
        <v>0.95</v>
      </c>
      <c r="U171" s="148" t="s">
        <v>591</v>
      </c>
      <c r="V171" s="150">
        <v>167.78</v>
      </c>
      <c r="W171" s="151">
        <f>V171*1000</f>
        <v>167780</v>
      </c>
    </row>
    <row r="172" spans="1:23" ht="15" customHeight="1" x14ac:dyDescent="0.25">
      <c r="A172" s="148">
        <v>16048</v>
      </c>
      <c r="B172" s="148" t="s">
        <v>2102</v>
      </c>
      <c r="C172" s="143" t="s">
        <v>2504</v>
      </c>
      <c r="D172" s="143" t="s">
        <v>2504</v>
      </c>
      <c r="E172" s="143" t="s">
        <v>2504</v>
      </c>
      <c r="F172" s="143" t="s">
        <v>2504</v>
      </c>
      <c r="G172" s="143" t="s">
        <v>2504</v>
      </c>
      <c r="H172" s="143" t="s">
        <v>2504</v>
      </c>
      <c r="I172" s="143" t="str">
        <f t="shared" si="32"/>
        <v>NO EXISTE</v>
      </c>
      <c r="J172" s="143" t="str">
        <f t="shared" si="33"/>
        <v>NO EXISTE</v>
      </c>
      <c r="K172" s="143" t="str">
        <f t="shared" si="34"/>
        <v>NO EXISTE</v>
      </c>
      <c r="L172" s="143" t="str">
        <f t="shared" si="35"/>
        <v>NO EXISTE</v>
      </c>
      <c r="M172" s="143" t="str">
        <f t="shared" si="36"/>
        <v>NO EXISTE</v>
      </c>
      <c r="N172" s="143" t="str">
        <f t="shared" si="37"/>
        <v>NO EXISTE</v>
      </c>
      <c r="O172" s="143" t="str">
        <f t="shared" si="38"/>
        <v>NO EXISTE</v>
      </c>
      <c r="P172" s="143" t="str">
        <f t="shared" si="39"/>
        <v>NO EXISTE</v>
      </c>
      <c r="Q172" s="148" t="s">
        <v>2103</v>
      </c>
      <c r="R172" s="148" t="s">
        <v>594</v>
      </c>
      <c r="S172" s="148" t="s">
        <v>643</v>
      </c>
      <c r="T172" s="149">
        <v>0.95</v>
      </c>
      <c r="U172" s="148" t="s">
        <v>591</v>
      </c>
      <c r="V172" s="150">
        <v>122.61</v>
      </c>
      <c r="W172" s="151">
        <f>V172*16</f>
        <v>1961.76</v>
      </c>
    </row>
    <row r="173" spans="1:23" ht="15" customHeight="1" x14ac:dyDescent="0.25">
      <c r="A173" s="148">
        <v>16051</v>
      </c>
      <c r="B173" s="148" t="s">
        <v>2108</v>
      </c>
      <c r="C173" s="143" t="s">
        <v>2504</v>
      </c>
      <c r="D173" s="143" t="s">
        <v>2504</v>
      </c>
      <c r="E173" s="143" t="s">
        <v>2504</v>
      </c>
      <c r="F173" s="143" t="s">
        <v>2504</v>
      </c>
      <c r="G173" s="143" t="s">
        <v>2504</v>
      </c>
      <c r="H173" s="143" t="s">
        <v>2504</v>
      </c>
      <c r="I173" s="143" t="str">
        <f t="shared" si="32"/>
        <v>NO EXISTE</v>
      </c>
      <c r="J173" s="143" t="str">
        <f t="shared" si="33"/>
        <v>NO EXISTE</v>
      </c>
      <c r="K173" s="143" t="str">
        <f t="shared" si="34"/>
        <v>NO EXISTE</v>
      </c>
      <c r="L173" s="143" t="str">
        <f t="shared" si="35"/>
        <v>NO EXISTE</v>
      </c>
      <c r="M173" s="143" t="str">
        <f t="shared" si="36"/>
        <v>NO EXISTE</v>
      </c>
      <c r="N173" s="143" t="str">
        <f t="shared" si="37"/>
        <v>NO EXISTE</v>
      </c>
      <c r="O173" s="143" t="str">
        <f t="shared" si="38"/>
        <v>NO EXISTE</v>
      </c>
      <c r="P173" s="143" t="str">
        <f t="shared" si="39"/>
        <v>NO EXISTE</v>
      </c>
      <c r="Q173" s="148" t="s">
        <v>2109</v>
      </c>
      <c r="R173" s="148" t="s">
        <v>594</v>
      </c>
      <c r="S173" s="148" t="s">
        <v>643</v>
      </c>
      <c r="T173" s="149">
        <v>200</v>
      </c>
      <c r="U173" s="148" t="s">
        <v>591</v>
      </c>
      <c r="V173" s="150">
        <v>25250.05</v>
      </c>
      <c r="W173" s="151">
        <f t="shared" ref="W173:W180" si="40">V173*4</f>
        <v>101000.2</v>
      </c>
    </row>
    <row r="174" spans="1:23" ht="15" customHeight="1" x14ac:dyDescent="0.25">
      <c r="A174" s="148">
        <v>16054</v>
      </c>
      <c r="B174" s="148" t="s">
        <v>2112</v>
      </c>
      <c r="C174" s="143" t="s">
        <v>2504</v>
      </c>
      <c r="D174" s="143" t="s">
        <v>2504</v>
      </c>
      <c r="E174" s="143" t="s">
        <v>2504</v>
      </c>
      <c r="F174" s="143" t="s">
        <v>2504</v>
      </c>
      <c r="G174" s="143" t="s">
        <v>2504</v>
      </c>
      <c r="H174" s="143" t="s">
        <v>2504</v>
      </c>
      <c r="I174" s="143" t="str">
        <f t="shared" si="32"/>
        <v>NO EXISTE</v>
      </c>
      <c r="J174" s="143" t="str">
        <f t="shared" si="33"/>
        <v>NO EXISTE</v>
      </c>
      <c r="K174" s="143" t="str">
        <f t="shared" si="34"/>
        <v>NO EXISTE</v>
      </c>
      <c r="L174" s="143" t="str">
        <f t="shared" si="35"/>
        <v>NO EXISTE</v>
      </c>
      <c r="M174" s="143" t="str">
        <f t="shared" si="36"/>
        <v>NO EXISTE</v>
      </c>
      <c r="N174" s="143" t="str">
        <f t="shared" si="37"/>
        <v>NO EXISTE</v>
      </c>
      <c r="O174" s="143" t="str">
        <f t="shared" si="38"/>
        <v>NO EXISTE</v>
      </c>
      <c r="P174" s="143" t="str">
        <f t="shared" si="39"/>
        <v>NO EXISTE</v>
      </c>
      <c r="Q174" s="148" t="s">
        <v>2113</v>
      </c>
      <c r="R174" s="148" t="s">
        <v>594</v>
      </c>
      <c r="S174" s="148" t="s">
        <v>643</v>
      </c>
      <c r="T174" s="149">
        <v>5</v>
      </c>
      <c r="U174" s="148" t="s">
        <v>591</v>
      </c>
      <c r="V174" s="150">
        <v>603.79</v>
      </c>
      <c r="W174" s="151">
        <f t="shared" si="40"/>
        <v>2415.16</v>
      </c>
    </row>
    <row r="175" spans="1:23" ht="15" customHeight="1" x14ac:dyDescent="0.25">
      <c r="A175" s="148">
        <v>16069</v>
      </c>
      <c r="B175" s="148" t="s">
        <v>2126</v>
      </c>
      <c r="C175" s="143" t="s">
        <v>2504</v>
      </c>
      <c r="D175" s="143" t="s">
        <v>2504</v>
      </c>
      <c r="E175" s="143" t="s">
        <v>2504</v>
      </c>
      <c r="F175" s="143" t="s">
        <v>2504</v>
      </c>
      <c r="G175" s="143" t="s">
        <v>2504</v>
      </c>
      <c r="H175" s="143" t="s">
        <v>2504</v>
      </c>
      <c r="I175" s="143" t="str">
        <f t="shared" si="32"/>
        <v>NO EXISTE</v>
      </c>
      <c r="J175" s="143" t="str">
        <f t="shared" si="33"/>
        <v>NO EXISTE</v>
      </c>
      <c r="K175" s="143" t="str">
        <f t="shared" si="34"/>
        <v>NO EXISTE</v>
      </c>
      <c r="L175" s="143" t="str">
        <f t="shared" si="35"/>
        <v>NO EXISTE</v>
      </c>
      <c r="M175" s="143" t="str">
        <f t="shared" si="36"/>
        <v>NO EXISTE</v>
      </c>
      <c r="N175" s="143" t="str">
        <f t="shared" si="37"/>
        <v>NO EXISTE</v>
      </c>
      <c r="O175" s="143" t="str">
        <f t="shared" si="38"/>
        <v>NO EXISTE</v>
      </c>
      <c r="P175" s="143" t="str">
        <f t="shared" si="39"/>
        <v>NO EXISTE</v>
      </c>
      <c r="Q175" s="148" t="s">
        <v>2127</v>
      </c>
      <c r="R175" s="148" t="s">
        <v>594</v>
      </c>
      <c r="S175" s="148" t="s">
        <v>2128</v>
      </c>
      <c r="T175" s="149">
        <v>5</v>
      </c>
      <c r="U175" s="148" t="s">
        <v>591</v>
      </c>
      <c r="V175" s="150">
        <v>653.75</v>
      </c>
      <c r="W175" s="151">
        <f t="shared" si="40"/>
        <v>2615</v>
      </c>
    </row>
    <row r="176" spans="1:23" ht="15" customHeight="1" x14ac:dyDescent="0.25">
      <c r="A176" s="148">
        <v>16070</v>
      </c>
      <c r="B176" s="148" t="s">
        <v>2129</v>
      </c>
      <c r="C176" s="143" t="s">
        <v>2504</v>
      </c>
      <c r="D176" s="143" t="s">
        <v>2504</v>
      </c>
      <c r="E176" s="143" t="s">
        <v>2504</v>
      </c>
      <c r="F176" s="143" t="s">
        <v>2504</v>
      </c>
      <c r="G176" s="143" t="s">
        <v>2504</v>
      </c>
      <c r="H176" s="143" t="s">
        <v>2504</v>
      </c>
      <c r="I176" s="143" t="str">
        <f t="shared" si="32"/>
        <v>NO EXISTE</v>
      </c>
      <c r="J176" s="143" t="str">
        <f t="shared" si="33"/>
        <v>NO EXISTE</v>
      </c>
      <c r="K176" s="143" t="str">
        <f t="shared" si="34"/>
        <v>NO EXISTE</v>
      </c>
      <c r="L176" s="143" t="str">
        <f t="shared" si="35"/>
        <v>NO EXISTE</v>
      </c>
      <c r="M176" s="143" t="str">
        <f t="shared" si="36"/>
        <v>NO EXISTE</v>
      </c>
      <c r="N176" s="143" t="str">
        <f t="shared" si="37"/>
        <v>NO EXISTE</v>
      </c>
      <c r="O176" s="143" t="str">
        <f t="shared" si="38"/>
        <v>NO EXISTE</v>
      </c>
      <c r="P176" s="143" t="str">
        <f t="shared" si="39"/>
        <v>NO EXISTE</v>
      </c>
      <c r="Q176" s="148" t="s">
        <v>2130</v>
      </c>
      <c r="R176" s="148" t="s">
        <v>594</v>
      </c>
      <c r="S176" s="148" t="s">
        <v>2128</v>
      </c>
      <c r="T176" s="149">
        <v>19</v>
      </c>
      <c r="U176" s="148" t="s">
        <v>591</v>
      </c>
      <c r="V176" s="150">
        <v>2415.38</v>
      </c>
      <c r="W176" s="151">
        <f t="shared" si="40"/>
        <v>9661.52</v>
      </c>
    </row>
    <row r="177" spans="1:23" ht="15" customHeight="1" x14ac:dyDescent="0.25">
      <c r="A177" s="148">
        <v>16077</v>
      </c>
      <c r="B177" s="148" t="s">
        <v>2135</v>
      </c>
      <c r="C177" s="143" t="s">
        <v>2504</v>
      </c>
      <c r="D177" s="143" t="s">
        <v>2504</v>
      </c>
      <c r="E177" s="143" t="s">
        <v>2504</v>
      </c>
      <c r="F177" s="143" t="s">
        <v>2504</v>
      </c>
      <c r="G177" s="143" t="s">
        <v>2504</v>
      </c>
      <c r="H177" s="143" t="s">
        <v>2504</v>
      </c>
      <c r="I177" s="143" t="str">
        <f t="shared" si="32"/>
        <v>NO EXISTE</v>
      </c>
      <c r="J177" s="143" t="str">
        <f t="shared" si="33"/>
        <v>NO EXISTE</v>
      </c>
      <c r="K177" s="143" t="str">
        <f t="shared" si="34"/>
        <v>NO EXISTE</v>
      </c>
      <c r="L177" s="143" t="str">
        <f t="shared" si="35"/>
        <v>NO EXISTE</v>
      </c>
      <c r="M177" s="143" t="str">
        <f t="shared" si="36"/>
        <v>NO EXISTE</v>
      </c>
      <c r="N177" s="143" t="str">
        <f t="shared" si="37"/>
        <v>NO EXISTE</v>
      </c>
      <c r="O177" s="143" t="str">
        <f t="shared" si="38"/>
        <v>NO EXISTE</v>
      </c>
      <c r="P177" s="143" t="str">
        <f t="shared" si="39"/>
        <v>NO EXISTE</v>
      </c>
      <c r="Q177" s="148" t="s">
        <v>2136</v>
      </c>
      <c r="R177" s="148" t="s">
        <v>630</v>
      </c>
      <c r="S177" s="148" t="s">
        <v>631</v>
      </c>
      <c r="T177" s="149">
        <v>0.95</v>
      </c>
      <c r="U177" s="148" t="s">
        <v>591</v>
      </c>
      <c r="V177" s="150">
        <v>83.83</v>
      </c>
      <c r="W177" s="151">
        <f t="shared" si="40"/>
        <v>335.32</v>
      </c>
    </row>
    <row r="178" spans="1:23" ht="15" customHeight="1" x14ac:dyDescent="0.25">
      <c r="A178" s="148">
        <v>16106</v>
      </c>
      <c r="B178" s="148" t="s">
        <v>2146</v>
      </c>
      <c r="C178" s="143" t="s">
        <v>2504</v>
      </c>
      <c r="D178" s="143" t="s">
        <v>2504</v>
      </c>
      <c r="E178" s="143" t="s">
        <v>2504</v>
      </c>
      <c r="F178" s="143" t="s">
        <v>2504</v>
      </c>
      <c r="G178" s="143" t="s">
        <v>2504</v>
      </c>
      <c r="H178" s="143" t="s">
        <v>2504</v>
      </c>
      <c r="I178" s="143" t="str">
        <f t="shared" si="32"/>
        <v>NO EXISTE</v>
      </c>
      <c r="J178" s="143" t="str">
        <f t="shared" si="33"/>
        <v>NO EXISTE</v>
      </c>
      <c r="K178" s="143" t="str">
        <f t="shared" si="34"/>
        <v>NO EXISTE</v>
      </c>
      <c r="L178" s="143" t="str">
        <f t="shared" si="35"/>
        <v>NO EXISTE</v>
      </c>
      <c r="M178" s="143" t="str">
        <f t="shared" si="36"/>
        <v>NO EXISTE</v>
      </c>
      <c r="N178" s="143" t="str">
        <f t="shared" si="37"/>
        <v>NO EXISTE</v>
      </c>
      <c r="O178" s="143" t="str">
        <f t="shared" si="38"/>
        <v>NO EXISTE</v>
      </c>
      <c r="P178" s="143" t="str">
        <f t="shared" si="39"/>
        <v>NO EXISTE</v>
      </c>
      <c r="Q178" s="148" t="s">
        <v>2147</v>
      </c>
      <c r="R178" s="148" t="s">
        <v>630</v>
      </c>
      <c r="S178" s="148" t="s">
        <v>631</v>
      </c>
      <c r="T178" s="149">
        <v>4</v>
      </c>
      <c r="U178" s="148" t="s">
        <v>591</v>
      </c>
      <c r="V178" s="150">
        <v>349.78</v>
      </c>
      <c r="W178" s="151">
        <f t="shared" si="40"/>
        <v>1399.12</v>
      </c>
    </row>
    <row r="179" spans="1:23" ht="15" customHeight="1" x14ac:dyDescent="0.25">
      <c r="A179" s="148">
        <v>16110</v>
      </c>
      <c r="B179" s="148" t="s">
        <v>2148</v>
      </c>
      <c r="C179" s="143" t="s">
        <v>2504</v>
      </c>
      <c r="D179" s="143" t="s">
        <v>2504</v>
      </c>
      <c r="E179" s="143" t="s">
        <v>2504</v>
      </c>
      <c r="F179" s="143" t="s">
        <v>2504</v>
      </c>
      <c r="G179" s="143" t="s">
        <v>2504</v>
      </c>
      <c r="H179" s="143" t="s">
        <v>2504</v>
      </c>
      <c r="I179" s="143" t="str">
        <f t="shared" si="32"/>
        <v>NO EXISTE</v>
      </c>
      <c r="J179" s="143" t="str">
        <f t="shared" si="33"/>
        <v>NO EXISTE</v>
      </c>
      <c r="K179" s="143" t="str">
        <f t="shared" si="34"/>
        <v>NO EXISTE</v>
      </c>
      <c r="L179" s="143" t="str">
        <f t="shared" si="35"/>
        <v>NO EXISTE</v>
      </c>
      <c r="M179" s="143" t="str">
        <f t="shared" si="36"/>
        <v>NO EXISTE</v>
      </c>
      <c r="N179" s="143" t="str">
        <f t="shared" si="37"/>
        <v>NO EXISTE</v>
      </c>
      <c r="O179" s="143" t="str">
        <f t="shared" si="38"/>
        <v>NO EXISTE</v>
      </c>
      <c r="P179" s="143" t="str">
        <f t="shared" si="39"/>
        <v>NO EXISTE</v>
      </c>
      <c r="Q179" s="148" t="s">
        <v>2149</v>
      </c>
      <c r="R179" s="148" t="s">
        <v>594</v>
      </c>
      <c r="S179" s="148" t="s">
        <v>776</v>
      </c>
      <c r="T179" s="149">
        <v>0.95</v>
      </c>
      <c r="U179" s="148" t="s">
        <v>591</v>
      </c>
      <c r="V179" s="150">
        <v>118.61</v>
      </c>
      <c r="W179" s="151">
        <f t="shared" si="40"/>
        <v>474.44</v>
      </c>
    </row>
    <row r="180" spans="1:23" ht="15" customHeight="1" x14ac:dyDescent="0.25">
      <c r="A180" s="148">
        <v>16111</v>
      </c>
      <c r="B180" s="148" t="s">
        <v>2150</v>
      </c>
      <c r="C180" s="143" t="s">
        <v>2504</v>
      </c>
      <c r="D180" s="143" t="s">
        <v>2504</v>
      </c>
      <c r="E180" s="143" t="s">
        <v>2504</v>
      </c>
      <c r="F180" s="143" t="s">
        <v>2504</v>
      </c>
      <c r="G180" s="143" t="s">
        <v>2504</v>
      </c>
      <c r="H180" s="143" t="s">
        <v>2504</v>
      </c>
      <c r="I180" s="143" t="str">
        <f t="shared" si="32"/>
        <v>NO EXISTE</v>
      </c>
      <c r="J180" s="143" t="str">
        <f t="shared" si="33"/>
        <v>NO EXISTE</v>
      </c>
      <c r="K180" s="143" t="str">
        <f t="shared" si="34"/>
        <v>NO EXISTE</v>
      </c>
      <c r="L180" s="143" t="str">
        <f t="shared" si="35"/>
        <v>NO EXISTE</v>
      </c>
      <c r="M180" s="143" t="str">
        <f t="shared" si="36"/>
        <v>NO EXISTE</v>
      </c>
      <c r="N180" s="143" t="str">
        <f t="shared" si="37"/>
        <v>NO EXISTE</v>
      </c>
      <c r="O180" s="143" t="str">
        <f t="shared" si="38"/>
        <v>NO EXISTE</v>
      </c>
      <c r="P180" s="143" t="str">
        <f t="shared" si="39"/>
        <v>NO EXISTE</v>
      </c>
      <c r="Q180" s="148" t="s">
        <v>2151</v>
      </c>
      <c r="R180" s="148" t="s">
        <v>594</v>
      </c>
      <c r="S180" s="148" t="s">
        <v>776</v>
      </c>
      <c r="T180" s="149">
        <v>0.95</v>
      </c>
      <c r="U180" s="148" t="s">
        <v>591</v>
      </c>
      <c r="V180" s="150">
        <v>140.33000000000001</v>
      </c>
      <c r="W180" s="151">
        <f t="shared" si="40"/>
        <v>561.32000000000005</v>
      </c>
    </row>
    <row r="181" spans="1:23" ht="15" customHeight="1" x14ac:dyDescent="0.25">
      <c r="A181" s="148">
        <v>16112</v>
      </c>
      <c r="B181" s="148" t="s">
        <v>2152</v>
      </c>
      <c r="C181" s="143" t="s">
        <v>2504</v>
      </c>
      <c r="D181" s="143" t="s">
        <v>2504</v>
      </c>
      <c r="E181" s="143" t="s">
        <v>2504</v>
      </c>
      <c r="F181" s="143" t="s">
        <v>2504</v>
      </c>
      <c r="G181" s="143" t="s">
        <v>2504</v>
      </c>
      <c r="H181" s="143" t="s">
        <v>2504</v>
      </c>
      <c r="I181" s="143" t="str">
        <f t="shared" si="32"/>
        <v>NO EXISTE</v>
      </c>
      <c r="J181" s="143" t="str">
        <f t="shared" si="33"/>
        <v>NO EXISTE</v>
      </c>
      <c r="K181" s="143" t="str">
        <f t="shared" si="34"/>
        <v>NO EXISTE</v>
      </c>
      <c r="L181" s="143" t="str">
        <f t="shared" si="35"/>
        <v>NO EXISTE</v>
      </c>
      <c r="M181" s="143" t="str">
        <f t="shared" si="36"/>
        <v>NO EXISTE</v>
      </c>
      <c r="N181" s="143" t="str">
        <f t="shared" si="37"/>
        <v>NO EXISTE</v>
      </c>
      <c r="O181" s="143" t="str">
        <f t="shared" si="38"/>
        <v>NO EXISTE</v>
      </c>
      <c r="P181" s="143" t="str">
        <f t="shared" si="39"/>
        <v>NO EXISTE</v>
      </c>
      <c r="Q181" s="148" t="s">
        <v>2153</v>
      </c>
      <c r="R181" s="148" t="s">
        <v>594</v>
      </c>
      <c r="S181" s="148" t="s">
        <v>776</v>
      </c>
      <c r="T181" s="149">
        <v>0.95</v>
      </c>
      <c r="U181" s="148" t="s">
        <v>591</v>
      </c>
      <c r="V181" s="150">
        <v>109.34</v>
      </c>
      <c r="W181" s="151">
        <f>V181*1000</f>
        <v>109340</v>
      </c>
    </row>
    <row r="182" spans="1:23" ht="15" customHeight="1" x14ac:dyDescent="0.25">
      <c r="A182" s="148">
        <v>16113</v>
      </c>
      <c r="B182" s="148" t="s">
        <v>2154</v>
      </c>
      <c r="C182" s="143" t="s">
        <v>2504</v>
      </c>
      <c r="D182" s="143" t="s">
        <v>2504</v>
      </c>
      <c r="E182" s="143" t="s">
        <v>2504</v>
      </c>
      <c r="F182" s="143" t="s">
        <v>2504</v>
      </c>
      <c r="G182" s="143" t="s">
        <v>2504</v>
      </c>
      <c r="H182" s="143" t="s">
        <v>2504</v>
      </c>
      <c r="I182" s="143" t="str">
        <f t="shared" si="32"/>
        <v>NO EXISTE</v>
      </c>
      <c r="J182" s="143" t="str">
        <f t="shared" si="33"/>
        <v>NO EXISTE</v>
      </c>
      <c r="K182" s="143" t="str">
        <f t="shared" si="34"/>
        <v>NO EXISTE</v>
      </c>
      <c r="L182" s="143" t="str">
        <f t="shared" si="35"/>
        <v>NO EXISTE</v>
      </c>
      <c r="M182" s="143" t="str">
        <f t="shared" si="36"/>
        <v>NO EXISTE</v>
      </c>
      <c r="N182" s="143" t="str">
        <f t="shared" si="37"/>
        <v>NO EXISTE</v>
      </c>
      <c r="O182" s="143" t="str">
        <f t="shared" si="38"/>
        <v>NO EXISTE</v>
      </c>
      <c r="P182" s="143" t="str">
        <f t="shared" si="39"/>
        <v>NO EXISTE</v>
      </c>
      <c r="Q182" s="148" t="s">
        <v>2155</v>
      </c>
      <c r="R182" s="148" t="s">
        <v>594</v>
      </c>
      <c r="S182" s="148" t="s">
        <v>674</v>
      </c>
      <c r="T182" s="149">
        <v>0.95</v>
      </c>
      <c r="U182" s="148" t="s">
        <v>591</v>
      </c>
      <c r="V182" s="150">
        <v>113.38</v>
      </c>
      <c r="W182" s="151">
        <f>V182*1000</f>
        <v>113380</v>
      </c>
    </row>
    <row r="183" spans="1:23" ht="15" customHeight="1" x14ac:dyDescent="0.25">
      <c r="A183" s="148">
        <v>16115</v>
      </c>
      <c r="B183" s="148" t="s">
        <v>2156</v>
      </c>
      <c r="C183" s="143" t="s">
        <v>2504</v>
      </c>
      <c r="D183" s="143" t="s">
        <v>2504</v>
      </c>
      <c r="E183" s="143" t="s">
        <v>2504</v>
      </c>
      <c r="F183" s="143" t="s">
        <v>2504</v>
      </c>
      <c r="G183" s="143" t="s">
        <v>2504</v>
      </c>
      <c r="H183" s="143" t="s">
        <v>2504</v>
      </c>
      <c r="I183" s="143" t="str">
        <f t="shared" si="32"/>
        <v>NO EXISTE</v>
      </c>
      <c r="J183" s="143" t="str">
        <f t="shared" si="33"/>
        <v>NO EXISTE</v>
      </c>
      <c r="K183" s="143" t="str">
        <f t="shared" si="34"/>
        <v>NO EXISTE</v>
      </c>
      <c r="L183" s="143" t="str">
        <f t="shared" si="35"/>
        <v>NO EXISTE</v>
      </c>
      <c r="M183" s="143" t="str">
        <f t="shared" si="36"/>
        <v>NO EXISTE</v>
      </c>
      <c r="N183" s="143" t="str">
        <f t="shared" si="37"/>
        <v>NO EXISTE</v>
      </c>
      <c r="O183" s="143" t="str">
        <f t="shared" si="38"/>
        <v>NO EXISTE</v>
      </c>
      <c r="P183" s="143" t="str">
        <f t="shared" si="39"/>
        <v>NO EXISTE</v>
      </c>
      <c r="Q183" s="148" t="s">
        <v>2157</v>
      </c>
      <c r="R183" s="148" t="s">
        <v>594</v>
      </c>
      <c r="S183" s="148" t="s">
        <v>776</v>
      </c>
      <c r="T183" s="149">
        <v>200</v>
      </c>
      <c r="U183" s="148" t="s">
        <v>591</v>
      </c>
      <c r="V183" s="150">
        <v>24141.11</v>
      </c>
      <c r="W183" s="151">
        <f>V183*1000</f>
        <v>24141110</v>
      </c>
    </row>
    <row r="184" spans="1:23" ht="15" customHeight="1" x14ac:dyDescent="0.25">
      <c r="A184" s="148">
        <v>16116</v>
      </c>
      <c r="B184" s="148" t="s">
        <v>2158</v>
      </c>
      <c r="C184" s="143" t="s">
        <v>2504</v>
      </c>
      <c r="D184" s="143" t="s">
        <v>2504</v>
      </c>
      <c r="E184" s="143" t="s">
        <v>2504</v>
      </c>
      <c r="F184" s="143" t="s">
        <v>2504</v>
      </c>
      <c r="G184" s="143" t="s">
        <v>2504</v>
      </c>
      <c r="H184" s="143" t="s">
        <v>2504</v>
      </c>
      <c r="I184" s="143" t="str">
        <f t="shared" si="32"/>
        <v>NO EXISTE</v>
      </c>
      <c r="J184" s="143" t="str">
        <f t="shared" si="33"/>
        <v>NO EXISTE</v>
      </c>
      <c r="K184" s="143" t="str">
        <f t="shared" si="34"/>
        <v>NO EXISTE</v>
      </c>
      <c r="L184" s="143" t="str">
        <f t="shared" si="35"/>
        <v>NO EXISTE</v>
      </c>
      <c r="M184" s="143" t="str">
        <f t="shared" si="36"/>
        <v>NO EXISTE</v>
      </c>
      <c r="N184" s="143" t="str">
        <f t="shared" si="37"/>
        <v>NO EXISTE</v>
      </c>
      <c r="O184" s="143" t="str">
        <f t="shared" si="38"/>
        <v>NO EXISTE</v>
      </c>
      <c r="P184" s="143" t="str">
        <f t="shared" si="39"/>
        <v>NO EXISTE</v>
      </c>
      <c r="Q184" s="148" t="s">
        <v>2159</v>
      </c>
      <c r="R184" s="148" t="s">
        <v>594</v>
      </c>
      <c r="S184" s="148" t="s">
        <v>776</v>
      </c>
      <c r="T184" s="149">
        <v>19</v>
      </c>
      <c r="U184" s="148" t="s">
        <v>591</v>
      </c>
      <c r="V184" s="150">
        <v>2741.03</v>
      </c>
      <c r="W184" s="151">
        <v>2723.76</v>
      </c>
    </row>
    <row r="185" spans="1:23" ht="15" customHeight="1" x14ac:dyDescent="0.25">
      <c r="A185" s="148">
        <v>16117</v>
      </c>
      <c r="B185" s="148" t="s">
        <v>2160</v>
      </c>
      <c r="C185" s="143" t="s">
        <v>2504</v>
      </c>
      <c r="D185" s="143" t="s">
        <v>2504</v>
      </c>
      <c r="E185" s="143" t="s">
        <v>2504</v>
      </c>
      <c r="F185" s="143" t="s">
        <v>2504</v>
      </c>
      <c r="G185" s="143" t="s">
        <v>2504</v>
      </c>
      <c r="H185" s="143" t="s">
        <v>2504</v>
      </c>
      <c r="I185" s="143" t="str">
        <f t="shared" si="32"/>
        <v>NO EXISTE</v>
      </c>
      <c r="J185" s="143" t="str">
        <f t="shared" si="33"/>
        <v>NO EXISTE</v>
      </c>
      <c r="K185" s="143" t="str">
        <f t="shared" si="34"/>
        <v>NO EXISTE</v>
      </c>
      <c r="L185" s="143" t="str">
        <f t="shared" si="35"/>
        <v>NO EXISTE</v>
      </c>
      <c r="M185" s="143" t="str">
        <f t="shared" si="36"/>
        <v>NO EXISTE</v>
      </c>
      <c r="N185" s="143" t="str">
        <f t="shared" si="37"/>
        <v>NO EXISTE</v>
      </c>
      <c r="O185" s="143" t="str">
        <f t="shared" si="38"/>
        <v>NO EXISTE</v>
      </c>
      <c r="P185" s="143" t="str">
        <f t="shared" si="39"/>
        <v>NO EXISTE</v>
      </c>
      <c r="Q185" s="148" t="s">
        <v>2161</v>
      </c>
      <c r="R185" s="148" t="s">
        <v>594</v>
      </c>
      <c r="S185" s="148" t="s">
        <v>776</v>
      </c>
      <c r="T185" s="149">
        <v>200</v>
      </c>
      <c r="U185" s="148" t="s">
        <v>591</v>
      </c>
      <c r="V185" s="150">
        <v>28937.119999999999</v>
      </c>
      <c r="W185" s="151">
        <f>V185*1000</f>
        <v>28937120</v>
      </c>
    </row>
    <row r="186" spans="1:23" ht="15" customHeight="1" x14ac:dyDescent="0.25">
      <c r="A186" s="148">
        <v>16118</v>
      </c>
      <c r="B186" s="148" t="s">
        <v>2162</v>
      </c>
      <c r="C186" s="143" t="s">
        <v>2504</v>
      </c>
      <c r="D186" s="143" t="s">
        <v>2504</v>
      </c>
      <c r="E186" s="143" t="s">
        <v>2504</v>
      </c>
      <c r="F186" s="143" t="s">
        <v>2504</v>
      </c>
      <c r="G186" s="143" t="s">
        <v>2504</v>
      </c>
      <c r="H186" s="143" t="s">
        <v>2504</v>
      </c>
      <c r="I186" s="143" t="str">
        <f t="shared" si="32"/>
        <v>NO EXISTE</v>
      </c>
      <c r="J186" s="143" t="str">
        <f t="shared" si="33"/>
        <v>NO EXISTE</v>
      </c>
      <c r="K186" s="143" t="str">
        <f t="shared" si="34"/>
        <v>NO EXISTE</v>
      </c>
      <c r="L186" s="143" t="str">
        <f t="shared" si="35"/>
        <v>NO EXISTE</v>
      </c>
      <c r="M186" s="143" t="str">
        <f t="shared" si="36"/>
        <v>NO EXISTE</v>
      </c>
      <c r="N186" s="143" t="str">
        <f t="shared" si="37"/>
        <v>NO EXISTE</v>
      </c>
      <c r="O186" s="143" t="str">
        <f t="shared" si="38"/>
        <v>NO EXISTE</v>
      </c>
      <c r="P186" s="143" t="str">
        <f t="shared" si="39"/>
        <v>NO EXISTE</v>
      </c>
      <c r="Q186" s="148" t="s">
        <v>2163</v>
      </c>
      <c r="R186" s="148" t="s">
        <v>594</v>
      </c>
      <c r="S186" s="148" t="s">
        <v>776</v>
      </c>
      <c r="T186" s="149">
        <v>19</v>
      </c>
      <c r="U186" s="148" t="s">
        <v>591</v>
      </c>
      <c r="V186" s="150">
        <v>2741.03</v>
      </c>
      <c r="W186" s="151">
        <v>400.32</v>
      </c>
    </row>
    <row r="187" spans="1:23" ht="15" customHeight="1" x14ac:dyDescent="0.25">
      <c r="A187" s="148">
        <v>16120</v>
      </c>
      <c r="B187" s="148" t="s">
        <v>2165</v>
      </c>
      <c r="C187" s="143" t="s">
        <v>2504</v>
      </c>
      <c r="D187" s="143" t="s">
        <v>2504</v>
      </c>
      <c r="E187" s="143" t="s">
        <v>2504</v>
      </c>
      <c r="F187" s="143" t="s">
        <v>2504</v>
      </c>
      <c r="G187" s="143" t="s">
        <v>2504</v>
      </c>
      <c r="H187" s="143" t="s">
        <v>2504</v>
      </c>
      <c r="I187" s="143" t="str">
        <f t="shared" si="32"/>
        <v>NO EXISTE</v>
      </c>
      <c r="J187" s="143" t="str">
        <f t="shared" si="33"/>
        <v>NO EXISTE</v>
      </c>
      <c r="K187" s="143" t="str">
        <f t="shared" si="34"/>
        <v>NO EXISTE</v>
      </c>
      <c r="L187" s="143" t="str">
        <f t="shared" si="35"/>
        <v>NO EXISTE</v>
      </c>
      <c r="M187" s="143" t="str">
        <f t="shared" si="36"/>
        <v>NO EXISTE</v>
      </c>
      <c r="N187" s="143" t="str">
        <f t="shared" si="37"/>
        <v>NO EXISTE</v>
      </c>
      <c r="O187" s="143" t="str">
        <f t="shared" si="38"/>
        <v>NO EXISTE</v>
      </c>
      <c r="P187" s="143" t="str">
        <f t="shared" si="39"/>
        <v>NO EXISTE</v>
      </c>
      <c r="Q187" s="148" t="s">
        <v>2166</v>
      </c>
      <c r="R187" s="148" t="s">
        <v>594</v>
      </c>
      <c r="S187" s="148" t="s">
        <v>776</v>
      </c>
      <c r="T187" s="149">
        <v>200</v>
      </c>
      <c r="U187" s="148" t="s">
        <v>591</v>
      </c>
      <c r="V187" s="150">
        <v>22412.27</v>
      </c>
      <c r="W187" s="151">
        <v>399.36</v>
      </c>
    </row>
    <row r="188" spans="1:23" ht="15" customHeight="1" x14ac:dyDescent="0.25">
      <c r="A188" s="148">
        <v>16130</v>
      </c>
      <c r="B188" s="148" t="s">
        <v>2173</v>
      </c>
      <c r="C188" s="143" t="s">
        <v>2504</v>
      </c>
      <c r="D188" s="143" t="s">
        <v>2504</v>
      </c>
      <c r="E188" s="143" t="s">
        <v>2504</v>
      </c>
      <c r="F188" s="143" t="s">
        <v>2504</v>
      </c>
      <c r="G188" s="143" t="s">
        <v>2504</v>
      </c>
      <c r="H188" s="143" t="s">
        <v>2504</v>
      </c>
      <c r="I188" s="143" t="str">
        <f t="shared" si="32"/>
        <v>NO EXISTE</v>
      </c>
      <c r="J188" s="143" t="str">
        <f t="shared" si="33"/>
        <v>NO EXISTE</v>
      </c>
      <c r="K188" s="143" t="str">
        <f t="shared" si="34"/>
        <v>NO EXISTE</v>
      </c>
      <c r="L188" s="143" t="str">
        <f t="shared" si="35"/>
        <v>NO EXISTE</v>
      </c>
      <c r="M188" s="143" t="str">
        <f t="shared" si="36"/>
        <v>NO EXISTE</v>
      </c>
      <c r="N188" s="143" t="str">
        <f t="shared" si="37"/>
        <v>NO EXISTE</v>
      </c>
      <c r="O188" s="143" t="str">
        <f t="shared" si="38"/>
        <v>NO EXISTE</v>
      </c>
      <c r="P188" s="143" t="str">
        <f t="shared" si="39"/>
        <v>NO EXISTE</v>
      </c>
      <c r="Q188" s="148" t="s">
        <v>2174</v>
      </c>
      <c r="R188" s="148" t="s">
        <v>594</v>
      </c>
      <c r="S188" s="148" t="s">
        <v>2175</v>
      </c>
      <c r="T188" s="149">
        <v>0.95</v>
      </c>
      <c r="U188" s="148" t="s">
        <v>591</v>
      </c>
      <c r="V188" s="150">
        <v>132.93</v>
      </c>
      <c r="W188" s="151">
        <v>399.03</v>
      </c>
    </row>
    <row r="189" spans="1:23" ht="15" customHeight="1" x14ac:dyDescent="0.25">
      <c r="A189" s="148">
        <v>16132</v>
      </c>
      <c r="B189" s="148" t="s">
        <v>2176</v>
      </c>
      <c r="C189" s="143" t="s">
        <v>2504</v>
      </c>
      <c r="D189" s="143" t="s">
        <v>2504</v>
      </c>
      <c r="E189" s="143" t="s">
        <v>2504</v>
      </c>
      <c r="F189" s="143" t="s">
        <v>2504</v>
      </c>
      <c r="G189" s="143" t="s">
        <v>2504</v>
      </c>
      <c r="H189" s="143" t="s">
        <v>2504</v>
      </c>
      <c r="I189" s="143" t="str">
        <f t="shared" si="32"/>
        <v>NO EXISTE</v>
      </c>
      <c r="J189" s="143" t="str">
        <f t="shared" si="33"/>
        <v>NO EXISTE</v>
      </c>
      <c r="K189" s="143" t="str">
        <f t="shared" si="34"/>
        <v>NO EXISTE</v>
      </c>
      <c r="L189" s="143" t="str">
        <f t="shared" si="35"/>
        <v>NO EXISTE</v>
      </c>
      <c r="M189" s="143" t="str">
        <f t="shared" si="36"/>
        <v>NO EXISTE</v>
      </c>
      <c r="N189" s="143" t="str">
        <f t="shared" si="37"/>
        <v>NO EXISTE</v>
      </c>
      <c r="O189" s="143" t="str">
        <f t="shared" si="38"/>
        <v>NO EXISTE</v>
      </c>
      <c r="P189" s="143" t="str">
        <f t="shared" si="39"/>
        <v>NO EXISTE</v>
      </c>
      <c r="Q189" s="148" t="s">
        <v>2177</v>
      </c>
      <c r="R189" s="148" t="s">
        <v>594</v>
      </c>
      <c r="S189" s="148" t="s">
        <v>2175</v>
      </c>
      <c r="T189" s="149">
        <v>4</v>
      </c>
      <c r="U189" s="148" t="s">
        <v>591</v>
      </c>
      <c r="V189" s="150">
        <v>551.74</v>
      </c>
      <c r="W189" s="151">
        <v>514.36</v>
      </c>
    </row>
    <row r="190" spans="1:23" ht="15" customHeight="1" x14ac:dyDescent="0.25">
      <c r="A190" s="148">
        <v>16135</v>
      </c>
      <c r="B190" s="148" t="s">
        <v>2178</v>
      </c>
      <c r="C190" s="143" t="s">
        <v>2504</v>
      </c>
      <c r="D190" s="143" t="s">
        <v>2504</v>
      </c>
      <c r="E190" s="143" t="s">
        <v>2504</v>
      </c>
      <c r="F190" s="143" t="s">
        <v>2504</v>
      </c>
      <c r="G190" s="143" t="s">
        <v>2504</v>
      </c>
      <c r="H190" s="143" t="s">
        <v>2504</v>
      </c>
      <c r="I190" s="143" t="str">
        <f t="shared" si="32"/>
        <v>NO EXISTE</v>
      </c>
      <c r="J190" s="143" t="str">
        <f t="shared" si="33"/>
        <v>NO EXISTE</v>
      </c>
      <c r="K190" s="143" t="str">
        <f t="shared" si="34"/>
        <v>NO EXISTE</v>
      </c>
      <c r="L190" s="143" t="str">
        <f t="shared" si="35"/>
        <v>NO EXISTE</v>
      </c>
      <c r="M190" s="143" t="str">
        <f t="shared" si="36"/>
        <v>NO EXISTE</v>
      </c>
      <c r="N190" s="143" t="str">
        <f t="shared" si="37"/>
        <v>NO EXISTE</v>
      </c>
      <c r="O190" s="143" t="str">
        <f t="shared" si="38"/>
        <v>NO EXISTE</v>
      </c>
      <c r="P190" s="143" t="str">
        <f t="shared" si="39"/>
        <v>NO EXISTE</v>
      </c>
      <c r="Q190" s="148" t="s">
        <v>2179</v>
      </c>
      <c r="R190" s="148" t="s">
        <v>594</v>
      </c>
      <c r="S190" s="148" t="s">
        <v>2175</v>
      </c>
      <c r="T190" s="242">
        <v>0.95</v>
      </c>
      <c r="U190" s="148" t="s">
        <v>591</v>
      </c>
      <c r="V190" s="150">
        <v>134.47</v>
      </c>
      <c r="W190" s="151">
        <v>399.81</v>
      </c>
    </row>
    <row r="191" spans="1:23" ht="15" customHeight="1" x14ac:dyDescent="0.25">
      <c r="A191" s="148">
        <v>16140</v>
      </c>
      <c r="B191" s="148" t="s">
        <v>2181</v>
      </c>
      <c r="C191" s="143" t="s">
        <v>2504</v>
      </c>
      <c r="D191" s="143" t="s">
        <v>2504</v>
      </c>
      <c r="E191" s="143" t="s">
        <v>2504</v>
      </c>
      <c r="F191" s="143" t="s">
        <v>2504</v>
      </c>
      <c r="G191" s="143" t="s">
        <v>2504</v>
      </c>
      <c r="H191" s="143" t="s">
        <v>2504</v>
      </c>
      <c r="I191" s="143" t="str">
        <f t="shared" si="32"/>
        <v>NO EXISTE</v>
      </c>
      <c r="J191" s="143" t="str">
        <f t="shared" si="33"/>
        <v>NO EXISTE</v>
      </c>
      <c r="K191" s="143" t="str">
        <f t="shared" si="34"/>
        <v>NO EXISTE</v>
      </c>
      <c r="L191" s="143" t="str">
        <f t="shared" si="35"/>
        <v>NO EXISTE</v>
      </c>
      <c r="M191" s="143" t="str">
        <f t="shared" si="36"/>
        <v>NO EXISTE</v>
      </c>
      <c r="N191" s="143" t="str">
        <f t="shared" si="37"/>
        <v>NO EXISTE</v>
      </c>
      <c r="O191" s="143" t="str">
        <f t="shared" si="38"/>
        <v>NO EXISTE</v>
      </c>
      <c r="P191" s="143" t="str">
        <f t="shared" si="39"/>
        <v>NO EXISTE</v>
      </c>
      <c r="Q191" s="148" t="s">
        <v>2182</v>
      </c>
      <c r="R191" s="148" t="s">
        <v>594</v>
      </c>
      <c r="S191" s="148" t="s">
        <v>2175</v>
      </c>
      <c r="T191" s="149">
        <v>0.95</v>
      </c>
      <c r="U191" s="148" t="s">
        <v>591</v>
      </c>
      <c r="V191" s="150">
        <v>180.56</v>
      </c>
      <c r="W191" s="151">
        <f>V191*24</f>
        <v>4333.4400000000005</v>
      </c>
    </row>
    <row r="192" spans="1:23" ht="15" customHeight="1" x14ac:dyDescent="0.25">
      <c r="A192" s="148">
        <v>16142</v>
      </c>
      <c r="B192" s="148" t="s">
        <v>2183</v>
      </c>
      <c r="C192" s="143" t="s">
        <v>2504</v>
      </c>
      <c r="D192" s="143" t="s">
        <v>2504</v>
      </c>
      <c r="E192" s="143" t="s">
        <v>2504</v>
      </c>
      <c r="F192" s="143" t="s">
        <v>2504</v>
      </c>
      <c r="G192" s="143" t="s">
        <v>2504</v>
      </c>
      <c r="H192" s="143" t="s">
        <v>2504</v>
      </c>
      <c r="I192" s="143" t="str">
        <f t="shared" si="32"/>
        <v>NO EXISTE</v>
      </c>
      <c r="J192" s="143" t="str">
        <f t="shared" si="33"/>
        <v>NO EXISTE</v>
      </c>
      <c r="K192" s="143" t="str">
        <f t="shared" si="34"/>
        <v>NO EXISTE</v>
      </c>
      <c r="L192" s="143" t="str">
        <f t="shared" si="35"/>
        <v>NO EXISTE</v>
      </c>
      <c r="M192" s="143" t="str">
        <f t="shared" si="36"/>
        <v>NO EXISTE</v>
      </c>
      <c r="N192" s="143" t="str">
        <f t="shared" si="37"/>
        <v>NO EXISTE</v>
      </c>
      <c r="O192" s="143" t="str">
        <f t="shared" si="38"/>
        <v>NO EXISTE</v>
      </c>
      <c r="P192" s="143" t="str">
        <f t="shared" si="39"/>
        <v>NO EXISTE</v>
      </c>
      <c r="Q192" s="148" t="s">
        <v>2184</v>
      </c>
      <c r="R192" s="148" t="s">
        <v>594</v>
      </c>
      <c r="S192" s="148" t="s">
        <v>2175</v>
      </c>
      <c r="T192" s="149">
        <v>4</v>
      </c>
      <c r="U192" s="148" t="s">
        <v>591</v>
      </c>
      <c r="V192" s="150">
        <v>714.76</v>
      </c>
      <c r="W192" s="151">
        <v>1706.2</v>
      </c>
    </row>
    <row r="193" spans="1:23" ht="15" customHeight="1" x14ac:dyDescent="0.25">
      <c r="A193" s="148">
        <v>16202</v>
      </c>
      <c r="B193" s="148" t="s">
        <v>2199</v>
      </c>
      <c r="C193" s="143" t="s">
        <v>2504</v>
      </c>
      <c r="D193" s="143" t="s">
        <v>2504</v>
      </c>
      <c r="E193" s="143" t="s">
        <v>2504</v>
      </c>
      <c r="F193" s="143" t="s">
        <v>2504</v>
      </c>
      <c r="G193" s="143" t="s">
        <v>2504</v>
      </c>
      <c r="H193" s="143" t="s">
        <v>2504</v>
      </c>
      <c r="I193" s="143" t="str">
        <f t="shared" si="32"/>
        <v>NO EXISTE</v>
      </c>
      <c r="J193" s="143" t="str">
        <f t="shared" si="33"/>
        <v>NO EXISTE</v>
      </c>
      <c r="K193" s="143" t="str">
        <f t="shared" si="34"/>
        <v>NO EXISTE</v>
      </c>
      <c r="L193" s="143" t="str">
        <f t="shared" si="35"/>
        <v>NO EXISTE</v>
      </c>
      <c r="M193" s="143" t="str">
        <f t="shared" si="36"/>
        <v>NO EXISTE</v>
      </c>
      <c r="N193" s="143" t="str">
        <f t="shared" si="37"/>
        <v>NO EXISTE</v>
      </c>
      <c r="O193" s="143" t="str">
        <f t="shared" si="38"/>
        <v>NO EXISTE</v>
      </c>
      <c r="P193" s="143" t="str">
        <f t="shared" si="39"/>
        <v>NO EXISTE</v>
      </c>
      <c r="Q193" s="148" t="s">
        <v>2200</v>
      </c>
      <c r="R193" s="148" t="s">
        <v>594</v>
      </c>
      <c r="S193" s="148" t="s">
        <v>595</v>
      </c>
      <c r="T193" s="149">
        <v>0.95</v>
      </c>
      <c r="U193" s="148" t="s">
        <v>591</v>
      </c>
      <c r="V193" s="150">
        <v>419.85</v>
      </c>
      <c r="W193" s="151">
        <f>V193*12</f>
        <v>5038.2000000000007</v>
      </c>
    </row>
    <row r="194" spans="1:23" ht="15" customHeight="1" x14ac:dyDescent="0.25">
      <c r="A194" s="148">
        <v>16251</v>
      </c>
      <c r="B194" s="148" t="s">
        <v>2202</v>
      </c>
      <c r="C194" s="143" t="s">
        <v>2504</v>
      </c>
      <c r="D194" s="143" t="s">
        <v>2504</v>
      </c>
      <c r="E194" s="143" t="s">
        <v>2504</v>
      </c>
      <c r="F194" s="143" t="s">
        <v>2504</v>
      </c>
      <c r="G194" s="143" t="s">
        <v>2504</v>
      </c>
      <c r="H194" s="143" t="s">
        <v>2504</v>
      </c>
      <c r="I194" s="143" t="str">
        <f t="shared" si="32"/>
        <v>NO EXISTE</v>
      </c>
      <c r="J194" s="143" t="str">
        <f t="shared" si="33"/>
        <v>NO EXISTE</v>
      </c>
      <c r="K194" s="143" t="str">
        <f t="shared" si="34"/>
        <v>NO EXISTE</v>
      </c>
      <c r="L194" s="143" t="str">
        <f t="shared" si="35"/>
        <v>NO EXISTE</v>
      </c>
      <c r="M194" s="143" t="str">
        <f t="shared" si="36"/>
        <v>NO EXISTE</v>
      </c>
      <c r="N194" s="143" t="str">
        <f t="shared" si="37"/>
        <v>NO EXISTE</v>
      </c>
      <c r="O194" s="143" t="str">
        <f t="shared" si="38"/>
        <v>NO EXISTE</v>
      </c>
      <c r="P194" s="143" t="str">
        <f t="shared" si="39"/>
        <v>NO EXISTE</v>
      </c>
      <c r="Q194" s="148" t="s">
        <v>2203</v>
      </c>
      <c r="R194" s="148" t="s">
        <v>630</v>
      </c>
      <c r="S194" s="148" t="s">
        <v>631</v>
      </c>
      <c r="T194" s="149">
        <v>4</v>
      </c>
      <c r="U194" s="148" t="s">
        <v>591</v>
      </c>
      <c r="V194" s="150">
        <v>349.68</v>
      </c>
      <c r="W194" s="151">
        <v>1858.44</v>
      </c>
    </row>
    <row r="195" spans="1:23" ht="15" customHeight="1" x14ac:dyDescent="0.25">
      <c r="A195" s="148">
        <v>16255</v>
      </c>
      <c r="B195" s="148" t="s">
        <v>2205</v>
      </c>
      <c r="C195" s="143" t="s">
        <v>2504</v>
      </c>
      <c r="D195" s="143" t="s">
        <v>2504</v>
      </c>
      <c r="E195" s="143" t="s">
        <v>2504</v>
      </c>
      <c r="F195" s="143" t="s">
        <v>2504</v>
      </c>
      <c r="G195" s="143" t="s">
        <v>2504</v>
      </c>
      <c r="H195" s="143" t="s">
        <v>2504</v>
      </c>
      <c r="I195" s="143" t="str">
        <f t="shared" si="32"/>
        <v>NO EXISTE</v>
      </c>
      <c r="J195" s="143" t="str">
        <f t="shared" si="33"/>
        <v>NO EXISTE</v>
      </c>
      <c r="K195" s="143" t="str">
        <f t="shared" si="34"/>
        <v>NO EXISTE</v>
      </c>
      <c r="L195" s="143" t="str">
        <f t="shared" si="35"/>
        <v>NO EXISTE</v>
      </c>
      <c r="M195" s="143" t="str">
        <f t="shared" si="36"/>
        <v>NO EXISTE</v>
      </c>
      <c r="N195" s="143" t="str">
        <f t="shared" si="37"/>
        <v>NO EXISTE</v>
      </c>
      <c r="O195" s="143" t="str">
        <f t="shared" si="38"/>
        <v>NO EXISTE</v>
      </c>
      <c r="P195" s="143" t="str">
        <f t="shared" si="39"/>
        <v>NO EXISTE</v>
      </c>
      <c r="Q195" s="148" t="s">
        <v>2206</v>
      </c>
      <c r="R195" s="148" t="s">
        <v>600</v>
      </c>
      <c r="S195" s="148" t="s">
        <v>613</v>
      </c>
      <c r="T195" s="149">
        <v>3.7850000000000001</v>
      </c>
      <c r="U195" s="148" t="s">
        <v>591</v>
      </c>
      <c r="V195" s="150">
        <v>192.37</v>
      </c>
      <c r="W195" s="151">
        <v>19667.57</v>
      </c>
    </row>
    <row r="196" spans="1:23" ht="15" customHeight="1" x14ac:dyDescent="0.25">
      <c r="A196" s="148">
        <v>16307</v>
      </c>
      <c r="B196" s="148" t="s">
        <v>2212</v>
      </c>
      <c r="C196" s="143" t="s">
        <v>2504</v>
      </c>
      <c r="D196" s="143" t="s">
        <v>2504</v>
      </c>
      <c r="E196" s="143" t="s">
        <v>2504</v>
      </c>
      <c r="F196" s="143" t="s">
        <v>2504</v>
      </c>
      <c r="G196" s="143" t="s">
        <v>2504</v>
      </c>
      <c r="H196" s="143" t="s">
        <v>2504</v>
      </c>
      <c r="I196" s="143" t="str">
        <f t="shared" si="32"/>
        <v>NO EXISTE</v>
      </c>
      <c r="J196" s="143" t="str">
        <f t="shared" si="33"/>
        <v>NO EXISTE</v>
      </c>
      <c r="K196" s="143" t="str">
        <f t="shared" si="34"/>
        <v>NO EXISTE</v>
      </c>
      <c r="L196" s="143" t="str">
        <f t="shared" si="35"/>
        <v>NO EXISTE</v>
      </c>
      <c r="M196" s="143" t="str">
        <f t="shared" si="36"/>
        <v>NO EXISTE</v>
      </c>
      <c r="N196" s="143" t="str">
        <f t="shared" si="37"/>
        <v>NO EXISTE</v>
      </c>
      <c r="O196" s="143" t="str">
        <f t="shared" si="38"/>
        <v>NO EXISTE</v>
      </c>
      <c r="P196" s="143" t="str">
        <f t="shared" si="39"/>
        <v>NO EXISTE</v>
      </c>
      <c r="Q196" s="148" t="s">
        <v>2213</v>
      </c>
      <c r="R196" s="148" t="s">
        <v>594</v>
      </c>
      <c r="S196" s="148" t="s">
        <v>2214</v>
      </c>
      <c r="T196" s="149">
        <v>5</v>
      </c>
      <c r="U196" s="148" t="s">
        <v>591</v>
      </c>
      <c r="V196" s="150">
        <v>729.2</v>
      </c>
      <c r="W196" s="151">
        <v>2029.72</v>
      </c>
    </row>
    <row r="197" spans="1:23" ht="15" customHeight="1" x14ac:dyDescent="0.25">
      <c r="A197" s="148">
        <v>16308</v>
      </c>
      <c r="B197" s="148" t="s">
        <v>2215</v>
      </c>
      <c r="C197" s="143" t="s">
        <v>2504</v>
      </c>
      <c r="D197" s="143" t="s">
        <v>2504</v>
      </c>
      <c r="E197" s="143" t="s">
        <v>2504</v>
      </c>
      <c r="F197" s="143" t="s">
        <v>2504</v>
      </c>
      <c r="G197" s="143" t="s">
        <v>2504</v>
      </c>
      <c r="H197" s="143" t="s">
        <v>2504</v>
      </c>
      <c r="I197" s="143" t="str">
        <f t="shared" si="32"/>
        <v>NO EXISTE</v>
      </c>
      <c r="J197" s="143" t="str">
        <f t="shared" si="33"/>
        <v>NO EXISTE</v>
      </c>
      <c r="K197" s="143" t="str">
        <f t="shared" si="34"/>
        <v>NO EXISTE</v>
      </c>
      <c r="L197" s="143" t="str">
        <f t="shared" si="35"/>
        <v>NO EXISTE</v>
      </c>
      <c r="M197" s="143" t="str">
        <f t="shared" si="36"/>
        <v>NO EXISTE</v>
      </c>
      <c r="N197" s="143" t="str">
        <f t="shared" si="37"/>
        <v>NO EXISTE</v>
      </c>
      <c r="O197" s="143" t="str">
        <f t="shared" si="38"/>
        <v>NO EXISTE</v>
      </c>
      <c r="P197" s="143" t="str">
        <f t="shared" si="39"/>
        <v>NO EXISTE</v>
      </c>
      <c r="Q197" s="148" t="s">
        <v>2216</v>
      </c>
      <c r="R197" s="148" t="s">
        <v>594</v>
      </c>
      <c r="S197" s="148" t="s">
        <v>2214</v>
      </c>
      <c r="T197" s="149">
        <v>5</v>
      </c>
      <c r="U197" s="148" t="s">
        <v>591</v>
      </c>
      <c r="V197" s="150">
        <v>664.65</v>
      </c>
      <c r="W197" s="151">
        <v>21475.32</v>
      </c>
    </row>
    <row r="198" spans="1:23" ht="15" customHeight="1" x14ac:dyDescent="0.25">
      <c r="A198" s="148">
        <v>16320</v>
      </c>
      <c r="B198" s="148" t="s">
        <v>2230</v>
      </c>
      <c r="C198" s="143" t="s">
        <v>2504</v>
      </c>
      <c r="D198" s="143" t="s">
        <v>2504</v>
      </c>
      <c r="E198" s="143" t="s">
        <v>2504</v>
      </c>
      <c r="F198" s="143" t="s">
        <v>2504</v>
      </c>
      <c r="G198" s="143" t="s">
        <v>2504</v>
      </c>
      <c r="H198" s="143" t="s">
        <v>2504</v>
      </c>
      <c r="I198" s="143" t="str">
        <f t="shared" si="32"/>
        <v>NO EXISTE</v>
      </c>
      <c r="J198" s="143" t="str">
        <f t="shared" si="33"/>
        <v>NO EXISTE</v>
      </c>
      <c r="K198" s="143" t="str">
        <f t="shared" si="34"/>
        <v>NO EXISTE</v>
      </c>
      <c r="L198" s="143" t="str">
        <f t="shared" si="35"/>
        <v>NO EXISTE</v>
      </c>
      <c r="M198" s="143" t="str">
        <f t="shared" si="36"/>
        <v>NO EXISTE</v>
      </c>
      <c r="N198" s="143" t="str">
        <f t="shared" si="37"/>
        <v>NO EXISTE</v>
      </c>
      <c r="O198" s="143" t="str">
        <f t="shared" si="38"/>
        <v>NO EXISTE</v>
      </c>
      <c r="P198" s="143" t="str">
        <f t="shared" si="39"/>
        <v>NO EXISTE</v>
      </c>
      <c r="Q198" s="148" t="s">
        <v>2231</v>
      </c>
      <c r="R198" s="148" t="s">
        <v>594</v>
      </c>
      <c r="S198" s="148" t="s">
        <v>2232</v>
      </c>
      <c r="T198" s="149">
        <v>5</v>
      </c>
      <c r="U198" s="148" t="s">
        <v>591</v>
      </c>
      <c r="V198" s="150">
        <v>925.84</v>
      </c>
      <c r="W198" s="151">
        <v>18060.41</v>
      </c>
    </row>
    <row r="199" spans="1:23" ht="15" customHeight="1" x14ac:dyDescent="0.25">
      <c r="A199" s="148">
        <v>16405</v>
      </c>
      <c r="B199" s="148" t="s">
        <v>2240</v>
      </c>
      <c r="C199" s="143" t="s">
        <v>2504</v>
      </c>
      <c r="D199" s="143" t="s">
        <v>2504</v>
      </c>
      <c r="E199" s="143" t="s">
        <v>2504</v>
      </c>
      <c r="F199" s="143" t="s">
        <v>2504</v>
      </c>
      <c r="G199" s="143" t="s">
        <v>2504</v>
      </c>
      <c r="H199" s="143" t="s">
        <v>2504</v>
      </c>
      <c r="I199" s="143" t="str">
        <f t="shared" si="32"/>
        <v>NO EXISTE</v>
      </c>
      <c r="J199" s="143" t="str">
        <f t="shared" si="33"/>
        <v>NO EXISTE</v>
      </c>
      <c r="K199" s="143" t="str">
        <f t="shared" si="34"/>
        <v>NO EXISTE</v>
      </c>
      <c r="L199" s="143" t="str">
        <f t="shared" si="35"/>
        <v>NO EXISTE</v>
      </c>
      <c r="M199" s="143" t="str">
        <f t="shared" si="36"/>
        <v>NO EXISTE</v>
      </c>
      <c r="N199" s="143" t="str">
        <f t="shared" si="37"/>
        <v>NO EXISTE</v>
      </c>
      <c r="O199" s="143" t="str">
        <f t="shared" si="38"/>
        <v>NO EXISTE</v>
      </c>
      <c r="P199" s="143" t="str">
        <f t="shared" si="39"/>
        <v>NO EXISTE</v>
      </c>
      <c r="Q199" s="148" t="s">
        <v>2241</v>
      </c>
      <c r="R199" s="148" t="s">
        <v>600</v>
      </c>
      <c r="S199" s="148" t="s">
        <v>613</v>
      </c>
      <c r="T199" s="149">
        <v>0.6</v>
      </c>
      <c r="U199" s="148" t="s">
        <v>591</v>
      </c>
      <c r="V199" s="150">
        <v>55.33</v>
      </c>
      <c r="W199" s="151">
        <f>V199*4</f>
        <v>221.32</v>
      </c>
    </row>
    <row r="200" spans="1:23" ht="15" customHeight="1" x14ac:dyDescent="0.25">
      <c r="A200" s="148">
        <v>16413</v>
      </c>
      <c r="B200" s="148" t="s">
        <v>2249</v>
      </c>
      <c r="C200" s="143" t="s">
        <v>2504</v>
      </c>
      <c r="D200" s="143" t="s">
        <v>2504</v>
      </c>
      <c r="E200" s="143" t="s">
        <v>2504</v>
      </c>
      <c r="F200" s="143" t="s">
        <v>2504</v>
      </c>
      <c r="G200" s="143" t="s">
        <v>2504</v>
      </c>
      <c r="H200" s="143" t="s">
        <v>2504</v>
      </c>
      <c r="I200" s="143" t="str">
        <f t="shared" si="32"/>
        <v>NO EXISTE</v>
      </c>
      <c r="J200" s="143" t="str">
        <f t="shared" si="33"/>
        <v>NO EXISTE</v>
      </c>
      <c r="K200" s="143" t="str">
        <f t="shared" si="34"/>
        <v>NO EXISTE</v>
      </c>
      <c r="L200" s="143" t="str">
        <f t="shared" si="35"/>
        <v>NO EXISTE</v>
      </c>
      <c r="M200" s="143" t="str">
        <f t="shared" si="36"/>
        <v>NO EXISTE</v>
      </c>
      <c r="N200" s="143" t="str">
        <f t="shared" si="37"/>
        <v>NO EXISTE</v>
      </c>
      <c r="O200" s="143" t="str">
        <f t="shared" si="38"/>
        <v>NO EXISTE</v>
      </c>
      <c r="P200" s="143" t="str">
        <f t="shared" si="39"/>
        <v>NO EXISTE</v>
      </c>
      <c r="Q200" s="148" t="s">
        <v>2250</v>
      </c>
      <c r="R200" s="148" t="s">
        <v>594</v>
      </c>
      <c r="S200" s="148" t="s">
        <v>2232</v>
      </c>
      <c r="T200" s="149">
        <v>3.8</v>
      </c>
      <c r="U200" s="148" t="s">
        <v>591</v>
      </c>
      <c r="V200" s="150">
        <v>608.64</v>
      </c>
      <c r="W200" s="151">
        <f>V200*1000</f>
        <v>608640</v>
      </c>
    </row>
    <row r="201" spans="1:23" ht="15" customHeight="1" x14ac:dyDescent="0.25">
      <c r="A201" s="148">
        <v>16414</v>
      </c>
      <c r="B201" s="148" t="s">
        <v>2251</v>
      </c>
      <c r="C201" s="143" t="s">
        <v>2504</v>
      </c>
      <c r="D201" s="143" t="s">
        <v>2504</v>
      </c>
      <c r="E201" s="143" t="s">
        <v>2504</v>
      </c>
      <c r="F201" s="143" t="s">
        <v>2504</v>
      </c>
      <c r="G201" s="143" t="s">
        <v>2504</v>
      </c>
      <c r="H201" s="143" t="s">
        <v>2504</v>
      </c>
      <c r="I201" s="143" t="str">
        <f t="shared" si="32"/>
        <v>NO EXISTE</v>
      </c>
      <c r="J201" s="143" t="str">
        <f t="shared" si="33"/>
        <v>NO EXISTE</v>
      </c>
      <c r="K201" s="143" t="str">
        <f t="shared" si="34"/>
        <v>NO EXISTE</v>
      </c>
      <c r="L201" s="143" t="str">
        <f t="shared" si="35"/>
        <v>NO EXISTE</v>
      </c>
      <c r="M201" s="143" t="str">
        <f t="shared" si="36"/>
        <v>NO EXISTE</v>
      </c>
      <c r="N201" s="143" t="str">
        <f t="shared" si="37"/>
        <v>NO EXISTE</v>
      </c>
      <c r="O201" s="143" t="str">
        <f t="shared" si="38"/>
        <v>NO EXISTE</v>
      </c>
      <c r="P201" s="143" t="str">
        <f t="shared" si="39"/>
        <v>NO EXISTE</v>
      </c>
      <c r="Q201" s="148" t="s">
        <v>2252</v>
      </c>
      <c r="R201" s="148" t="s">
        <v>594</v>
      </c>
      <c r="S201" s="148" t="s">
        <v>2214</v>
      </c>
      <c r="T201" s="149">
        <v>3.8</v>
      </c>
      <c r="U201" s="148" t="s">
        <v>591</v>
      </c>
      <c r="V201" s="150">
        <v>435.09</v>
      </c>
      <c r="W201" s="151">
        <f>V201*1000</f>
        <v>435090</v>
      </c>
    </row>
    <row r="202" spans="1:23" ht="15" customHeight="1" x14ac:dyDescent="0.25">
      <c r="A202" s="148">
        <v>16415</v>
      </c>
      <c r="B202" s="148" t="s">
        <v>2253</v>
      </c>
      <c r="C202" s="143" t="s">
        <v>2504</v>
      </c>
      <c r="D202" s="143" t="s">
        <v>2504</v>
      </c>
      <c r="E202" s="143" t="s">
        <v>2504</v>
      </c>
      <c r="F202" s="143" t="s">
        <v>2504</v>
      </c>
      <c r="G202" s="143" t="s">
        <v>2504</v>
      </c>
      <c r="H202" s="143" t="s">
        <v>2504</v>
      </c>
      <c r="I202" s="143" t="str">
        <f t="shared" si="32"/>
        <v>NO EXISTE</v>
      </c>
      <c r="J202" s="143" t="str">
        <f t="shared" si="33"/>
        <v>NO EXISTE</v>
      </c>
      <c r="K202" s="143" t="str">
        <f t="shared" si="34"/>
        <v>NO EXISTE</v>
      </c>
      <c r="L202" s="143" t="str">
        <f t="shared" si="35"/>
        <v>NO EXISTE</v>
      </c>
      <c r="M202" s="143" t="str">
        <f t="shared" si="36"/>
        <v>NO EXISTE</v>
      </c>
      <c r="N202" s="143" t="str">
        <f t="shared" si="37"/>
        <v>NO EXISTE</v>
      </c>
      <c r="O202" s="143" t="str">
        <f t="shared" si="38"/>
        <v>NO EXISTE</v>
      </c>
      <c r="P202" s="143" t="str">
        <f t="shared" si="39"/>
        <v>NO EXISTE</v>
      </c>
      <c r="Q202" s="148" t="s">
        <v>2254</v>
      </c>
      <c r="R202" s="148" t="s">
        <v>594</v>
      </c>
      <c r="S202" s="148" t="s">
        <v>2214</v>
      </c>
      <c r="T202" s="149">
        <v>3.8</v>
      </c>
      <c r="U202" s="148" t="s">
        <v>591</v>
      </c>
      <c r="V202" s="150">
        <v>437.91</v>
      </c>
      <c r="W202" s="151">
        <v>3647.21</v>
      </c>
    </row>
    <row r="203" spans="1:23" ht="15" customHeight="1" x14ac:dyDescent="0.25">
      <c r="A203" s="148">
        <v>16416</v>
      </c>
      <c r="B203" s="148" t="s">
        <v>2255</v>
      </c>
      <c r="C203" s="143" t="s">
        <v>2504</v>
      </c>
      <c r="D203" s="143" t="s">
        <v>2504</v>
      </c>
      <c r="E203" s="143" t="s">
        <v>2504</v>
      </c>
      <c r="F203" s="143" t="s">
        <v>2504</v>
      </c>
      <c r="G203" s="143" t="s">
        <v>2504</v>
      </c>
      <c r="H203" s="143" t="s">
        <v>2504</v>
      </c>
      <c r="I203" s="143" t="str">
        <f t="shared" si="32"/>
        <v>NO EXISTE</v>
      </c>
      <c r="J203" s="143" t="str">
        <f t="shared" si="33"/>
        <v>NO EXISTE</v>
      </c>
      <c r="K203" s="143" t="str">
        <f t="shared" si="34"/>
        <v>NO EXISTE</v>
      </c>
      <c r="L203" s="143" t="str">
        <f t="shared" si="35"/>
        <v>NO EXISTE</v>
      </c>
      <c r="M203" s="143" t="str">
        <f t="shared" si="36"/>
        <v>NO EXISTE</v>
      </c>
      <c r="N203" s="143" t="str">
        <f t="shared" si="37"/>
        <v>NO EXISTE</v>
      </c>
      <c r="O203" s="143" t="str">
        <f t="shared" si="38"/>
        <v>NO EXISTE</v>
      </c>
      <c r="P203" s="143" t="str">
        <f t="shared" si="39"/>
        <v>NO EXISTE</v>
      </c>
      <c r="Q203" s="148" t="s">
        <v>2256</v>
      </c>
      <c r="R203" s="148" t="s">
        <v>594</v>
      </c>
      <c r="S203" s="148" t="s">
        <v>2257</v>
      </c>
      <c r="T203" s="149">
        <v>3.8</v>
      </c>
      <c r="U203" s="148" t="s">
        <v>591</v>
      </c>
      <c r="V203" s="150">
        <v>636.70000000000005</v>
      </c>
      <c r="W203" s="151">
        <v>33254.53</v>
      </c>
    </row>
    <row r="204" spans="1:23" ht="15" customHeight="1" x14ac:dyDescent="0.25">
      <c r="A204" s="148">
        <v>16417</v>
      </c>
      <c r="B204" s="148" t="s">
        <v>2258</v>
      </c>
      <c r="C204" s="143" t="s">
        <v>2504</v>
      </c>
      <c r="D204" s="143" t="s">
        <v>2504</v>
      </c>
      <c r="E204" s="143" t="s">
        <v>2504</v>
      </c>
      <c r="F204" s="143" t="s">
        <v>2504</v>
      </c>
      <c r="G204" s="143" t="s">
        <v>2504</v>
      </c>
      <c r="H204" s="143" t="s">
        <v>2504</v>
      </c>
      <c r="I204" s="143" t="str">
        <f t="shared" si="32"/>
        <v>NO EXISTE</v>
      </c>
      <c r="J204" s="143" t="str">
        <f t="shared" si="33"/>
        <v>NO EXISTE</v>
      </c>
      <c r="K204" s="143" t="str">
        <f t="shared" si="34"/>
        <v>NO EXISTE</v>
      </c>
      <c r="L204" s="143" t="str">
        <f t="shared" si="35"/>
        <v>NO EXISTE</v>
      </c>
      <c r="M204" s="143" t="str">
        <f t="shared" si="36"/>
        <v>NO EXISTE</v>
      </c>
      <c r="N204" s="143" t="str">
        <f t="shared" si="37"/>
        <v>NO EXISTE</v>
      </c>
      <c r="O204" s="143" t="str">
        <f t="shared" si="38"/>
        <v>NO EXISTE</v>
      </c>
      <c r="P204" s="143" t="str">
        <f t="shared" si="39"/>
        <v>NO EXISTE</v>
      </c>
      <c r="Q204" s="148" t="s">
        <v>2259</v>
      </c>
      <c r="R204" s="148" t="s">
        <v>594</v>
      </c>
      <c r="S204" s="148" t="s">
        <v>2257</v>
      </c>
      <c r="T204" s="149">
        <v>3.8</v>
      </c>
      <c r="U204" s="148" t="s">
        <v>591</v>
      </c>
      <c r="V204" s="150">
        <v>636.79999999999995</v>
      </c>
      <c r="W204" s="151">
        <v>38476.31</v>
      </c>
    </row>
    <row r="205" spans="1:23" ht="15" customHeight="1" x14ac:dyDescent="0.25">
      <c r="A205" s="148">
        <v>16418</v>
      </c>
      <c r="B205" s="148" t="s">
        <v>2260</v>
      </c>
      <c r="C205" s="143" t="s">
        <v>2504</v>
      </c>
      <c r="D205" s="143" t="s">
        <v>2504</v>
      </c>
      <c r="E205" s="143" t="s">
        <v>2504</v>
      </c>
      <c r="F205" s="143" t="s">
        <v>2504</v>
      </c>
      <c r="G205" s="143" t="s">
        <v>2504</v>
      </c>
      <c r="H205" s="143" t="s">
        <v>2504</v>
      </c>
      <c r="I205" s="143" t="str">
        <f t="shared" si="32"/>
        <v>NO EXISTE</v>
      </c>
      <c r="J205" s="143" t="str">
        <f t="shared" si="33"/>
        <v>NO EXISTE</v>
      </c>
      <c r="K205" s="143" t="str">
        <f t="shared" si="34"/>
        <v>NO EXISTE</v>
      </c>
      <c r="L205" s="143" t="str">
        <f t="shared" si="35"/>
        <v>NO EXISTE</v>
      </c>
      <c r="M205" s="143" t="str">
        <f t="shared" si="36"/>
        <v>NO EXISTE</v>
      </c>
      <c r="N205" s="143" t="str">
        <f t="shared" si="37"/>
        <v>NO EXISTE</v>
      </c>
      <c r="O205" s="143" t="str">
        <f t="shared" si="38"/>
        <v>NO EXISTE</v>
      </c>
      <c r="P205" s="143" t="str">
        <f t="shared" si="39"/>
        <v>NO EXISTE</v>
      </c>
      <c r="Q205" s="148" t="s">
        <v>2261</v>
      </c>
      <c r="R205" s="148" t="s">
        <v>594</v>
      </c>
      <c r="S205" s="148" t="s">
        <v>2232</v>
      </c>
      <c r="T205" s="149">
        <v>3.8</v>
      </c>
      <c r="U205" s="148" t="s">
        <v>591</v>
      </c>
      <c r="V205" s="150">
        <v>615.05999999999995</v>
      </c>
      <c r="W205" s="151">
        <v>11251.27</v>
      </c>
    </row>
    <row r="206" spans="1:23" ht="15" customHeight="1" x14ac:dyDescent="0.25">
      <c r="A206" s="148">
        <v>16419</v>
      </c>
      <c r="B206" s="148" t="s">
        <v>2262</v>
      </c>
      <c r="C206" s="143" t="s">
        <v>2504</v>
      </c>
      <c r="D206" s="143" t="s">
        <v>2504</v>
      </c>
      <c r="E206" s="143" t="s">
        <v>2504</v>
      </c>
      <c r="F206" s="143" t="s">
        <v>2504</v>
      </c>
      <c r="G206" s="143" t="s">
        <v>2504</v>
      </c>
      <c r="H206" s="143" t="s">
        <v>2504</v>
      </c>
      <c r="I206" s="143" t="str">
        <f t="shared" si="32"/>
        <v>NO EXISTE</v>
      </c>
      <c r="J206" s="143" t="str">
        <f t="shared" si="33"/>
        <v>NO EXISTE</v>
      </c>
      <c r="K206" s="143" t="str">
        <f t="shared" si="34"/>
        <v>NO EXISTE</v>
      </c>
      <c r="L206" s="143" t="str">
        <f t="shared" si="35"/>
        <v>NO EXISTE</v>
      </c>
      <c r="M206" s="143" t="str">
        <f t="shared" si="36"/>
        <v>NO EXISTE</v>
      </c>
      <c r="N206" s="143" t="str">
        <f t="shared" si="37"/>
        <v>NO EXISTE</v>
      </c>
      <c r="O206" s="143" t="str">
        <f t="shared" si="38"/>
        <v>NO EXISTE</v>
      </c>
      <c r="P206" s="143" t="str">
        <f t="shared" si="39"/>
        <v>NO EXISTE</v>
      </c>
      <c r="Q206" s="148" t="s">
        <v>2263</v>
      </c>
      <c r="R206" s="148" t="s">
        <v>594</v>
      </c>
      <c r="S206" s="148" t="s">
        <v>2214</v>
      </c>
      <c r="T206" s="149">
        <v>3.8</v>
      </c>
      <c r="U206" s="148" t="s">
        <v>591</v>
      </c>
      <c r="V206" s="150">
        <v>535.6</v>
      </c>
      <c r="W206" s="151">
        <v>10551.6</v>
      </c>
    </row>
    <row r="207" spans="1:23" ht="15" customHeight="1" x14ac:dyDescent="0.25">
      <c r="A207" s="148">
        <v>16420</v>
      </c>
      <c r="B207" s="148" t="s">
        <v>2264</v>
      </c>
      <c r="C207" s="143" t="s">
        <v>2504</v>
      </c>
      <c r="D207" s="143" t="s">
        <v>2504</v>
      </c>
      <c r="E207" s="143" t="s">
        <v>2504</v>
      </c>
      <c r="F207" s="143" t="s">
        <v>2504</v>
      </c>
      <c r="G207" s="143" t="s">
        <v>2504</v>
      </c>
      <c r="H207" s="143" t="s">
        <v>2504</v>
      </c>
      <c r="I207" s="143" t="str">
        <f t="shared" si="32"/>
        <v>NO EXISTE</v>
      </c>
      <c r="J207" s="143" t="str">
        <f t="shared" si="33"/>
        <v>NO EXISTE</v>
      </c>
      <c r="K207" s="143" t="str">
        <f t="shared" si="34"/>
        <v>NO EXISTE</v>
      </c>
      <c r="L207" s="143" t="str">
        <f t="shared" si="35"/>
        <v>NO EXISTE</v>
      </c>
      <c r="M207" s="143" t="str">
        <f t="shared" si="36"/>
        <v>NO EXISTE</v>
      </c>
      <c r="N207" s="143" t="str">
        <f t="shared" si="37"/>
        <v>NO EXISTE</v>
      </c>
      <c r="O207" s="143" t="str">
        <f t="shared" si="38"/>
        <v>NO EXISTE</v>
      </c>
      <c r="P207" s="143" t="str">
        <f t="shared" si="39"/>
        <v>NO EXISTE</v>
      </c>
      <c r="Q207" s="148" t="s">
        <v>2265</v>
      </c>
      <c r="R207" s="148" t="s">
        <v>2266</v>
      </c>
      <c r="S207" s="148" t="s">
        <v>2214</v>
      </c>
      <c r="T207" s="149">
        <v>3.8</v>
      </c>
      <c r="U207" s="148" t="s">
        <v>591</v>
      </c>
      <c r="V207" s="150">
        <v>539.64</v>
      </c>
      <c r="W207" s="151">
        <f>V207*1000</f>
        <v>539640</v>
      </c>
    </row>
    <row r="208" spans="1:23" ht="15" customHeight="1" x14ac:dyDescent="0.25">
      <c r="A208" s="148">
        <v>16421</v>
      </c>
      <c r="B208" s="148" t="s">
        <v>2267</v>
      </c>
      <c r="C208" s="143" t="s">
        <v>2504</v>
      </c>
      <c r="D208" s="143" t="s">
        <v>2504</v>
      </c>
      <c r="E208" s="143" t="s">
        <v>2504</v>
      </c>
      <c r="F208" s="143" t="s">
        <v>2504</v>
      </c>
      <c r="G208" s="143" t="s">
        <v>2504</v>
      </c>
      <c r="H208" s="143" t="s">
        <v>2504</v>
      </c>
      <c r="I208" s="143" t="str">
        <f t="shared" si="32"/>
        <v>NO EXISTE</v>
      </c>
      <c r="J208" s="143" t="str">
        <f t="shared" si="33"/>
        <v>NO EXISTE</v>
      </c>
      <c r="K208" s="143" t="str">
        <f t="shared" si="34"/>
        <v>NO EXISTE</v>
      </c>
      <c r="L208" s="143" t="str">
        <f t="shared" si="35"/>
        <v>NO EXISTE</v>
      </c>
      <c r="M208" s="143" t="str">
        <f t="shared" si="36"/>
        <v>NO EXISTE</v>
      </c>
      <c r="N208" s="143" t="str">
        <f t="shared" si="37"/>
        <v>NO EXISTE</v>
      </c>
      <c r="O208" s="143" t="str">
        <f t="shared" si="38"/>
        <v>NO EXISTE</v>
      </c>
      <c r="P208" s="143" t="str">
        <f t="shared" si="39"/>
        <v>NO EXISTE</v>
      </c>
      <c r="Q208" s="148" t="s">
        <v>2268</v>
      </c>
      <c r="R208" s="148" t="s">
        <v>594</v>
      </c>
      <c r="S208" s="148" t="s">
        <v>2257</v>
      </c>
      <c r="T208" s="149">
        <v>3.8</v>
      </c>
      <c r="U208" s="148" t="s">
        <v>591</v>
      </c>
      <c r="V208" s="150">
        <v>789.16</v>
      </c>
      <c r="W208" s="151">
        <f>V208*4</f>
        <v>3156.64</v>
      </c>
    </row>
    <row r="209" spans="1:23" ht="15" customHeight="1" x14ac:dyDescent="0.25">
      <c r="A209" s="148">
        <v>16502</v>
      </c>
      <c r="B209" s="148" t="s">
        <v>2270</v>
      </c>
      <c r="C209" s="143" t="s">
        <v>2504</v>
      </c>
      <c r="D209" s="143" t="s">
        <v>2504</v>
      </c>
      <c r="E209" s="143" t="s">
        <v>2504</v>
      </c>
      <c r="F209" s="143" t="s">
        <v>2504</v>
      </c>
      <c r="G209" s="143" t="s">
        <v>2504</v>
      </c>
      <c r="H209" s="143" t="s">
        <v>2504</v>
      </c>
      <c r="I209" s="143" t="str">
        <f t="shared" si="32"/>
        <v>NO EXISTE</v>
      </c>
      <c r="J209" s="143" t="str">
        <f t="shared" si="33"/>
        <v>NO EXISTE</v>
      </c>
      <c r="K209" s="143" t="str">
        <f t="shared" si="34"/>
        <v>NO EXISTE</v>
      </c>
      <c r="L209" s="143" t="str">
        <f t="shared" si="35"/>
        <v>NO EXISTE</v>
      </c>
      <c r="M209" s="143" t="str">
        <f t="shared" si="36"/>
        <v>NO EXISTE</v>
      </c>
      <c r="N209" s="143" t="str">
        <f t="shared" si="37"/>
        <v>NO EXISTE</v>
      </c>
      <c r="O209" s="143" t="str">
        <f t="shared" si="38"/>
        <v>NO EXISTE</v>
      </c>
      <c r="P209" s="143" t="str">
        <f t="shared" si="39"/>
        <v>NO EXISTE</v>
      </c>
      <c r="Q209" s="148" t="s">
        <v>2271</v>
      </c>
      <c r="R209" s="148" t="s">
        <v>600</v>
      </c>
      <c r="S209" s="148" t="s">
        <v>613</v>
      </c>
      <c r="T209" s="149">
        <v>0.95</v>
      </c>
      <c r="U209" s="148" t="s">
        <v>591</v>
      </c>
      <c r="V209" s="150">
        <v>61.4</v>
      </c>
      <c r="W209" s="151">
        <f>V209*16</f>
        <v>982.4</v>
      </c>
    </row>
    <row r="210" spans="1:23" ht="15" customHeight="1" x14ac:dyDescent="0.25">
      <c r="A210" s="148">
        <v>16718</v>
      </c>
      <c r="B210" s="148" t="s">
        <v>2316</v>
      </c>
      <c r="C210" s="143" t="s">
        <v>2504</v>
      </c>
      <c r="D210" s="143" t="s">
        <v>2504</v>
      </c>
      <c r="E210" s="143" t="s">
        <v>2504</v>
      </c>
      <c r="F210" s="143" t="s">
        <v>2504</v>
      </c>
      <c r="G210" s="143" t="s">
        <v>2504</v>
      </c>
      <c r="H210" s="143" t="s">
        <v>2504</v>
      </c>
      <c r="I210" s="143" t="str">
        <f t="shared" si="32"/>
        <v>NO EXISTE</v>
      </c>
      <c r="J210" s="143" t="str">
        <f t="shared" si="33"/>
        <v>NO EXISTE</v>
      </c>
      <c r="K210" s="143" t="str">
        <f t="shared" si="34"/>
        <v>NO EXISTE</v>
      </c>
      <c r="L210" s="143" t="str">
        <f t="shared" si="35"/>
        <v>NO EXISTE</v>
      </c>
      <c r="M210" s="143" t="str">
        <f t="shared" si="36"/>
        <v>NO EXISTE</v>
      </c>
      <c r="N210" s="143" t="str">
        <f t="shared" si="37"/>
        <v>NO EXISTE</v>
      </c>
      <c r="O210" s="143" t="str">
        <f t="shared" si="38"/>
        <v>NO EXISTE</v>
      </c>
      <c r="P210" s="143" t="str">
        <f t="shared" si="39"/>
        <v>NO EXISTE</v>
      </c>
      <c r="Q210" s="148" t="s">
        <v>2317</v>
      </c>
      <c r="R210" s="148" t="s">
        <v>600</v>
      </c>
      <c r="S210" s="148" t="s">
        <v>613</v>
      </c>
      <c r="T210" s="149">
        <v>200</v>
      </c>
      <c r="U210" s="148" t="s">
        <v>591</v>
      </c>
      <c r="V210" s="150">
        <v>12591.62</v>
      </c>
      <c r="W210" s="151">
        <f>V210*4</f>
        <v>50366.48</v>
      </c>
    </row>
    <row r="211" spans="1:23" ht="15" customHeight="1" x14ac:dyDescent="0.25">
      <c r="A211" s="148">
        <v>16729</v>
      </c>
      <c r="B211" s="148" t="s">
        <v>2322</v>
      </c>
      <c r="C211" s="143" t="s">
        <v>2504</v>
      </c>
      <c r="D211" s="143" t="s">
        <v>2504</v>
      </c>
      <c r="E211" s="143" t="s">
        <v>2504</v>
      </c>
      <c r="F211" s="143" t="s">
        <v>2504</v>
      </c>
      <c r="G211" s="143" t="s">
        <v>2504</v>
      </c>
      <c r="H211" s="143" t="s">
        <v>2504</v>
      </c>
      <c r="I211" s="143" t="str">
        <f t="shared" si="32"/>
        <v>NO EXISTE</v>
      </c>
      <c r="J211" s="143" t="str">
        <f t="shared" si="33"/>
        <v>NO EXISTE</v>
      </c>
      <c r="K211" s="143" t="str">
        <f t="shared" si="34"/>
        <v>NO EXISTE</v>
      </c>
      <c r="L211" s="143" t="str">
        <f t="shared" si="35"/>
        <v>NO EXISTE</v>
      </c>
      <c r="M211" s="143" t="str">
        <f t="shared" si="36"/>
        <v>NO EXISTE</v>
      </c>
      <c r="N211" s="143" t="str">
        <f t="shared" si="37"/>
        <v>NO EXISTE</v>
      </c>
      <c r="O211" s="143" t="str">
        <f t="shared" si="38"/>
        <v>NO EXISTE</v>
      </c>
      <c r="P211" s="143" t="str">
        <f t="shared" si="39"/>
        <v>NO EXISTE</v>
      </c>
      <c r="Q211" s="148" t="s">
        <v>2323</v>
      </c>
      <c r="R211" s="148" t="s">
        <v>594</v>
      </c>
      <c r="S211" s="148" t="s">
        <v>595</v>
      </c>
      <c r="T211" s="149">
        <v>200</v>
      </c>
      <c r="U211" s="148" t="s">
        <v>591</v>
      </c>
      <c r="V211" s="150">
        <v>22094.87</v>
      </c>
      <c r="W211" s="151">
        <v>2214.59</v>
      </c>
    </row>
    <row r="212" spans="1:23" ht="15" customHeight="1" x14ac:dyDescent="0.25">
      <c r="A212" s="148">
        <v>16737</v>
      </c>
      <c r="B212" s="148" t="s">
        <v>2331</v>
      </c>
      <c r="C212" s="143" t="s">
        <v>2504</v>
      </c>
      <c r="D212" s="143" t="s">
        <v>2504</v>
      </c>
      <c r="E212" s="143" t="s">
        <v>2504</v>
      </c>
      <c r="F212" s="143" t="s">
        <v>2504</v>
      </c>
      <c r="G212" s="143" t="s">
        <v>2504</v>
      </c>
      <c r="H212" s="143" t="s">
        <v>2504</v>
      </c>
      <c r="I212" s="143" t="str">
        <f t="shared" si="32"/>
        <v>NO EXISTE</v>
      </c>
      <c r="J212" s="143" t="str">
        <f t="shared" si="33"/>
        <v>NO EXISTE</v>
      </c>
      <c r="K212" s="143" t="str">
        <f t="shared" si="34"/>
        <v>NO EXISTE</v>
      </c>
      <c r="L212" s="143" t="str">
        <f t="shared" si="35"/>
        <v>NO EXISTE</v>
      </c>
      <c r="M212" s="143" t="str">
        <f t="shared" si="36"/>
        <v>NO EXISTE</v>
      </c>
      <c r="N212" s="143" t="str">
        <f t="shared" si="37"/>
        <v>NO EXISTE</v>
      </c>
      <c r="O212" s="143" t="str">
        <f t="shared" si="38"/>
        <v>NO EXISTE</v>
      </c>
      <c r="P212" s="143" t="str">
        <f t="shared" si="39"/>
        <v>NO EXISTE</v>
      </c>
      <c r="Q212" s="148" t="s">
        <v>2332</v>
      </c>
      <c r="R212" s="148" t="s">
        <v>594</v>
      </c>
      <c r="S212" s="148" t="s">
        <v>2257</v>
      </c>
      <c r="T212" s="149">
        <v>200</v>
      </c>
      <c r="U212" s="148" t="s">
        <v>591</v>
      </c>
      <c r="V212" s="150">
        <v>43177.05</v>
      </c>
      <c r="W212" s="151">
        <f>V212*24</f>
        <v>1036249.2000000001</v>
      </c>
    </row>
    <row r="213" spans="1:23" ht="15" customHeight="1" x14ac:dyDescent="0.25">
      <c r="A213" s="148">
        <v>16750</v>
      </c>
      <c r="B213" s="148" t="s">
        <v>2342</v>
      </c>
      <c r="C213" s="143" t="s">
        <v>2504</v>
      </c>
      <c r="D213" s="143" t="s">
        <v>2504</v>
      </c>
      <c r="E213" s="143" t="s">
        <v>2504</v>
      </c>
      <c r="F213" s="143" t="s">
        <v>2504</v>
      </c>
      <c r="G213" s="143" t="s">
        <v>2504</v>
      </c>
      <c r="H213" s="143" t="s">
        <v>2504</v>
      </c>
      <c r="I213" s="143" t="str">
        <f t="shared" si="32"/>
        <v>NO EXISTE</v>
      </c>
      <c r="J213" s="143" t="str">
        <f t="shared" si="33"/>
        <v>NO EXISTE</v>
      </c>
      <c r="K213" s="143" t="str">
        <f t="shared" si="34"/>
        <v>NO EXISTE</v>
      </c>
      <c r="L213" s="143" t="str">
        <f t="shared" si="35"/>
        <v>NO EXISTE</v>
      </c>
      <c r="M213" s="143" t="str">
        <f t="shared" si="36"/>
        <v>NO EXISTE</v>
      </c>
      <c r="N213" s="143" t="str">
        <f t="shared" si="37"/>
        <v>NO EXISTE</v>
      </c>
      <c r="O213" s="143" t="str">
        <f t="shared" si="38"/>
        <v>NO EXISTE</v>
      </c>
      <c r="P213" s="143" t="str">
        <f t="shared" si="39"/>
        <v>NO EXISTE</v>
      </c>
      <c r="Q213" s="148" t="s">
        <v>2343</v>
      </c>
      <c r="R213" s="148" t="s">
        <v>630</v>
      </c>
      <c r="S213" s="148" t="s">
        <v>2341</v>
      </c>
      <c r="T213" s="149">
        <v>200</v>
      </c>
      <c r="U213" s="148" t="s">
        <v>591</v>
      </c>
      <c r="V213" s="150">
        <v>28949.96</v>
      </c>
      <c r="W213" s="151">
        <f>V213*24</f>
        <v>694799.04</v>
      </c>
    </row>
    <row r="214" spans="1:23" ht="15" customHeight="1" x14ac:dyDescent="0.25">
      <c r="A214" s="148">
        <v>16804</v>
      </c>
      <c r="B214" s="148" t="s">
        <v>2348</v>
      </c>
      <c r="C214" s="143" t="s">
        <v>2504</v>
      </c>
      <c r="D214" s="143" t="s">
        <v>2504</v>
      </c>
      <c r="E214" s="143" t="s">
        <v>2504</v>
      </c>
      <c r="F214" s="143" t="s">
        <v>2504</v>
      </c>
      <c r="G214" s="143" t="s">
        <v>2504</v>
      </c>
      <c r="H214" s="143" t="s">
        <v>2504</v>
      </c>
      <c r="I214" s="143" t="str">
        <f t="shared" si="32"/>
        <v>NO EXISTE</v>
      </c>
      <c r="J214" s="143" t="str">
        <f t="shared" si="33"/>
        <v>NO EXISTE</v>
      </c>
      <c r="K214" s="143" t="str">
        <f t="shared" si="34"/>
        <v>NO EXISTE</v>
      </c>
      <c r="L214" s="143" t="str">
        <f t="shared" si="35"/>
        <v>NO EXISTE</v>
      </c>
      <c r="M214" s="143" t="str">
        <f t="shared" si="36"/>
        <v>NO EXISTE</v>
      </c>
      <c r="N214" s="143" t="str">
        <f t="shared" si="37"/>
        <v>NO EXISTE</v>
      </c>
      <c r="O214" s="143" t="str">
        <f t="shared" si="38"/>
        <v>NO EXISTE</v>
      </c>
      <c r="P214" s="143" t="str">
        <f t="shared" si="39"/>
        <v>NO EXISTE</v>
      </c>
      <c r="Q214" s="148" t="s">
        <v>2349</v>
      </c>
      <c r="R214" s="148" t="s">
        <v>589</v>
      </c>
      <c r="S214" s="148" t="s">
        <v>2071</v>
      </c>
      <c r="T214" s="149">
        <v>1</v>
      </c>
      <c r="U214" s="148" t="s">
        <v>591</v>
      </c>
      <c r="V214" s="150">
        <v>100.25</v>
      </c>
      <c r="W214" s="151">
        <v>912.64</v>
      </c>
    </row>
    <row r="215" spans="1:23" ht="15" customHeight="1" x14ac:dyDescent="0.25">
      <c r="A215" s="148">
        <v>16818</v>
      </c>
      <c r="B215" s="148" t="s">
        <v>2350</v>
      </c>
      <c r="C215" s="143" t="s">
        <v>2504</v>
      </c>
      <c r="D215" s="143" t="s">
        <v>2504</v>
      </c>
      <c r="E215" s="143" t="s">
        <v>2504</v>
      </c>
      <c r="F215" s="143" t="s">
        <v>2504</v>
      </c>
      <c r="G215" s="143" t="s">
        <v>2504</v>
      </c>
      <c r="H215" s="143" t="s">
        <v>2504</v>
      </c>
      <c r="I215" s="143" t="str">
        <f t="shared" si="32"/>
        <v>NO EXISTE</v>
      </c>
      <c r="J215" s="143" t="str">
        <f t="shared" si="33"/>
        <v>NO EXISTE</v>
      </c>
      <c r="K215" s="143" t="str">
        <f t="shared" si="34"/>
        <v>NO EXISTE</v>
      </c>
      <c r="L215" s="143" t="str">
        <f t="shared" si="35"/>
        <v>NO EXISTE</v>
      </c>
      <c r="M215" s="143" t="str">
        <f t="shared" si="36"/>
        <v>NO EXISTE</v>
      </c>
      <c r="N215" s="143" t="str">
        <f t="shared" si="37"/>
        <v>NO EXISTE</v>
      </c>
      <c r="O215" s="143" t="str">
        <f t="shared" si="38"/>
        <v>NO EXISTE</v>
      </c>
      <c r="P215" s="143" t="str">
        <f t="shared" si="39"/>
        <v>NO EXISTE</v>
      </c>
      <c r="Q215" s="148" t="s">
        <v>2351</v>
      </c>
      <c r="R215" s="148" t="s">
        <v>600</v>
      </c>
      <c r="S215" s="148" t="s">
        <v>613</v>
      </c>
      <c r="T215" s="149">
        <v>1</v>
      </c>
      <c r="U215" s="148" t="s">
        <v>591</v>
      </c>
      <c r="V215" s="150">
        <v>62.84</v>
      </c>
      <c r="W215" s="151">
        <f>V215*1000</f>
        <v>62840</v>
      </c>
    </row>
    <row r="216" spans="1:23" ht="15" customHeight="1" x14ac:dyDescent="0.25">
      <c r="A216" s="148">
        <v>16823</v>
      </c>
      <c r="B216" s="148" t="s">
        <v>2352</v>
      </c>
      <c r="C216" s="143" t="s">
        <v>2504</v>
      </c>
      <c r="D216" s="143" t="s">
        <v>2504</v>
      </c>
      <c r="E216" s="143" t="s">
        <v>2504</v>
      </c>
      <c r="F216" s="143" t="s">
        <v>2504</v>
      </c>
      <c r="G216" s="143" t="s">
        <v>2504</v>
      </c>
      <c r="H216" s="143" t="s">
        <v>2504</v>
      </c>
      <c r="I216" s="143" t="str">
        <f t="shared" si="32"/>
        <v>NO EXISTE</v>
      </c>
      <c r="J216" s="143" t="str">
        <f t="shared" si="33"/>
        <v>NO EXISTE</v>
      </c>
      <c r="K216" s="143" t="str">
        <f t="shared" si="34"/>
        <v>NO EXISTE</v>
      </c>
      <c r="L216" s="143" t="str">
        <f t="shared" si="35"/>
        <v>NO EXISTE</v>
      </c>
      <c r="M216" s="143" t="str">
        <f t="shared" si="36"/>
        <v>NO EXISTE</v>
      </c>
      <c r="N216" s="143" t="str">
        <f t="shared" si="37"/>
        <v>NO EXISTE</v>
      </c>
      <c r="O216" s="143" t="str">
        <f t="shared" si="38"/>
        <v>NO EXISTE</v>
      </c>
      <c r="P216" s="143" t="str">
        <f t="shared" si="39"/>
        <v>NO EXISTE</v>
      </c>
      <c r="Q216" s="148" t="s">
        <v>2353</v>
      </c>
      <c r="R216" s="148" t="s">
        <v>594</v>
      </c>
      <c r="S216" s="148" t="s">
        <v>2214</v>
      </c>
      <c r="T216" s="149">
        <v>1</v>
      </c>
      <c r="U216" s="148" t="s">
        <v>591</v>
      </c>
      <c r="V216" s="150">
        <v>117.14</v>
      </c>
      <c r="W216" s="151">
        <v>14584.94</v>
      </c>
    </row>
    <row r="217" spans="1:23" ht="15" customHeight="1" x14ac:dyDescent="0.25">
      <c r="A217" s="148">
        <v>16824</v>
      </c>
      <c r="B217" s="148" t="s">
        <v>2354</v>
      </c>
      <c r="C217" s="143" t="s">
        <v>2504</v>
      </c>
      <c r="D217" s="143" t="s">
        <v>2504</v>
      </c>
      <c r="E217" s="143" t="s">
        <v>2504</v>
      </c>
      <c r="F217" s="143" t="s">
        <v>2504</v>
      </c>
      <c r="G217" s="143" t="s">
        <v>2504</v>
      </c>
      <c r="H217" s="143" t="s">
        <v>2504</v>
      </c>
      <c r="I217" s="143" t="str">
        <f t="shared" si="32"/>
        <v>NO EXISTE</v>
      </c>
      <c r="J217" s="143" t="str">
        <f t="shared" si="33"/>
        <v>NO EXISTE</v>
      </c>
      <c r="K217" s="143" t="str">
        <f t="shared" si="34"/>
        <v>NO EXISTE</v>
      </c>
      <c r="L217" s="143" t="str">
        <f t="shared" si="35"/>
        <v>NO EXISTE</v>
      </c>
      <c r="M217" s="143" t="str">
        <f t="shared" si="36"/>
        <v>NO EXISTE</v>
      </c>
      <c r="N217" s="143" t="str">
        <f t="shared" si="37"/>
        <v>NO EXISTE</v>
      </c>
      <c r="O217" s="143" t="str">
        <f t="shared" si="38"/>
        <v>NO EXISTE</v>
      </c>
      <c r="P217" s="143" t="str">
        <f t="shared" si="39"/>
        <v>NO EXISTE</v>
      </c>
      <c r="Q217" s="148" t="s">
        <v>2355</v>
      </c>
      <c r="R217" s="148" t="s">
        <v>594</v>
      </c>
      <c r="S217" s="148" t="s">
        <v>2214</v>
      </c>
      <c r="T217" s="149">
        <v>1</v>
      </c>
      <c r="U217" s="148" t="s">
        <v>591</v>
      </c>
      <c r="V217" s="150">
        <v>120.46</v>
      </c>
      <c r="W217" s="151">
        <v>1377.57</v>
      </c>
    </row>
    <row r="218" spans="1:23" ht="15" customHeight="1" x14ac:dyDescent="0.25">
      <c r="A218" s="148">
        <v>16825</v>
      </c>
      <c r="B218" s="148" t="s">
        <v>2356</v>
      </c>
      <c r="C218" s="143" t="s">
        <v>2504</v>
      </c>
      <c r="D218" s="143" t="s">
        <v>2504</v>
      </c>
      <c r="E218" s="143" t="s">
        <v>2504</v>
      </c>
      <c r="F218" s="143" t="s">
        <v>2504</v>
      </c>
      <c r="G218" s="143" t="s">
        <v>2504</v>
      </c>
      <c r="H218" s="143" t="s">
        <v>2504</v>
      </c>
      <c r="I218" s="143" t="str">
        <f t="shared" si="32"/>
        <v>NO EXISTE</v>
      </c>
      <c r="J218" s="143" t="str">
        <f t="shared" si="33"/>
        <v>NO EXISTE</v>
      </c>
      <c r="K218" s="143" t="str">
        <f t="shared" si="34"/>
        <v>NO EXISTE</v>
      </c>
      <c r="L218" s="143" t="str">
        <f t="shared" si="35"/>
        <v>NO EXISTE</v>
      </c>
      <c r="M218" s="143" t="str">
        <f t="shared" si="36"/>
        <v>NO EXISTE</v>
      </c>
      <c r="N218" s="143" t="str">
        <f t="shared" si="37"/>
        <v>NO EXISTE</v>
      </c>
      <c r="O218" s="143" t="str">
        <f t="shared" si="38"/>
        <v>NO EXISTE</v>
      </c>
      <c r="P218" s="143" t="str">
        <f t="shared" si="39"/>
        <v>NO EXISTE</v>
      </c>
      <c r="Q218" s="148" t="s">
        <v>2357</v>
      </c>
      <c r="R218" s="148" t="s">
        <v>594</v>
      </c>
      <c r="S218" s="148" t="s">
        <v>2214</v>
      </c>
      <c r="T218" s="149">
        <v>1</v>
      </c>
      <c r="U218" s="148" t="s">
        <v>591</v>
      </c>
      <c r="V218" s="150">
        <v>125.46</v>
      </c>
      <c r="W218" s="151">
        <v>9626.73</v>
      </c>
    </row>
    <row r="219" spans="1:23" ht="15" customHeight="1" x14ac:dyDescent="0.25">
      <c r="A219" s="148">
        <v>16826</v>
      </c>
      <c r="B219" s="148" t="s">
        <v>2358</v>
      </c>
      <c r="C219" s="143" t="s">
        <v>2504</v>
      </c>
      <c r="D219" s="143" t="s">
        <v>2504</v>
      </c>
      <c r="E219" s="143" t="s">
        <v>2504</v>
      </c>
      <c r="F219" s="143" t="s">
        <v>2504</v>
      </c>
      <c r="G219" s="143" t="s">
        <v>2504</v>
      </c>
      <c r="H219" s="143" t="s">
        <v>2504</v>
      </c>
      <c r="I219" s="143" t="str">
        <f t="shared" si="32"/>
        <v>NO EXISTE</v>
      </c>
      <c r="J219" s="143" t="str">
        <f t="shared" si="33"/>
        <v>NO EXISTE</v>
      </c>
      <c r="K219" s="143" t="str">
        <f t="shared" si="34"/>
        <v>NO EXISTE</v>
      </c>
      <c r="L219" s="143" t="str">
        <f t="shared" si="35"/>
        <v>NO EXISTE</v>
      </c>
      <c r="M219" s="143" t="str">
        <f t="shared" si="36"/>
        <v>NO EXISTE</v>
      </c>
      <c r="N219" s="143" t="str">
        <f t="shared" si="37"/>
        <v>NO EXISTE</v>
      </c>
      <c r="O219" s="143" t="str">
        <f t="shared" si="38"/>
        <v>NO EXISTE</v>
      </c>
      <c r="P219" s="143" t="str">
        <f t="shared" si="39"/>
        <v>NO EXISTE</v>
      </c>
      <c r="Q219" s="148" t="s">
        <v>2359</v>
      </c>
      <c r="R219" s="148" t="s">
        <v>594</v>
      </c>
      <c r="S219" s="148" t="s">
        <v>2214</v>
      </c>
      <c r="T219" s="149">
        <v>1</v>
      </c>
      <c r="U219" s="148" t="s">
        <v>591</v>
      </c>
      <c r="V219" s="150">
        <v>134.09</v>
      </c>
      <c r="W219" s="151">
        <v>100241.53</v>
      </c>
    </row>
    <row r="220" spans="1:23" ht="15" customHeight="1" x14ac:dyDescent="0.25">
      <c r="A220" s="148">
        <v>16827</v>
      </c>
      <c r="B220" s="148" t="s">
        <v>2360</v>
      </c>
      <c r="C220" s="143" t="s">
        <v>2504</v>
      </c>
      <c r="D220" s="143" t="s">
        <v>2504</v>
      </c>
      <c r="E220" s="143" t="s">
        <v>2504</v>
      </c>
      <c r="F220" s="143" t="s">
        <v>2504</v>
      </c>
      <c r="G220" s="143" t="s">
        <v>2504</v>
      </c>
      <c r="H220" s="143" t="s">
        <v>2504</v>
      </c>
      <c r="I220" s="143" t="str">
        <f t="shared" si="32"/>
        <v>NO EXISTE</v>
      </c>
      <c r="J220" s="143" t="str">
        <f t="shared" si="33"/>
        <v>NO EXISTE</v>
      </c>
      <c r="K220" s="143" t="str">
        <f t="shared" si="34"/>
        <v>NO EXISTE</v>
      </c>
      <c r="L220" s="143" t="str">
        <f t="shared" si="35"/>
        <v>NO EXISTE</v>
      </c>
      <c r="M220" s="143" t="str">
        <f t="shared" si="36"/>
        <v>NO EXISTE</v>
      </c>
      <c r="N220" s="143" t="str">
        <f t="shared" si="37"/>
        <v>NO EXISTE</v>
      </c>
      <c r="O220" s="143" t="str">
        <f t="shared" si="38"/>
        <v>NO EXISTE</v>
      </c>
      <c r="P220" s="143" t="str">
        <f t="shared" si="39"/>
        <v>NO EXISTE</v>
      </c>
      <c r="Q220" s="148" t="s">
        <v>2361</v>
      </c>
      <c r="R220" s="148" t="s">
        <v>594</v>
      </c>
      <c r="S220" s="148" t="s">
        <v>2257</v>
      </c>
      <c r="T220" s="149">
        <v>1</v>
      </c>
      <c r="U220" s="148" t="s">
        <v>591</v>
      </c>
      <c r="V220" s="150">
        <v>196.09</v>
      </c>
      <c r="W220" s="151">
        <v>4465.79</v>
      </c>
    </row>
    <row r="221" spans="1:23" ht="15" customHeight="1" x14ac:dyDescent="0.25">
      <c r="A221" s="148">
        <v>16828</v>
      </c>
      <c r="B221" s="148" t="s">
        <v>2362</v>
      </c>
      <c r="C221" s="143" t="s">
        <v>2504</v>
      </c>
      <c r="D221" s="143" t="s">
        <v>2504</v>
      </c>
      <c r="E221" s="143" t="s">
        <v>2504</v>
      </c>
      <c r="F221" s="143" t="s">
        <v>2504</v>
      </c>
      <c r="G221" s="143" t="s">
        <v>2504</v>
      </c>
      <c r="H221" s="143" t="s">
        <v>2504</v>
      </c>
      <c r="I221" s="143" t="str">
        <f t="shared" si="32"/>
        <v>NO EXISTE</v>
      </c>
      <c r="J221" s="143" t="str">
        <f t="shared" si="33"/>
        <v>NO EXISTE</v>
      </c>
      <c r="K221" s="143" t="str">
        <f t="shared" si="34"/>
        <v>NO EXISTE</v>
      </c>
      <c r="L221" s="143" t="str">
        <f t="shared" si="35"/>
        <v>NO EXISTE</v>
      </c>
      <c r="M221" s="143" t="str">
        <f t="shared" si="36"/>
        <v>NO EXISTE</v>
      </c>
      <c r="N221" s="143" t="str">
        <f t="shared" si="37"/>
        <v>NO EXISTE</v>
      </c>
      <c r="O221" s="143" t="str">
        <f t="shared" si="38"/>
        <v>NO EXISTE</v>
      </c>
      <c r="P221" s="143" t="str">
        <f t="shared" si="39"/>
        <v>NO EXISTE</v>
      </c>
      <c r="Q221" s="148" t="s">
        <v>2363</v>
      </c>
      <c r="R221" s="148" t="s">
        <v>594</v>
      </c>
      <c r="S221" s="148" t="s">
        <v>2257</v>
      </c>
      <c r="T221" s="149">
        <v>1</v>
      </c>
      <c r="U221" s="148" t="s">
        <v>591</v>
      </c>
      <c r="V221" s="150">
        <v>194.18</v>
      </c>
      <c r="W221" s="151">
        <v>1994.22</v>
      </c>
    </row>
    <row r="222" spans="1:23" ht="15" customHeight="1" x14ac:dyDescent="0.25">
      <c r="A222" s="148">
        <v>16829</v>
      </c>
      <c r="B222" s="148" t="s">
        <v>2364</v>
      </c>
      <c r="C222" s="143" t="s">
        <v>2504</v>
      </c>
      <c r="D222" s="143" t="s">
        <v>2504</v>
      </c>
      <c r="E222" s="143" t="s">
        <v>2504</v>
      </c>
      <c r="F222" s="143" t="s">
        <v>2504</v>
      </c>
      <c r="G222" s="143" t="s">
        <v>2504</v>
      </c>
      <c r="H222" s="143" t="s">
        <v>2504</v>
      </c>
      <c r="I222" s="143" t="str">
        <f t="shared" si="32"/>
        <v>NO EXISTE</v>
      </c>
      <c r="J222" s="143" t="str">
        <f t="shared" si="33"/>
        <v>NO EXISTE</v>
      </c>
      <c r="K222" s="143" t="str">
        <f t="shared" si="34"/>
        <v>NO EXISTE</v>
      </c>
      <c r="L222" s="143" t="str">
        <f t="shared" si="35"/>
        <v>NO EXISTE</v>
      </c>
      <c r="M222" s="143" t="str">
        <f t="shared" si="36"/>
        <v>NO EXISTE</v>
      </c>
      <c r="N222" s="143" t="str">
        <f t="shared" si="37"/>
        <v>NO EXISTE</v>
      </c>
      <c r="O222" s="143" t="str">
        <f t="shared" si="38"/>
        <v>NO EXISTE</v>
      </c>
      <c r="P222" s="143" t="str">
        <f t="shared" si="39"/>
        <v>NO EXISTE</v>
      </c>
      <c r="Q222" s="148" t="s">
        <v>2365</v>
      </c>
      <c r="R222" s="148" t="s">
        <v>594</v>
      </c>
      <c r="S222" s="148" t="s">
        <v>2257</v>
      </c>
      <c r="T222" s="149">
        <v>1</v>
      </c>
      <c r="U222" s="148" t="s">
        <v>591</v>
      </c>
      <c r="V222" s="150">
        <v>200.68</v>
      </c>
      <c r="W222" s="151">
        <v>21092.92</v>
      </c>
    </row>
    <row r="223" spans="1:23" ht="15" customHeight="1" x14ac:dyDescent="0.25">
      <c r="A223" s="148">
        <v>16830</v>
      </c>
      <c r="B223" s="148" t="s">
        <v>2366</v>
      </c>
      <c r="C223" s="143" t="s">
        <v>2504</v>
      </c>
      <c r="D223" s="143" t="s">
        <v>2504</v>
      </c>
      <c r="E223" s="143" t="s">
        <v>2504</v>
      </c>
      <c r="F223" s="143" t="s">
        <v>2504</v>
      </c>
      <c r="G223" s="143" t="s">
        <v>2504</v>
      </c>
      <c r="H223" s="143" t="s">
        <v>2504</v>
      </c>
      <c r="I223" s="143" t="str">
        <f t="shared" si="32"/>
        <v>NO EXISTE</v>
      </c>
      <c r="J223" s="143" t="str">
        <f t="shared" si="33"/>
        <v>NO EXISTE</v>
      </c>
      <c r="K223" s="143" t="str">
        <f t="shared" si="34"/>
        <v>NO EXISTE</v>
      </c>
      <c r="L223" s="143" t="str">
        <f t="shared" si="35"/>
        <v>NO EXISTE</v>
      </c>
      <c r="M223" s="143" t="str">
        <f t="shared" si="36"/>
        <v>NO EXISTE</v>
      </c>
      <c r="N223" s="143" t="str">
        <f t="shared" si="37"/>
        <v>NO EXISTE</v>
      </c>
      <c r="O223" s="143" t="str">
        <f t="shared" si="38"/>
        <v>NO EXISTE</v>
      </c>
      <c r="P223" s="143" t="str">
        <f t="shared" si="39"/>
        <v>NO EXISTE</v>
      </c>
      <c r="Q223" s="148" t="s">
        <v>2367</v>
      </c>
      <c r="R223" s="148" t="s">
        <v>594</v>
      </c>
      <c r="S223" s="148" t="s">
        <v>2257</v>
      </c>
      <c r="T223" s="149">
        <v>1</v>
      </c>
      <c r="U223" s="148" t="s">
        <v>591</v>
      </c>
      <c r="V223" s="150">
        <v>199.41</v>
      </c>
      <c r="W223" s="151">
        <v>468</v>
      </c>
    </row>
    <row r="224" spans="1:23" ht="15" customHeight="1" x14ac:dyDescent="0.25">
      <c r="A224" s="148">
        <v>16831</v>
      </c>
      <c r="B224" s="148" t="s">
        <v>2368</v>
      </c>
      <c r="C224" s="143" t="s">
        <v>2504</v>
      </c>
      <c r="D224" s="143" t="s">
        <v>2504</v>
      </c>
      <c r="E224" s="143" t="s">
        <v>2504</v>
      </c>
      <c r="F224" s="143" t="s">
        <v>2504</v>
      </c>
      <c r="G224" s="143" t="s">
        <v>2504</v>
      </c>
      <c r="H224" s="143" t="s">
        <v>2504</v>
      </c>
      <c r="I224" s="143" t="str">
        <f t="shared" si="32"/>
        <v>NO EXISTE</v>
      </c>
      <c r="J224" s="143" t="str">
        <f t="shared" si="33"/>
        <v>NO EXISTE</v>
      </c>
      <c r="K224" s="143" t="str">
        <f t="shared" si="34"/>
        <v>NO EXISTE</v>
      </c>
      <c r="L224" s="143" t="str">
        <f t="shared" si="35"/>
        <v>NO EXISTE</v>
      </c>
      <c r="M224" s="143" t="str">
        <f t="shared" si="36"/>
        <v>NO EXISTE</v>
      </c>
      <c r="N224" s="143" t="str">
        <f t="shared" si="37"/>
        <v>NO EXISTE</v>
      </c>
      <c r="O224" s="143" t="str">
        <f t="shared" si="38"/>
        <v>NO EXISTE</v>
      </c>
      <c r="P224" s="143" t="str">
        <f t="shared" si="39"/>
        <v>NO EXISTE</v>
      </c>
      <c r="Q224" s="148" t="s">
        <v>2369</v>
      </c>
      <c r="R224" s="148" t="s">
        <v>594</v>
      </c>
      <c r="S224" s="148" t="s">
        <v>2232</v>
      </c>
      <c r="T224" s="149">
        <v>1</v>
      </c>
      <c r="U224" s="148" t="s">
        <v>591</v>
      </c>
      <c r="V224" s="150">
        <v>186.1</v>
      </c>
      <c r="W224" s="151">
        <v>3052.77</v>
      </c>
    </row>
    <row r="225" spans="1:23" ht="15" customHeight="1" x14ac:dyDescent="0.25">
      <c r="A225" s="148">
        <v>16832</v>
      </c>
      <c r="B225" s="148" t="s">
        <v>2370</v>
      </c>
      <c r="C225" s="143" t="s">
        <v>2504</v>
      </c>
      <c r="D225" s="143" t="s">
        <v>2504</v>
      </c>
      <c r="E225" s="143" t="s">
        <v>2504</v>
      </c>
      <c r="F225" s="143" t="s">
        <v>2504</v>
      </c>
      <c r="G225" s="143" t="s">
        <v>2504</v>
      </c>
      <c r="H225" s="143" t="s">
        <v>2504</v>
      </c>
      <c r="I225" s="143" t="str">
        <f t="shared" si="32"/>
        <v>NO EXISTE</v>
      </c>
      <c r="J225" s="143" t="str">
        <f t="shared" si="33"/>
        <v>NO EXISTE</v>
      </c>
      <c r="K225" s="143" t="str">
        <f t="shared" si="34"/>
        <v>NO EXISTE</v>
      </c>
      <c r="L225" s="143" t="str">
        <f t="shared" si="35"/>
        <v>NO EXISTE</v>
      </c>
      <c r="M225" s="143" t="str">
        <f t="shared" si="36"/>
        <v>NO EXISTE</v>
      </c>
      <c r="N225" s="143" t="str">
        <f t="shared" si="37"/>
        <v>NO EXISTE</v>
      </c>
      <c r="O225" s="143" t="str">
        <f t="shared" si="38"/>
        <v>NO EXISTE</v>
      </c>
      <c r="P225" s="143" t="str">
        <f t="shared" si="39"/>
        <v>NO EXISTE</v>
      </c>
      <c r="Q225" s="148" t="s">
        <v>2371</v>
      </c>
      <c r="R225" s="148" t="s">
        <v>594</v>
      </c>
      <c r="S225" s="148" t="s">
        <v>2232</v>
      </c>
      <c r="T225" s="149">
        <v>1</v>
      </c>
      <c r="U225" s="148" t="s">
        <v>591</v>
      </c>
      <c r="V225" s="150">
        <v>187.51</v>
      </c>
      <c r="W225" s="151">
        <f>V225*24</f>
        <v>4500.24</v>
      </c>
    </row>
    <row r="226" spans="1:23" ht="15" customHeight="1" x14ac:dyDescent="0.25">
      <c r="A226" s="148">
        <v>16833</v>
      </c>
      <c r="B226" s="148" t="s">
        <v>2372</v>
      </c>
      <c r="C226" s="143" t="s">
        <v>2504</v>
      </c>
      <c r="D226" s="143" t="s">
        <v>2504</v>
      </c>
      <c r="E226" s="143" t="s">
        <v>2504</v>
      </c>
      <c r="F226" s="143" t="s">
        <v>2504</v>
      </c>
      <c r="G226" s="143" t="s">
        <v>2504</v>
      </c>
      <c r="H226" s="143" t="s">
        <v>2504</v>
      </c>
      <c r="I226" s="143" t="str">
        <f t="shared" si="32"/>
        <v>NO EXISTE</v>
      </c>
      <c r="J226" s="143" t="str">
        <f t="shared" si="33"/>
        <v>NO EXISTE</v>
      </c>
      <c r="K226" s="143" t="str">
        <f t="shared" si="34"/>
        <v>NO EXISTE</v>
      </c>
      <c r="L226" s="143" t="str">
        <f t="shared" si="35"/>
        <v>NO EXISTE</v>
      </c>
      <c r="M226" s="143" t="str">
        <f t="shared" si="36"/>
        <v>NO EXISTE</v>
      </c>
      <c r="N226" s="143" t="str">
        <f t="shared" si="37"/>
        <v>NO EXISTE</v>
      </c>
      <c r="O226" s="143" t="str">
        <f t="shared" si="38"/>
        <v>NO EXISTE</v>
      </c>
      <c r="P226" s="143" t="str">
        <f t="shared" si="39"/>
        <v>NO EXISTE</v>
      </c>
      <c r="Q226" s="148" t="s">
        <v>2373</v>
      </c>
      <c r="R226" s="148" t="s">
        <v>594</v>
      </c>
      <c r="S226" s="148" t="s">
        <v>2232</v>
      </c>
      <c r="T226" s="149">
        <v>1</v>
      </c>
      <c r="U226" s="148" t="s">
        <v>591</v>
      </c>
      <c r="V226" s="150">
        <v>185</v>
      </c>
      <c r="W226" s="151">
        <v>882.56</v>
      </c>
    </row>
    <row r="227" spans="1:23" ht="15" customHeight="1" x14ac:dyDescent="0.25">
      <c r="A227" s="148">
        <v>16840</v>
      </c>
      <c r="B227" s="148" t="s">
        <v>2374</v>
      </c>
      <c r="C227" s="143" t="s">
        <v>2504</v>
      </c>
      <c r="D227" s="143" t="s">
        <v>2504</v>
      </c>
      <c r="E227" s="143" t="s">
        <v>2504</v>
      </c>
      <c r="F227" s="143" t="s">
        <v>2504</v>
      </c>
      <c r="G227" s="143" t="s">
        <v>2504</v>
      </c>
      <c r="H227" s="143" t="s">
        <v>2504</v>
      </c>
      <c r="I227" s="143" t="str">
        <f t="shared" ref="I227:I290" si="41">IFERROR(VLOOKUP(B227,Base08,1,FALSE),"NO EXISTE")</f>
        <v>NO EXISTE</v>
      </c>
      <c r="J227" s="143" t="str">
        <f t="shared" ref="J227:J290" si="42">IFERROR(VLOOKUP(B227,Base09,1,FALSE),"NO EXISTE")</f>
        <v>NO EXISTE</v>
      </c>
      <c r="K227" s="143" t="str">
        <f t="shared" ref="K227:K290" si="43">IFERROR(VLOOKUP(B227,Base10,1,FALSE),"NO EXISTE")</f>
        <v>NO EXISTE</v>
      </c>
      <c r="L227" s="143" t="str">
        <f t="shared" ref="L227:L290" si="44">IFERROR(VLOOKUP(B227,Base11,1,FALSE),"NO EXISTE")</f>
        <v>NO EXISTE</v>
      </c>
      <c r="M227" s="143" t="str">
        <f t="shared" ref="M227:M290" si="45">IFERROR(VLOOKUP(B227,Base12,1,FALSE),"NO EXISTE")</f>
        <v>NO EXISTE</v>
      </c>
      <c r="N227" s="143" t="str">
        <f t="shared" ref="N227:N290" si="46">IFERROR(VLOOKUP(B227,Base13,1,FALSE),"NO EXISTE")</f>
        <v>NO EXISTE</v>
      </c>
      <c r="O227" s="143" t="str">
        <f t="shared" ref="O227:O290" si="47">IFERROR(VLOOKUP(B227,Base14,1,FALSE),"NO EXISTE")</f>
        <v>NO EXISTE</v>
      </c>
      <c r="P227" s="143" t="str">
        <f t="shared" ref="P227:P290" si="48">IFERROR(VLOOKUP(B227,Base15,1,FALSE),"NO EXISTE")</f>
        <v>NO EXISTE</v>
      </c>
      <c r="Q227" s="148" t="s">
        <v>2375</v>
      </c>
      <c r="R227" s="148" t="s">
        <v>594</v>
      </c>
      <c r="S227" s="148" t="s">
        <v>776</v>
      </c>
      <c r="T227" s="149">
        <v>1</v>
      </c>
      <c r="U227" s="148" t="s">
        <v>591</v>
      </c>
      <c r="V227" s="150">
        <v>102.32</v>
      </c>
      <c r="W227" s="151">
        <v>1960.16</v>
      </c>
    </row>
    <row r="228" spans="1:23" ht="15" customHeight="1" x14ac:dyDescent="0.25">
      <c r="A228" s="148">
        <v>16841</v>
      </c>
      <c r="B228" s="148" t="s">
        <v>2376</v>
      </c>
      <c r="C228" s="143" t="s">
        <v>2504</v>
      </c>
      <c r="D228" s="143" t="s">
        <v>2504</v>
      </c>
      <c r="E228" s="143" t="s">
        <v>2504</v>
      </c>
      <c r="F228" s="143" t="s">
        <v>2504</v>
      </c>
      <c r="G228" s="143" t="s">
        <v>2504</v>
      </c>
      <c r="H228" s="143" t="s">
        <v>2504</v>
      </c>
      <c r="I228" s="143" t="str">
        <f t="shared" si="41"/>
        <v>NO EXISTE</v>
      </c>
      <c r="J228" s="143" t="str">
        <f t="shared" si="42"/>
        <v>NO EXISTE</v>
      </c>
      <c r="K228" s="143" t="str">
        <f t="shared" si="43"/>
        <v>NO EXISTE</v>
      </c>
      <c r="L228" s="143" t="str">
        <f t="shared" si="44"/>
        <v>NO EXISTE</v>
      </c>
      <c r="M228" s="143" t="str">
        <f t="shared" si="45"/>
        <v>NO EXISTE</v>
      </c>
      <c r="N228" s="143" t="str">
        <f t="shared" si="46"/>
        <v>NO EXISTE</v>
      </c>
      <c r="O228" s="143" t="str">
        <f t="shared" si="47"/>
        <v>NO EXISTE</v>
      </c>
      <c r="P228" s="143" t="str">
        <f t="shared" si="48"/>
        <v>NO EXISTE</v>
      </c>
      <c r="Q228" s="148" t="s">
        <v>2377</v>
      </c>
      <c r="R228" s="148" t="s">
        <v>630</v>
      </c>
      <c r="S228" s="148" t="s">
        <v>631</v>
      </c>
      <c r="T228" s="149">
        <v>1</v>
      </c>
      <c r="U228" s="148" t="s">
        <v>591</v>
      </c>
      <c r="V228" s="150">
        <v>81.93</v>
      </c>
      <c r="W228" s="151">
        <v>55672.01</v>
      </c>
    </row>
    <row r="229" spans="1:23" ht="15" customHeight="1" x14ac:dyDescent="0.25">
      <c r="A229" s="148">
        <v>16845</v>
      </c>
      <c r="B229" s="148" t="s">
        <v>2379</v>
      </c>
      <c r="C229" s="143" t="s">
        <v>2504</v>
      </c>
      <c r="D229" s="143" t="s">
        <v>2504</v>
      </c>
      <c r="E229" s="143" t="s">
        <v>2504</v>
      </c>
      <c r="F229" s="143" t="s">
        <v>2504</v>
      </c>
      <c r="G229" s="143" t="s">
        <v>2504</v>
      </c>
      <c r="H229" s="143" t="s">
        <v>2504</v>
      </c>
      <c r="I229" s="143" t="str">
        <f t="shared" si="41"/>
        <v>NO EXISTE</v>
      </c>
      <c r="J229" s="143" t="str">
        <f t="shared" si="42"/>
        <v>NO EXISTE</v>
      </c>
      <c r="K229" s="143" t="str">
        <f t="shared" si="43"/>
        <v>NO EXISTE</v>
      </c>
      <c r="L229" s="143" t="str">
        <f t="shared" si="44"/>
        <v>NO EXISTE</v>
      </c>
      <c r="M229" s="143" t="str">
        <f t="shared" si="45"/>
        <v>NO EXISTE</v>
      </c>
      <c r="N229" s="143" t="str">
        <f t="shared" si="46"/>
        <v>NO EXISTE</v>
      </c>
      <c r="O229" s="143" t="str">
        <f t="shared" si="47"/>
        <v>NO EXISTE</v>
      </c>
      <c r="P229" s="143" t="str">
        <f t="shared" si="48"/>
        <v>NO EXISTE</v>
      </c>
      <c r="Q229" s="148" t="s">
        <v>2380</v>
      </c>
      <c r="R229" s="148" t="s">
        <v>594</v>
      </c>
      <c r="S229" s="148" t="s">
        <v>2257</v>
      </c>
      <c r="T229" s="149">
        <v>1</v>
      </c>
      <c r="U229" s="148" t="s">
        <v>591</v>
      </c>
      <c r="V229" s="150">
        <v>172.67</v>
      </c>
      <c r="W229" s="151">
        <v>84812.66</v>
      </c>
    </row>
    <row r="230" spans="1:23" ht="15" customHeight="1" x14ac:dyDescent="0.25">
      <c r="A230" s="148">
        <v>16846</v>
      </c>
      <c r="B230" s="148" t="s">
        <v>2381</v>
      </c>
      <c r="C230" s="143" t="s">
        <v>2504</v>
      </c>
      <c r="D230" s="143" t="s">
        <v>2504</v>
      </c>
      <c r="E230" s="143" t="s">
        <v>2504</v>
      </c>
      <c r="F230" s="143" t="s">
        <v>2504</v>
      </c>
      <c r="G230" s="143" t="s">
        <v>2504</v>
      </c>
      <c r="H230" s="143" t="s">
        <v>2504</v>
      </c>
      <c r="I230" s="143" t="str">
        <f t="shared" si="41"/>
        <v>NO EXISTE</v>
      </c>
      <c r="J230" s="143" t="str">
        <f t="shared" si="42"/>
        <v>NO EXISTE</v>
      </c>
      <c r="K230" s="143" t="str">
        <f t="shared" si="43"/>
        <v>NO EXISTE</v>
      </c>
      <c r="L230" s="143" t="str">
        <f t="shared" si="44"/>
        <v>NO EXISTE</v>
      </c>
      <c r="M230" s="143" t="str">
        <f t="shared" si="45"/>
        <v>NO EXISTE</v>
      </c>
      <c r="N230" s="143" t="str">
        <f t="shared" si="46"/>
        <v>NO EXISTE</v>
      </c>
      <c r="O230" s="143" t="str">
        <f t="shared" si="47"/>
        <v>NO EXISTE</v>
      </c>
      <c r="P230" s="143" t="str">
        <f t="shared" si="48"/>
        <v>NO EXISTE</v>
      </c>
      <c r="Q230" s="148" t="s">
        <v>2382</v>
      </c>
      <c r="R230" s="148" t="s">
        <v>630</v>
      </c>
      <c r="S230" s="148" t="s">
        <v>2341</v>
      </c>
      <c r="T230" s="149">
        <v>1</v>
      </c>
      <c r="U230" s="148" t="s">
        <v>591</v>
      </c>
      <c r="V230" s="150">
        <v>169.02</v>
      </c>
      <c r="W230" s="151">
        <v>7220.57</v>
      </c>
    </row>
    <row r="231" spans="1:23" ht="15" customHeight="1" x14ac:dyDescent="0.25">
      <c r="A231" s="148">
        <v>16847</v>
      </c>
      <c r="B231" s="148" t="s">
        <v>2383</v>
      </c>
      <c r="C231" s="143" t="s">
        <v>2504</v>
      </c>
      <c r="D231" s="143" t="s">
        <v>2504</v>
      </c>
      <c r="E231" s="143" t="s">
        <v>2504</v>
      </c>
      <c r="F231" s="143" t="s">
        <v>2504</v>
      </c>
      <c r="G231" s="143" t="s">
        <v>2504</v>
      </c>
      <c r="H231" s="143" t="s">
        <v>2504</v>
      </c>
      <c r="I231" s="143" t="str">
        <f t="shared" si="41"/>
        <v>NO EXISTE</v>
      </c>
      <c r="J231" s="143" t="str">
        <f t="shared" si="42"/>
        <v>NO EXISTE</v>
      </c>
      <c r="K231" s="143" t="str">
        <f t="shared" si="43"/>
        <v>NO EXISTE</v>
      </c>
      <c r="L231" s="143" t="str">
        <f t="shared" si="44"/>
        <v>NO EXISTE</v>
      </c>
      <c r="M231" s="143" t="str">
        <f t="shared" si="45"/>
        <v>NO EXISTE</v>
      </c>
      <c r="N231" s="143" t="str">
        <f t="shared" si="46"/>
        <v>NO EXISTE</v>
      </c>
      <c r="O231" s="143" t="str">
        <f t="shared" si="47"/>
        <v>NO EXISTE</v>
      </c>
      <c r="P231" s="143" t="str">
        <f t="shared" si="48"/>
        <v>NO EXISTE</v>
      </c>
      <c r="Q231" s="148" t="s">
        <v>2384</v>
      </c>
      <c r="R231" s="148" t="s">
        <v>594</v>
      </c>
      <c r="S231" s="148" t="s">
        <v>2232</v>
      </c>
      <c r="T231" s="149">
        <v>1</v>
      </c>
      <c r="U231" s="148" t="s">
        <v>591</v>
      </c>
      <c r="V231" s="150">
        <v>185.94</v>
      </c>
      <c r="W231" s="151">
        <v>8350.8700000000008</v>
      </c>
    </row>
    <row r="232" spans="1:23" ht="15" customHeight="1" x14ac:dyDescent="0.25">
      <c r="A232" s="148">
        <v>16848</v>
      </c>
      <c r="B232" s="148" t="s">
        <v>2385</v>
      </c>
      <c r="C232" s="143" t="s">
        <v>2504</v>
      </c>
      <c r="D232" s="143" t="s">
        <v>2504</v>
      </c>
      <c r="E232" s="143" t="s">
        <v>2504</v>
      </c>
      <c r="F232" s="143" t="s">
        <v>2504</v>
      </c>
      <c r="G232" s="143" t="s">
        <v>2504</v>
      </c>
      <c r="H232" s="143" t="s">
        <v>2504</v>
      </c>
      <c r="I232" s="143" t="str">
        <f t="shared" si="41"/>
        <v>NO EXISTE</v>
      </c>
      <c r="J232" s="143" t="str">
        <f t="shared" si="42"/>
        <v>NO EXISTE</v>
      </c>
      <c r="K232" s="143" t="str">
        <f t="shared" si="43"/>
        <v>NO EXISTE</v>
      </c>
      <c r="L232" s="143" t="str">
        <f t="shared" si="44"/>
        <v>NO EXISTE</v>
      </c>
      <c r="M232" s="143" t="str">
        <f t="shared" si="45"/>
        <v>NO EXISTE</v>
      </c>
      <c r="N232" s="143" t="str">
        <f t="shared" si="46"/>
        <v>NO EXISTE</v>
      </c>
      <c r="O232" s="143" t="str">
        <f t="shared" si="47"/>
        <v>NO EXISTE</v>
      </c>
      <c r="P232" s="143" t="str">
        <f t="shared" si="48"/>
        <v>NO EXISTE</v>
      </c>
      <c r="Q232" s="148" t="s">
        <v>2386</v>
      </c>
      <c r="R232" s="148" t="s">
        <v>630</v>
      </c>
      <c r="S232" s="148" t="s">
        <v>745</v>
      </c>
      <c r="T232" s="149">
        <v>1</v>
      </c>
      <c r="U232" s="148" t="s">
        <v>591</v>
      </c>
      <c r="V232" s="150">
        <v>126.88</v>
      </c>
      <c r="W232" s="151">
        <v>88030.1</v>
      </c>
    </row>
    <row r="233" spans="1:23" ht="15" customHeight="1" x14ac:dyDescent="0.25">
      <c r="A233" s="148">
        <v>16850</v>
      </c>
      <c r="B233" s="148" t="s">
        <v>2388</v>
      </c>
      <c r="C233" s="143" t="s">
        <v>2504</v>
      </c>
      <c r="D233" s="143" t="s">
        <v>2504</v>
      </c>
      <c r="E233" s="143" t="s">
        <v>2504</v>
      </c>
      <c r="F233" s="143" t="s">
        <v>2504</v>
      </c>
      <c r="G233" s="143" t="s">
        <v>2504</v>
      </c>
      <c r="H233" s="143" t="s">
        <v>2504</v>
      </c>
      <c r="I233" s="143" t="str">
        <f t="shared" si="41"/>
        <v>NO EXISTE</v>
      </c>
      <c r="J233" s="143" t="str">
        <f t="shared" si="42"/>
        <v>NO EXISTE</v>
      </c>
      <c r="K233" s="143" t="str">
        <f t="shared" si="43"/>
        <v>NO EXISTE</v>
      </c>
      <c r="L233" s="143" t="str">
        <f t="shared" si="44"/>
        <v>NO EXISTE</v>
      </c>
      <c r="M233" s="143" t="str">
        <f t="shared" si="45"/>
        <v>NO EXISTE</v>
      </c>
      <c r="N233" s="143" t="str">
        <f t="shared" si="46"/>
        <v>NO EXISTE</v>
      </c>
      <c r="O233" s="143" t="str">
        <f t="shared" si="47"/>
        <v>NO EXISTE</v>
      </c>
      <c r="P233" s="143" t="str">
        <f t="shared" si="48"/>
        <v>NO EXISTE</v>
      </c>
      <c r="Q233" s="148" t="s">
        <v>2389</v>
      </c>
      <c r="R233" s="148" t="s">
        <v>630</v>
      </c>
      <c r="S233" s="148" t="s">
        <v>2341</v>
      </c>
      <c r="T233" s="149">
        <v>1</v>
      </c>
      <c r="U233" s="148" t="s">
        <v>591</v>
      </c>
      <c r="V233" s="150">
        <v>144.62</v>
      </c>
      <c r="W233" s="151">
        <v>20920.689999999999</v>
      </c>
    </row>
    <row r="234" spans="1:23" ht="15" customHeight="1" x14ac:dyDescent="0.25">
      <c r="A234" s="148">
        <v>16901</v>
      </c>
      <c r="B234" s="148" t="s">
        <v>2391</v>
      </c>
      <c r="C234" s="143" t="s">
        <v>2504</v>
      </c>
      <c r="D234" s="143" t="s">
        <v>2504</v>
      </c>
      <c r="E234" s="143" t="s">
        <v>2504</v>
      </c>
      <c r="F234" s="143" t="s">
        <v>2504</v>
      </c>
      <c r="G234" s="143" t="s">
        <v>2504</v>
      </c>
      <c r="H234" s="143" t="s">
        <v>2504</v>
      </c>
      <c r="I234" s="143" t="str">
        <f t="shared" si="41"/>
        <v>NO EXISTE</v>
      </c>
      <c r="J234" s="143" t="str">
        <f t="shared" si="42"/>
        <v>NO EXISTE</v>
      </c>
      <c r="K234" s="143" t="str">
        <f t="shared" si="43"/>
        <v>NO EXISTE</v>
      </c>
      <c r="L234" s="143" t="str">
        <f t="shared" si="44"/>
        <v>NO EXISTE</v>
      </c>
      <c r="M234" s="143" t="str">
        <f t="shared" si="45"/>
        <v>NO EXISTE</v>
      </c>
      <c r="N234" s="143" t="str">
        <f t="shared" si="46"/>
        <v>NO EXISTE</v>
      </c>
      <c r="O234" s="143" t="str">
        <f t="shared" si="47"/>
        <v>NO EXISTE</v>
      </c>
      <c r="P234" s="143" t="str">
        <f t="shared" si="48"/>
        <v>NO EXISTE</v>
      </c>
      <c r="Q234" s="148" t="s">
        <v>2392</v>
      </c>
      <c r="R234" s="148" t="s">
        <v>594</v>
      </c>
      <c r="S234" s="148" t="s">
        <v>2279</v>
      </c>
      <c r="T234" s="149">
        <v>0.95</v>
      </c>
      <c r="U234" s="148" t="s">
        <v>591</v>
      </c>
      <c r="V234" s="150">
        <v>204.55</v>
      </c>
      <c r="W234" s="151">
        <v>23800.959999999999</v>
      </c>
    </row>
    <row r="235" spans="1:23" ht="15" customHeight="1" x14ac:dyDescent="0.25">
      <c r="A235" s="148">
        <v>16903</v>
      </c>
      <c r="B235" s="148" t="s">
        <v>2394</v>
      </c>
      <c r="C235" s="143" t="s">
        <v>2504</v>
      </c>
      <c r="D235" s="143" t="s">
        <v>2504</v>
      </c>
      <c r="E235" s="143" t="s">
        <v>2504</v>
      </c>
      <c r="F235" s="143" t="s">
        <v>2504</v>
      </c>
      <c r="G235" s="143" t="s">
        <v>2504</v>
      </c>
      <c r="H235" s="143" t="s">
        <v>2504</v>
      </c>
      <c r="I235" s="143" t="str">
        <f t="shared" si="41"/>
        <v>NO EXISTE</v>
      </c>
      <c r="J235" s="143" t="str">
        <f t="shared" si="42"/>
        <v>NO EXISTE</v>
      </c>
      <c r="K235" s="143" t="str">
        <f t="shared" si="43"/>
        <v>NO EXISTE</v>
      </c>
      <c r="L235" s="143" t="str">
        <f t="shared" si="44"/>
        <v>NO EXISTE</v>
      </c>
      <c r="M235" s="143" t="str">
        <f t="shared" si="45"/>
        <v>NO EXISTE</v>
      </c>
      <c r="N235" s="143" t="str">
        <f t="shared" si="46"/>
        <v>NO EXISTE</v>
      </c>
      <c r="O235" s="143" t="str">
        <f t="shared" si="47"/>
        <v>NO EXISTE</v>
      </c>
      <c r="P235" s="143" t="str">
        <f t="shared" si="48"/>
        <v>NO EXISTE</v>
      </c>
      <c r="Q235" s="148" t="s">
        <v>2395</v>
      </c>
      <c r="R235" s="148" t="s">
        <v>594</v>
      </c>
      <c r="S235" s="148" t="s">
        <v>2091</v>
      </c>
      <c r="T235" s="149">
        <v>0.95</v>
      </c>
      <c r="U235" s="148" t="s">
        <v>591</v>
      </c>
      <c r="V235" s="150">
        <v>169.48</v>
      </c>
      <c r="W235" s="151">
        <f>V235*15</f>
        <v>2542.1999999999998</v>
      </c>
    </row>
    <row r="236" spans="1:23" ht="15" customHeight="1" x14ac:dyDescent="0.25">
      <c r="A236" s="148">
        <v>16904</v>
      </c>
      <c r="B236" s="148" t="s">
        <v>2396</v>
      </c>
      <c r="C236" s="143" t="s">
        <v>2504</v>
      </c>
      <c r="D236" s="143" t="s">
        <v>2504</v>
      </c>
      <c r="E236" s="143" t="s">
        <v>2504</v>
      </c>
      <c r="F236" s="143" t="s">
        <v>2504</v>
      </c>
      <c r="G236" s="143" t="s">
        <v>2504</v>
      </c>
      <c r="H236" s="143" t="s">
        <v>2504</v>
      </c>
      <c r="I236" s="143" t="str">
        <f t="shared" si="41"/>
        <v>NO EXISTE</v>
      </c>
      <c r="J236" s="143" t="str">
        <f t="shared" si="42"/>
        <v>NO EXISTE</v>
      </c>
      <c r="K236" s="143" t="str">
        <f t="shared" si="43"/>
        <v>NO EXISTE</v>
      </c>
      <c r="L236" s="143" t="str">
        <f t="shared" si="44"/>
        <v>NO EXISTE</v>
      </c>
      <c r="M236" s="143" t="str">
        <f t="shared" si="45"/>
        <v>NO EXISTE</v>
      </c>
      <c r="N236" s="143" t="str">
        <f t="shared" si="46"/>
        <v>NO EXISTE</v>
      </c>
      <c r="O236" s="143" t="str">
        <f t="shared" si="47"/>
        <v>NO EXISTE</v>
      </c>
      <c r="P236" s="143" t="str">
        <f t="shared" si="48"/>
        <v>NO EXISTE</v>
      </c>
      <c r="Q236" s="148" t="s">
        <v>2397</v>
      </c>
      <c r="R236" s="148" t="s">
        <v>594</v>
      </c>
      <c r="S236" s="148" t="s">
        <v>2214</v>
      </c>
      <c r="T236" s="149">
        <v>0.95</v>
      </c>
      <c r="U236" s="148" t="s">
        <v>591</v>
      </c>
      <c r="V236" s="150">
        <v>124.64</v>
      </c>
      <c r="W236" s="151">
        <f>V236*4</f>
        <v>498.56</v>
      </c>
    </row>
    <row r="237" spans="1:23" ht="15" customHeight="1" x14ac:dyDescent="0.25">
      <c r="A237" s="148">
        <v>16905</v>
      </c>
      <c r="B237" s="148" t="s">
        <v>2398</v>
      </c>
      <c r="C237" s="143" t="s">
        <v>2504</v>
      </c>
      <c r="D237" s="143" t="s">
        <v>2504</v>
      </c>
      <c r="E237" s="143" t="s">
        <v>2504</v>
      </c>
      <c r="F237" s="143" t="s">
        <v>2504</v>
      </c>
      <c r="G237" s="143" t="s">
        <v>2504</v>
      </c>
      <c r="H237" s="143" t="s">
        <v>2504</v>
      </c>
      <c r="I237" s="143" t="str">
        <f t="shared" si="41"/>
        <v>NO EXISTE</v>
      </c>
      <c r="J237" s="143" t="str">
        <f t="shared" si="42"/>
        <v>NO EXISTE</v>
      </c>
      <c r="K237" s="143" t="str">
        <f t="shared" si="43"/>
        <v>NO EXISTE</v>
      </c>
      <c r="L237" s="143" t="str">
        <f t="shared" si="44"/>
        <v>NO EXISTE</v>
      </c>
      <c r="M237" s="143" t="str">
        <f t="shared" si="45"/>
        <v>NO EXISTE</v>
      </c>
      <c r="N237" s="143" t="str">
        <f t="shared" si="46"/>
        <v>NO EXISTE</v>
      </c>
      <c r="O237" s="143" t="str">
        <f t="shared" si="47"/>
        <v>NO EXISTE</v>
      </c>
      <c r="P237" s="143" t="str">
        <f t="shared" si="48"/>
        <v>NO EXISTE</v>
      </c>
      <c r="Q237" s="148" t="s">
        <v>2399</v>
      </c>
      <c r="R237" s="148" t="s">
        <v>594</v>
      </c>
      <c r="S237" s="148" t="s">
        <v>2214</v>
      </c>
      <c r="T237" s="149">
        <v>0.95</v>
      </c>
      <c r="U237" s="148" t="s">
        <v>591</v>
      </c>
      <c r="V237" s="150">
        <v>137.25</v>
      </c>
      <c r="W237" s="151">
        <f>V237*15</f>
        <v>2058.75</v>
      </c>
    </row>
    <row r="238" spans="1:23" ht="15" customHeight="1" x14ac:dyDescent="0.25">
      <c r="A238" s="148">
        <v>16919</v>
      </c>
      <c r="B238" s="148" t="s">
        <v>2402</v>
      </c>
      <c r="C238" s="143" t="s">
        <v>2504</v>
      </c>
      <c r="D238" s="143" t="s">
        <v>2504</v>
      </c>
      <c r="E238" s="143" t="s">
        <v>2504</v>
      </c>
      <c r="F238" s="143" t="s">
        <v>2504</v>
      </c>
      <c r="G238" s="143" t="s">
        <v>2504</v>
      </c>
      <c r="H238" s="143" t="s">
        <v>2504</v>
      </c>
      <c r="I238" s="143" t="str">
        <f t="shared" si="41"/>
        <v>NO EXISTE</v>
      </c>
      <c r="J238" s="143" t="str">
        <f t="shared" si="42"/>
        <v>NO EXISTE</v>
      </c>
      <c r="K238" s="143" t="str">
        <f t="shared" si="43"/>
        <v>NO EXISTE</v>
      </c>
      <c r="L238" s="143" t="str">
        <f t="shared" si="44"/>
        <v>NO EXISTE</v>
      </c>
      <c r="M238" s="143" t="str">
        <f t="shared" si="45"/>
        <v>NO EXISTE</v>
      </c>
      <c r="N238" s="143" t="str">
        <f t="shared" si="46"/>
        <v>NO EXISTE</v>
      </c>
      <c r="O238" s="143" t="str">
        <f t="shared" si="47"/>
        <v>NO EXISTE</v>
      </c>
      <c r="P238" s="143" t="str">
        <f t="shared" si="48"/>
        <v>NO EXISTE</v>
      </c>
      <c r="Q238" s="148" t="s">
        <v>2403</v>
      </c>
      <c r="R238" s="148" t="s">
        <v>594</v>
      </c>
      <c r="S238" s="148" t="s">
        <v>1012</v>
      </c>
      <c r="T238" s="149">
        <v>0.95</v>
      </c>
      <c r="U238" s="148" t="s">
        <v>591</v>
      </c>
      <c r="V238" s="150">
        <v>137.01</v>
      </c>
      <c r="W238" s="151">
        <f>V238*4</f>
        <v>548.04</v>
      </c>
    </row>
    <row r="239" spans="1:23" ht="15" customHeight="1" x14ac:dyDescent="0.25">
      <c r="A239" s="148">
        <v>16920</v>
      </c>
      <c r="B239" s="148" t="s">
        <v>2404</v>
      </c>
      <c r="C239" s="143" t="s">
        <v>2504</v>
      </c>
      <c r="D239" s="143" t="s">
        <v>2504</v>
      </c>
      <c r="E239" s="143" t="s">
        <v>2504</v>
      </c>
      <c r="F239" s="143" t="s">
        <v>2504</v>
      </c>
      <c r="G239" s="143" t="s">
        <v>2504</v>
      </c>
      <c r="H239" s="143" t="s">
        <v>2504</v>
      </c>
      <c r="I239" s="143" t="str">
        <f t="shared" si="41"/>
        <v>NO EXISTE</v>
      </c>
      <c r="J239" s="143" t="str">
        <f t="shared" si="42"/>
        <v>NO EXISTE</v>
      </c>
      <c r="K239" s="143" t="str">
        <f t="shared" si="43"/>
        <v>NO EXISTE</v>
      </c>
      <c r="L239" s="143" t="str">
        <f t="shared" si="44"/>
        <v>NO EXISTE</v>
      </c>
      <c r="M239" s="143" t="str">
        <f t="shared" si="45"/>
        <v>NO EXISTE</v>
      </c>
      <c r="N239" s="143" t="str">
        <f t="shared" si="46"/>
        <v>NO EXISTE</v>
      </c>
      <c r="O239" s="143" t="str">
        <f t="shared" si="47"/>
        <v>NO EXISTE</v>
      </c>
      <c r="P239" s="143" t="str">
        <f t="shared" si="48"/>
        <v>NO EXISTE</v>
      </c>
      <c r="Q239" s="148" t="s">
        <v>2405</v>
      </c>
      <c r="R239" s="148" t="s">
        <v>594</v>
      </c>
      <c r="S239" s="148" t="s">
        <v>2406</v>
      </c>
      <c r="T239" s="149">
        <v>0.95</v>
      </c>
      <c r="U239" s="148" t="s">
        <v>591</v>
      </c>
      <c r="V239" s="150">
        <v>99.17</v>
      </c>
      <c r="W239" s="151">
        <v>2019.52</v>
      </c>
    </row>
    <row r="240" spans="1:23" ht="15" customHeight="1" x14ac:dyDescent="0.25">
      <c r="A240" s="148">
        <v>16923</v>
      </c>
      <c r="B240" s="148" t="s">
        <v>2410</v>
      </c>
      <c r="C240" s="143" t="s">
        <v>2504</v>
      </c>
      <c r="D240" s="143" t="s">
        <v>2504</v>
      </c>
      <c r="E240" s="143" t="s">
        <v>2504</v>
      </c>
      <c r="F240" s="143" t="s">
        <v>2504</v>
      </c>
      <c r="G240" s="143" t="s">
        <v>2504</v>
      </c>
      <c r="H240" s="143" t="s">
        <v>2504</v>
      </c>
      <c r="I240" s="143" t="str">
        <f t="shared" si="41"/>
        <v>NO EXISTE</v>
      </c>
      <c r="J240" s="143" t="str">
        <f t="shared" si="42"/>
        <v>NO EXISTE</v>
      </c>
      <c r="K240" s="143" t="str">
        <f t="shared" si="43"/>
        <v>NO EXISTE</v>
      </c>
      <c r="L240" s="143" t="str">
        <f t="shared" si="44"/>
        <v>NO EXISTE</v>
      </c>
      <c r="M240" s="143" t="str">
        <f t="shared" si="45"/>
        <v>NO EXISTE</v>
      </c>
      <c r="N240" s="143" t="str">
        <f t="shared" si="46"/>
        <v>NO EXISTE</v>
      </c>
      <c r="O240" s="143" t="str">
        <f t="shared" si="47"/>
        <v>NO EXISTE</v>
      </c>
      <c r="P240" s="143" t="str">
        <f t="shared" si="48"/>
        <v>NO EXISTE</v>
      </c>
      <c r="Q240" s="148" t="s">
        <v>2411</v>
      </c>
      <c r="R240" s="148" t="s">
        <v>594</v>
      </c>
      <c r="S240" s="148" t="s">
        <v>2214</v>
      </c>
      <c r="T240" s="149">
        <v>0.95</v>
      </c>
      <c r="U240" s="148" t="s">
        <v>591</v>
      </c>
      <c r="V240" s="150">
        <v>129.34</v>
      </c>
      <c r="W240" s="151">
        <v>20975.48</v>
      </c>
    </row>
    <row r="241" spans="1:23" ht="15" customHeight="1" x14ac:dyDescent="0.25">
      <c r="A241" s="148">
        <v>16953</v>
      </c>
      <c r="B241" s="148" t="s">
        <v>2435</v>
      </c>
      <c r="C241" s="143" t="s">
        <v>2504</v>
      </c>
      <c r="D241" s="143" t="s">
        <v>2504</v>
      </c>
      <c r="E241" s="143" t="s">
        <v>2504</v>
      </c>
      <c r="F241" s="143" t="s">
        <v>2504</v>
      </c>
      <c r="G241" s="143" t="s">
        <v>2504</v>
      </c>
      <c r="H241" s="143" t="s">
        <v>2504</v>
      </c>
      <c r="I241" s="143" t="str">
        <f t="shared" si="41"/>
        <v>NO EXISTE</v>
      </c>
      <c r="J241" s="143" t="str">
        <f t="shared" si="42"/>
        <v>NO EXISTE</v>
      </c>
      <c r="K241" s="143" t="str">
        <f t="shared" si="43"/>
        <v>NO EXISTE</v>
      </c>
      <c r="L241" s="143" t="str">
        <f t="shared" si="44"/>
        <v>NO EXISTE</v>
      </c>
      <c r="M241" s="143" t="str">
        <f t="shared" si="45"/>
        <v>NO EXISTE</v>
      </c>
      <c r="N241" s="143" t="str">
        <f t="shared" si="46"/>
        <v>NO EXISTE</v>
      </c>
      <c r="O241" s="143" t="str">
        <f t="shared" si="47"/>
        <v>NO EXISTE</v>
      </c>
      <c r="P241" s="143" t="str">
        <f t="shared" si="48"/>
        <v>NO EXISTE</v>
      </c>
      <c r="Q241" s="148" t="s">
        <v>2436</v>
      </c>
      <c r="R241" s="148" t="s">
        <v>594</v>
      </c>
      <c r="S241" s="148" t="s">
        <v>2257</v>
      </c>
      <c r="T241" s="149">
        <v>0.95</v>
      </c>
      <c r="U241" s="148" t="s">
        <v>591</v>
      </c>
      <c r="V241" s="150">
        <v>189.55</v>
      </c>
      <c r="W241" s="151">
        <v>2017.98</v>
      </c>
    </row>
    <row r="242" spans="1:23" ht="15" customHeight="1" x14ac:dyDescent="0.25">
      <c r="A242" s="148" t="s">
        <v>2437</v>
      </c>
      <c r="B242" s="148" t="s">
        <v>2438</v>
      </c>
      <c r="C242" s="143" t="s">
        <v>2504</v>
      </c>
      <c r="D242" s="143" t="s">
        <v>2504</v>
      </c>
      <c r="E242" s="143" t="s">
        <v>2504</v>
      </c>
      <c r="F242" s="143" t="s">
        <v>2504</v>
      </c>
      <c r="G242" s="143" t="s">
        <v>2504</v>
      </c>
      <c r="H242" s="143" t="s">
        <v>2504</v>
      </c>
      <c r="I242" s="143" t="str">
        <f t="shared" si="41"/>
        <v>NO EXISTE</v>
      </c>
      <c r="J242" s="143" t="str">
        <f t="shared" si="42"/>
        <v>NO EXISTE</v>
      </c>
      <c r="K242" s="143" t="str">
        <f t="shared" si="43"/>
        <v>NO EXISTE</v>
      </c>
      <c r="L242" s="143" t="str">
        <f t="shared" si="44"/>
        <v>NO EXISTE</v>
      </c>
      <c r="M242" s="143" t="str">
        <f t="shared" si="45"/>
        <v>NO EXISTE</v>
      </c>
      <c r="N242" s="143" t="str">
        <f t="shared" si="46"/>
        <v>NO EXISTE</v>
      </c>
      <c r="O242" s="143" t="str">
        <f t="shared" si="47"/>
        <v>NO EXISTE</v>
      </c>
      <c r="P242" s="143" t="str">
        <f t="shared" si="48"/>
        <v>NO EXISTE</v>
      </c>
      <c r="Q242" s="148" t="s">
        <v>2439</v>
      </c>
      <c r="R242" s="148" t="s">
        <v>630</v>
      </c>
      <c r="S242" s="148" t="s">
        <v>886</v>
      </c>
      <c r="T242" s="149">
        <v>1000</v>
      </c>
      <c r="U242" s="148" t="s">
        <v>591</v>
      </c>
      <c r="V242" s="150">
        <v>129836.41</v>
      </c>
      <c r="W242" s="151">
        <v>21028.12</v>
      </c>
    </row>
    <row r="243" spans="1:23" ht="15" customHeight="1" x14ac:dyDescent="0.25">
      <c r="A243" s="148" t="s">
        <v>2437</v>
      </c>
      <c r="B243" s="148" t="s">
        <v>2440</v>
      </c>
      <c r="C243" s="143" t="s">
        <v>2504</v>
      </c>
      <c r="D243" s="143" t="s">
        <v>2504</v>
      </c>
      <c r="E243" s="143" t="s">
        <v>2504</v>
      </c>
      <c r="F243" s="143" t="s">
        <v>2504</v>
      </c>
      <c r="G243" s="143" t="s">
        <v>2504</v>
      </c>
      <c r="H243" s="143" t="s">
        <v>2504</v>
      </c>
      <c r="I243" s="143" t="str">
        <f t="shared" si="41"/>
        <v>NO EXISTE</v>
      </c>
      <c r="J243" s="143" t="str">
        <f t="shared" si="42"/>
        <v>NO EXISTE</v>
      </c>
      <c r="K243" s="143" t="str">
        <f t="shared" si="43"/>
        <v>NO EXISTE</v>
      </c>
      <c r="L243" s="143" t="str">
        <f t="shared" si="44"/>
        <v>NO EXISTE</v>
      </c>
      <c r="M243" s="143" t="str">
        <f t="shared" si="45"/>
        <v>NO EXISTE</v>
      </c>
      <c r="N243" s="143" t="str">
        <f t="shared" si="46"/>
        <v>NO EXISTE</v>
      </c>
      <c r="O243" s="143" t="str">
        <f t="shared" si="47"/>
        <v>NO EXISTE</v>
      </c>
      <c r="P243" s="143" t="str">
        <f t="shared" si="48"/>
        <v>NO EXISTE</v>
      </c>
      <c r="Q243" s="148" t="s">
        <v>2441</v>
      </c>
      <c r="R243" s="148" t="s">
        <v>694</v>
      </c>
      <c r="S243" s="148" t="s">
        <v>695</v>
      </c>
      <c r="T243" s="149">
        <v>1000</v>
      </c>
      <c r="U243" s="148" t="s">
        <v>591</v>
      </c>
      <c r="V243" s="150">
        <v>134070.34</v>
      </c>
      <c r="W243" s="151">
        <v>1977.63</v>
      </c>
    </row>
    <row r="244" spans="1:23" ht="15" customHeight="1" x14ac:dyDescent="0.25">
      <c r="A244" s="148" t="s">
        <v>2437</v>
      </c>
      <c r="B244" s="148" t="s">
        <v>2442</v>
      </c>
      <c r="C244" s="143" t="s">
        <v>2504</v>
      </c>
      <c r="D244" s="143" t="s">
        <v>2504</v>
      </c>
      <c r="E244" s="143" t="s">
        <v>2504</v>
      </c>
      <c r="F244" s="143" t="s">
        <v>2504</v>
      </c>
      <c r="G244" s="143" t="s">
        <v>2504</v>
      </c>
      <c r="H244" s="143" t="s">
        <v>2504</v>
      </c>
      <c r="I244" s="143" t="str">
        <f t="shared" si="41"/>
        <v>NO EXISTE</v>
      </c>
      <c r="J244" s="143" t="str">
        <f t="shared" si="42"/>
        <v>NO EXISTE</v>
      </c>
      <c r="K244" s="143" t="str">
        <f t="shared" si="43"/>
        <v>NO EXISTE</v>
      </c>
      <c r="L244" s="143" t="str">
        <f t="shared" si="44"/>
        <v>NO EXISTE</v>
      </c>
      <c r="M244" s="143" t="str">
        <f t="shared" si="45"/>
        <v>NO EXISTE</v>
      </c>
      <c r="N244" s="143" t="str">
        <f t="shared" si="46"/>
        <v>NO EXISTE</v>
      </c>
      <c r="O244" s="143" t="str">
        <f t="shared" si="47"/>
        <v>NO EXISTE</v>
      </c>
      <c r="P244" s="143" t="str">
        <f t="shared" si="48"/>
        <v>NO EXISTE</v>
      </c>
      <c r="Q244" s="148" t="s">
        <v>2443</v>
      </c>
      <c r="R244" s="148" t="s">
        <v>630</v>
      </c>
      <c r="S244" s="148" t="s">
        <v>817</v>
      </c>
      <c r="T244" s="149">
        <v>1000</v>
      </c>
      <c r="U244" s="148" t="s">
        <v>591</v>
      </c>
      <c r="V244" s="150">
        <v>185530.56</v>
      </c>
      <c r="W244" s="151">
        <f>V244*4</f>
        <v>742122.24</v>
      </c>
    </row>
    <row r="245" spans="1:23" ht="15" customHeight="1" x14ac:dyDescent="0.25">
      <c r="A245" s="148" t="s">
        <v>2437</v>
      </c>
      <c r="B245" s="148" t="s">
        <v>2444</v>
      </c>
      <c r="C245" s="143" t="s">
        <v>2504</v>
      </c>
      <c r="D245" s="143" t="s">
        <v>2504</v>
      </c>
      <c r="E245" s="143" t="s">
        <v>2504</v>
      </c>
      <c r="F245" s="143" t="s">
        <v>2504</v>
      </c>
      <c r="G245" s="143" t="s">
        <v>2504</v>
      </c>
      <c r="H245" s="143" t="s">
        <v>2504</v>
      </c>
      <c r="I245" s="143" t="str">
        <f t="shared" si="41"/>
        <v>NO EXISTE</v>
      </c>
      <c r="J245" s="143" t="str">
        <f t="shared" si="42"/>
        <v>NO EXISTE</v>
      </c>
      <c r="K245" s="143" t="str">
        <f t="shared" si="43"/>
        <v>NO EXISTE</v>
      </c>
      <c r="L245" s="143" t="str">
        <f t="shared" si="44"/>
        <v>NO EXISTE</v>
      </c>
      <c r="M245" s="143" t="str">
        <f t="shared" si="45"/>
        <v>NO EXISTE</v>
      </c>
      <c r="N245" s="143" t="str">
        <f t="shared" si="46"/>
        <v>NO EXISTE</v>
      </c>
      <c r="O245" s="143" t="str">
        <f t="shared" si="47"/>
        <v>NO EXISTE</v>
      </c>
      <c r="P245" s="143" t="str">
        <f t="shared" si="48"/>
        <v>NO EXISTE</v>
      </c>
      <c r="Q245" s="148" t="s">
        <v>2445</v>
      </c>
      <c r="R245" s="148" t="s">
        <v>694</v>
      </c>
      <c r="S245" s="148" t="s">
        <v>927</v>
      </c>
      <c r="T245" s="149">
        <v>1000</v>
      </c>
      <c r="U245" s="148" t="s">
        <v>591</v>
      </c>
      <c r="V245" s="150">
        <v>88695.15</v>
      </c>
      <c r="W245" s="151">
        <f>V245*15</f>
        <v>1330427.25</v>
      </c>
    </row>
    <row r="246" spans="1:23" ht="15" customHeight="1" x14ac:dyDescent="0.25">
      <c r="A246" s="148" t="s">
        <v>2437</v>
      </c>
      <c r="B246" s="148" t="s">
        <v>2446</v>
      </c>
      <c r="C246" s="143" t="s">
        <v>2504</v>
      </c>
      <c r="D246" s="143" t="s">
        <v>2504</v>
      </c>
      <c r="E246" s="143" t="s">
        <v>2504</v>
      </c>
      <c r="F246" s="143" t="s">
        <v>2504</v>
      </c>
      <c r="G246" s="143" t="s">
        <v>2504</v>
      </c>
      <c r="H246" s="143" t="s">
        <v>2504</v>
      </c>
      <c r="I246" s="143" t="str">
        <f t="shared" si="41"/>
        <v>NO EXISTE</v>
      </c>
      <c r="J246" s="143" t="str">
        <f t="shared" si="42"/>
        <v>NO EXISTE</v>
      </c>
      <c r="K246" s="143" t="str">
        <f t="shared" si="43"/>
        <v>NO EXISTE</v>
      </c>
      <c r="L246" s="143" t="str">
        <f t="shared" si="44"/>
        <v>NO EXISTE</v>
      </c>
      <c r="M246" s="143" t="str">
        <f t="shared" si="45"/>
        <v>NO EXISTE</v>
      </c>
      <c r="N246" s="143" t="str">
        <f t="shared" si="46"/>
        <v>NO EXISTE</v>
      </c>
      <c r="O246" s="143" t="str">
        <f t="shared" si="47"/>
        <v>NO EXISTE</v>
      </c>
      <c r="P246" s="143" t="str">
        <f t="shared" si="48"/>
        <v>NO EXISTE</v>
      </c>
      <c r="Q246" s="148" t="s">
        <v>2447</v>
      </c>
      <c r="R246" s="148" t="s">
        <v>694</v>
      </c>
      <c r="S246" s="148" t="s">
        <v>698</v>
      </c>
      <c r="T246" s="149">
        <v>1000</v>
      </c>
      <c r="U246" s="148" t="s">
        <v>591</v>
      </c>
      <c r="V246" s="150">
        <v>117043.01</v>
      </c>
      <c r="W246" s="151">
        <f>V246*15</f>
        <v>1755645.15</v>
      </c>
    </row>
    <row r="247" spans="1:23" ht="15" customHeight="1" x14ac:dyDescent="0.25">
      <c r="A247" s="148" t="s">
        <v>2437</v>
      </c>
      <c r="B247" s="148" t="s">
        <v>2448</v>
      </c>
      <c r="C247" s="143" t="s">
        <v>2504</v>
      </c>
      <c r="D247" s="143" t="s">
        <v>2504</v>
      </c>
      <c r="E247" s="143" t="s">
        <v>2504</v>
      </c>
      <c r="F247" s="143" t="s">
        <v>2504</v>
      </c>
      <c r="G247" s="143" t="s">
        <v>2504</v>
      </c>
      <c r="H247" s="143" t="s">
        <v>2504</v>
      </c>
      <c r="I247" s="143" t="str">
        <f t="shared" si="41"/>
        <v>NO EXISTE</v>
      </c>
      <c r="J247" s="143" t="str">
        <f t="shared" si="42"/>
        <v>NO EXISTE</v>
      </c>
      <c r="K247" s="143" t="str">
        <f t="shared" si="43"/>
        <v>NO EXISTE</v>
      </c>
      <c r="L247" s="143" t="str">
        <f t="shared" si="44"/>
        <v>NO EXISTE</v>
      </c>
      <c r="M247" s="143" t="str">
        <f t="shared" si="45"/>
        <v>NO EXISTE</v>
      </c>
      <c r="N247" s="143" t="str">
        <f t="shared" si="46"/>
        <v>NO EXISTE</v>
      </c>
      <c r="O247" s="143" t="str">
        <f t="shared" si="47"/>
        <v>NO EXISTE</v>
      </c>
      <c r="P247" s="143" t="str">
        <f t="shared" si="48"/>
        <v>NO EXISTE</v>
      </c>
      <c r="Q247" s="148" t="s">
        <v>2449</v>
      </c>
      <c r="R247" s="148" t="s">
        <v>630</v>
      </c>
      <c r="S247" s="148" t="s">
        <v>2450</v>
      </c>
      <c r="T247" s="149">
        <v>1000</v>
      </c>
      <c r="U247" s="148" t="s">
        <v>591</v>
      </c>
      <c r="V247" s="150">
        <v>89551</v>
      </c>
      <c r="W247" s="151">
        <f>V247*6</f>
        <v>537306</v>
      </c>
    </row>
    <row r="248" spans="1:23" ht="15" customHeight="1" x14ac:dyDescent="0.25">
      <c r="A248" s="148" t="s">
        <v>2437</v>
      </c>
      <c r="B248" s="148" t="s">
        <v>2451</v>
      </c>
      <c r="C248" s="143" t="s">
        <v>2504</v>
      </c>
      <c r="D248" s="143" t="s">
        <v>2504</v>
      </c>
      <c r="E248" s="143" t="s">
        <v>2504</v>
      </c>
      <c r="F248" s="143" t="s">
        <v>2504</v>
      </c>
      <c r="G248" s="143" t="s">
        <v>2504</v>
      </c>
      <c r="H248" s="143" t="s">
        <v>2504</v>
      </c>
      <c r="I248" s="143" t="str">
        <f t="shared" si="41"/>
        <v>NO EXISTE</v>
      </c>
      <c r="J248" s="143" t="str">
        <f t="shared" si="42"/>
        <v>NO EXISTE</v>
      </c>
      <c r="K248" s="143" t="str">
        <f t="shared" si="43"/>
        <v>NO EXISTE</v>
      </c>
      <c r="L248" s="143" t="str">
        <f t="shared" si="44"/>
        <v>NO EXISTE</v>
      </c>
      <c r="M248" s="143" t="str">
        <f t="shared" si="45"/>
        <v>NO EXISTE</v>
      </c>
      <c r="N248" s="143" t="str">
        <f t="shared" si="46"/>
        <v>NO EXISTE</v>
      </c>
      <c r="O248" s="143" t="str">
        <f t="shared" si="47"/>
        <v>NO EXISTE</v>
      </c>
      <c r="P248" s="143" t="str">
        <f t="shared" si="48"/>
        <v>NO EXISTE</v>
      </c>
      <c r="Q248" s="148" t="s">
        <v>2452</v>
      </c>
      <c r="R248" s="148" t="s">
        <v>630</v>
      </c>
      <c r="S248" s="148" t="s">
        <v>631</v>
      </c>
      <c r="T248" s="149">
        <v>1000</v>
      </c>
      <c r="U248" s="148" t="s">
        <v>591</v>
      </c>
      <c r="V248" s="150">
        <v>89969.95</v>
      </c>
      <c r="W248" s="151">
        <v>2014.73</v>
      </c>
    </row>
    <row r="249" spans="1:23" ht="15" customHeight="1" x14ac:dyDescent="0.25">
      <c r="A249" s="148" t="s">
        <v>2437</v>
      </c>
      <c r="B249" s="148" t="s">
        <v>2453</v>
      </c>
      <c r="C249" s="143" t="s">
        <v>2504</v>
      </c>
      <c r="D249" s="143" t="s">
        <v>2504</v>
      </c>
      <c r="E249" s="143" t="s">
        <v>2504</v>
      </c>
      <c r="F249" s="143" t="s">
        <v>2504</v>
      </c>
      <c r="G249" s="143" t="s">
        <v>2504</v>
      </c>
      <c r="H249" s="143" t="s">
        <v>2504</v>
      </c>
      <c r="I249" s="143" t="str">
        <f t="shared" si="41"/>
        <v>NO EXISTE</v>
      </c>
      <c r="J249" s="143" t="str">
        <f t="shared" si="42"/>
        <v>NO EXISTE</v>
      </c>
      <c r="K249" s="143" t="str">
        <f t="shared" si="43"/>
        <v>NO EXISTE</v>
      </c>
      <c r="L249" s="143" t="str">
        <f t="shared" si="44"/>
        <v>NO EXISTE</v>
      </c>
      <c r="M249" s="143" t="str">
        <f t="shared" si="45"/>
        <v>NO EXISTE</v>
      </c>
      <c r="N249" s="143" t="str">
        <f t="shared" si="46"/>
        <v>NO EXISTE</v>
      </c>
      <c r="O249" s="143" t="str">
        <f t="shared" si="47"/>
        <v>NO EXISTE</v>
      </c>
      <c r="P249" s="143" t="str">
        <f t="shared" si="48"/>
        <v>NO EXISTE</v>
      </c>
      <c r="Q249" s="148" t="s">
        <v>2454</v>
      </c>
      <c r="R249" s="148" t="s">
        <v>630</v>
      </c>
      <c r="S249" s="148" t="s">
        <v>2450</v>
      </c>
      <c r="T249" s="149">
        <v>1000</v>
      </c>
      <c r="U249" s="148" t="s">
        <v>591</v>
      </c>
      <c r="V249" s="150">
        <v>109447.75</v>
      </c>
      <c r="W249" s="151">
        <v>1962.24</v>
      </c>
    </row>
    <row r="250" spans="1:23" ht="15" customHeight="1" x14ac:dyDescent="0.25">
      <c r="A250" s="148" t="s">
        <v>2437</v>
      </c>
      <c r="B250" s="148" t="s">
        <v>2455</v>
      </c>
      <c r="C250" s="143" t="s">
        <v>2504</v>
      </c>
      <c r="D250" s="143" t="s">
        <v>2504</v>
      </c>
      <c r="E250" s="143" t="s">
        <v>2504</v>
      </c>
      <c r="F250" s="143" t="s">
        <v>2504</v>
      </c>
      <c r="G250" s="143" t="s">
        <v>2504</v>
      </c>
      <c r="H250" s="143" t="s">
        <v>2504</v>
      </c>
      <c r="I250" s="143" t="str">
        <f t="shared" si="41"/>
        <v>NO EXISTE</v>
      </c>
      <c r="J250" s="143" t="str">
        <f t="shared" si="42"/>
        <v>NO EXISTE</v>
      </c>
      <c r="K250" s="143" t="str">
        <f t="shared" si="43"/>
        <v>NO EXISTE</v>
      </c>
      <c r="L250" s="143" t="str">
        <f t="shared" si="44"/>
        <v>NO EXISTE</v>
      </c>
      <c r="M250" s="143" t="str">
        <f t="shared" si="45"/>
        <v>NO EXISTE</v>
      </c>
      <c r="N250" s="143" t="str">
        <f t="shared" si="46"/>
        <v>NO EXISTE</v>
      </c>
      <c r="O250" s="143" t="str">
        <f t="shared" si="47"/>
        <v>NO EXISTE</v>
      </c>
      <c r="P250" s="143" t="str">
        <f t="shared" si="48"/>
        <v>NO EXISTE</v>
      </c>
      <c r="Q250" s="148" t="s">
        <v>2456</v>
      </c>
      <c r="R250" s="148" t="s">
        <v>630</v>
      </c>
      <c r="S250" s="148" t="s">
        <v>631</v>
      </c>
      <c r="T250" s="149">
        <v>1000</v>
      </c>
      <c r="U250" s="148" t="s">
        <v>591</v>
      </c>
      <c r="V250" s="150">
        <v>84446.87</v>
      </c>
      <c r="W250" s="151">
        <v>2007.48</v>
      </c>
    </row>
    <row r="251" spans="1:23" ht="15" customHeight="1" x14ac:dyDescent="0.25">
      <c r="A251" s="148" t="s">
        <v>2437</v>
      </c>
      <c r="B251" s="148" t="s">
        <v>2457</v>
      </c>
      <c r="C251" s="143" t="s">
        <v>2504</v>
      </c>
      <c r="D251" s="143" t="s">
        <v>2504</v>
      </c>
      <c r="E251" s="143" t="s">
        <v>2504</v>
      </c>
      <c r="F251" s="143" t="s">
        <v>2504</v>
      </c>
      <c r="G251" s="143" t="s">
        <v>2504</v>
      </c>
      <c r="H251" s="143" t="s">
        <v>2504</v>
      </c>
      <c r="I251" s="143" t="str">
        <f t="shared" si="41"/>
        <v>NO EXISTE</v>
      </c>
      <c r="J251" s="143" t="str">
        <f t="shared" si="42"/>
        <v>NO EXISTE</v>
      </c>
      <c r="K251" s="143" t="str">
        <f t="shared" si="43"/>
        <v>NO EXISTE</v>
      </c>
      <c r="L251" s="143" t="str">
        <f t="shared" si="44"/>
        <v>NO EXISTE</v>
      </c>
      <c r="M251" s="143" t="str">
        <f t="shared" si="45"/>
        <v>NO EXISTE</v>
      </c>
      <c r="N251" s="143" t="str">
        <f t="shared" si="46"/>
        <v>NO EXISTE</v>
      </c>
      <c r="O251" s="143" t="str">
        <f t="shared" si="47"/>
        <v>NO EXISTE</v>
      </c>
      <c r="P251" s="143" t="str">
        <f t="shared" si="48"/>
        <v>NO EXISTE</v>
      </c>
      <c r="Q251" s="148" t="s">
        <v>2458</v>
      </c>
      <c r="R251" s="148" t="s">
        <v>630</v>
      </c>
      <c r="S251" s="148" t="s">
        <v>2450</v>
      </c>
      <c r="T251" s="149">
        <v>1000</v>
      </c>
      <c r="U251" s="148" t="s">
        <v>591</v>
      </c>
      <c r="V251" s="150">
        <v>92977.74</v>
      </c>
      <c r="W251" s="151">
        <v>20848.95</v>
      </c>
    </row>
    <row r="252" spans="1:23" ht="15" customHeight="1" x14ac:dyDescent="0.25">
      <c r="A252" s="148" t="s">
        <v>2437</v>
      </c>
      <c r="B252" s="148" t="s">
        <v>2459</v>
      </c>
      <c r="C252" s="143" t="s">
        <v>2504</v>
      </c>
      <c r="D252" s="143" t="s">
        <v>2504</v>
      </c>
      <c r="E252" s="143" t="s">
        <v>2504</v>
      </c>
      <c r="F252" s="143" t="s">
        <v>2504</v>
      </c>
      <c r="G252" s="143" t="s">
        <v>2504</v>
      </c>
      <c r="H252" s="143" t="s">
        <v>2504</v>
      </c>
      <c r="I252" s="143" t="str">
        <f t="shared" si="41"/>
        <v>NO EXISTE</v>
      </c>
      <c r="J252" s="143" t="str">
        <f t="shared" si="42"/>
        <v>NO EXISTE</v>
      </c>
      <c r="K252" s="143" t="str">
        <f t="shared" si="43"/>
        <v>NO EXISTE</v>
      </c>
      <c r="L252" s="143" t="str">
        <f t="shared" si="44"/>
        <v>NO EXISTE</v>
      </c>
      <c r="M252" s="143" t="str">
        <f t="shared" si="45"/>
        <v>NO EXISTE</v>
      </c>
      <c r="N252" s="143" t="str">
        <f t="shared" si="46"/>
        <v>NO EXISTE</v>
      </c>
      <c r="O252" s="143" t="str">
        <f t="shared" si="47"/>
        <v>NO EXISTE</v>
      </c>
      <c r="P252" s="143" t="str">
        <f t="shared" si="48"/>
        <v>NO EXISTE</v>
      </c>
      <c r="Q252" s="148" t="s">
        <v>2460</v>
      </c>
      <c r="R252" s="148" t="s">
        <v>630</v>
      </c>
      <c r="S252" s="148" t="s">
        <v>812</v>
      </c>
      <c r="T252" s="149">
        <v>1000</v>
      </c>
      <c r="U252" s="148" t="s">
        <v>591</v>
      </c>
      <c r="V252" s="150">
        <v>202027.31</v>
      </c>
      <c r="W252" s="151">
        <f>V252*16</f>
        <v>3232436.96</v>
      </c>
    </row>
    <row r="253" spans="1:23" ht="15" customHeight="1" x14ac:dyDescent="0.25">
      <c r="A253" s="148" t="s">
        <v>2437</v>
      </c>
      <c r="B253" s="148" t="s">
        <v>2461</v>
      </c>
      <c r="C253" s="143" t="s">
        <v>2504</v>
      </c>
      <c r="D253" s="143" t="s">
        <v>2504</v>
      </c>
      <c r="E253" s="143" t="s">
        <v>2504</v>
      </c>
      <c r="F253" s="143" t="s">
        <v>2504</v>
      </c>
      <c r="G253" s="143" t="s">
        <v>2504</v>
      </c>
      <c r="H253" s="143" t="s">
        <v>2504</v>
      </c>
      <c r="I253" s="143" t="str">
        <f t="shared" si="41"/>
        <v>NO EXISTE</v>
      </c>
      <c r="J253" s="143" t="str">
        <f t="shared" si="42"/>
        <v>NO EXISTE</v>
      </c>
      <c r="K253" s="143" t="str">
        <f t="shared" si="43"/>
        <v>NO EXISTE</v>
      </c>
      <c r="L253" s="143" t="str">
        <f t="shared" si="44"/>
        <v>NO EXISTE</v>
      </c>
      <c r="M253" s="143" t="str">
        <f t="shared" si="45"/>
        <v>NO EXISTE</v>
      </c>
      <c r="N253" s="143" t="str">
        <f t="shared" si="46"/>
        <v>NO EXISTE</v>
      </c>
      <c r="O253" s="143" t="str">
        <f t="shared" si="47"/>
        <v>NO EXISTE</v>
      </c>
      <c r="P253" s="143" t="str">
        <f t="shared" si="48"/>
        <v>NO EXISTE</v>
      </c>
      <c r="Q253" s="148" t="s">
        <v>2462</v>
      </c>
      <c r="R253" s="148" t="s">
        <v>630</v>
      </c>
      <c r="S253" s="148" t="s">
        <v>1009</v>
      </c>
      <c r="T253" s="149">
        <v>1000</v>
      </c>
      <c r="U253" s="148" t="s">
        <v>591</v>
      </c>
      <c r="V253" s="150">
        <v>155273.43</v>
      </c>
      <c r="W253" s="151">
        <f>V253*1000</f>
        <v>155273430</v>
      </c>
    </row>
    <row r="254" spans="1:23" ht="15" customHeight="1" x14ac:dyDescent="0.25">
      <c r="A254" s="148" t="s">
        <v>2437</v>
      </c>
      <c r="B254" s="148" t="s">
        <v>2463</v>
      </c>
      <c r="C254" s="143" t="s">
        <v>2504</v>
      </c>
      <c r="D254" s="143" t="s">
        <v>2504</v>
      </c>
      <c r="E254" s="143" t="s">
        <v>2504</v>
      </c>
      <c r="F254" s="143" t="s">
        <v>2504</v>
      </c>
      <c r="G254" s="143" t="s">
        <v>2504</v>
      </c>
      <c r="H254" s="143" t="s">
        <v>2504</v>
      </c>
      <c r="I254" s="143" t="str">
        <f t="shared" si="41"/>
        <v>NO EXISTE</v>
      </c>
      <c r="J254" s="143" t="str">
        <f t="shared" si="42"/>
        <v>NO EXISTE</v>
      </c>
      <c r="K254" s="143" t="str">
        <f t="shared" si="43"/>
        <v>NO EXISTE</v>
      </c>
      <c r="L254" s="143" t="str">
        <f t="shared" si="44"/>
        <v>NO EXISTE</v>
      </c>
      <c r="M254" s="143" t="str">
        <f t="shared" si="45"/>
        <v>NO EXISTE</v>
      </c>
      <c r="N254" s="143" t="str">
        <f t="shared" si="46"/>
        <v>NO EXISTE</v>
      </c>
      <c r="O254" s="143" t="str">
        <f t="shared" si="47"/>
        <v>NO EXISTE</v>
      </c>
      <c r="P254" s="143" t="str">
        <f t="shared" si="48"/>
        <v>NO EXISTE</v>
      </c>
      <c r="Q254" s="148" t="s">
        <v>2464</v>
      </c>
      <c r="R254" s="148" t="s">
        <v>630</v>
      </c>
      <c r="S254" s="148" t="s">
        <v>835</v>
      </c>
      <c r="T254" s="149">
        <v>1000</v>
      </c>
      <c r="U254" s="148" t="s">
        <v>591</v>
      </c>
      <c r="V254" s="150">
        <v>99269.15</v>
      </c>
      <c r="W254" s="151">
        <f>V254*15</f>
        <v>1489037.25</v>
      </c>
    </row>
    <row r="255" spans="1:23" ht="15" customHeight="1" x14ac:dyDescent="0.25">
      <c r="A255" s="148" t="s">
        <v>2437</v>
      </c>
      <c r="B255" s="148" t="s">
        <v>2465</v>
      </c>
      <c r="C255" s="143" t="s">
        <v>2504</v>
      </c>
      <c r="D255" s="143" t="s">
        <v>2504</v>
      </c>
      <c r="E255" s="143" t="s">
        <v>2504</v>
      </c>
      <c r="F255" s="143" t="s">
        <v>2504</v>
      </c>
      <c r="G255" s="143" t="s">
        <v>2504</v>
      </c>
      <c r="H255" s="143" t="s">
        <v>2504</v>
      </c>
      <c r="I255" s="143" t="str">
        <f t="shared" si="41"/>
        <v>NO EXISTE</v>
      </c>
      <c r="J255" s="143" t="str">
        <f t="shared" si="42"/>
        <v>NO EXISTE</v>
      </c>
      <c r="K255" s="143" t="str">
        <f t="shared" si="43"/>
        <v>NO EXISTE</v>
      </c>
      <c r="L255" s="143" t="str">
        <f t="shared" si="44"/>
        <v>NO EXISTE</v>
      </c>
      <c r="M255" s="143" t="str">
        <f t="shared" si="45"/>
        <v>NO EXISTE</v>
      </c>
      <c r="N255" s="143" t="str">
        <f t="shared" si="46"/>
        <v>NO EXISTE</v>
      </c>
      <c r="O255" s="143" t="str">
        <f t="shared" si="47"/>
        <v>NO EXISTE</v>
      </c>
      <c r="P255" s="143" t="str">
        <f t="shared" si="48"/>
        <v>NO EXISTE</v>
      </c>
      <c r="Q255" s="148" t="s">
        <v>2466</v>
      </c>
      <c r="R255" s="148" t="s">
        <v>630</v>
      </c>
      <c r="S255" s="148" t="s">
        <v>840</v>
      </c>
      <c r="T255" s="149">
        <v>1000</v>
      </c>
      <c r="U255" s="148" t="s">
        <v>591</v>
      </c>
      <c r="V255" s="150">
        <v>113930.69</v>
      </c>
      <c r="W255" s="151">
        <v>2705.2</v>
      </c>
    </row>
    <row r="256" spans="1:23" ht="15" customHeight="1" x14ac:dyDescent="0.25">
      <c r="A256" s="148" t="s">
        <v>2437</v>
      </c>
      <c r="B256" s="148" t="s">
        <v>2467</v>
      </c>
      <c r="C256" s="143" t="s">
        <v>2504</v>
      </c>
      <c r="D256" s="143" t="s">
        <v>2504</v>
      </c>
      <c r="E256" s="143" t="s">
        <v>2504</v>
      </c>
      <c r="F256" s="143" t="s">
        <v>2504</v>
      </c>
      <c r="G256" s="143" t="s">
        <v>2504</v>
      </c>
      <c r="H256" s="143" t="s">
        <v>2504</v>
      </c>
      <c r="I256" s="143" t="str">
        <f t="shared" si="41"/>
        <v>NO EXISTE</v>
      </c>
      <c r="J256" s="143" t="str">
        <f t="shared" si="42"/>
        <v>NO EXISTE</v>
      </c>
      <c r="K256" s="143" t="str">
        <f t="shared" si="43"/>
        <v>NO EXISTE</v>
      </c>
      <c r="L256" s="143" t="str">
        <f t="shared" si="44"/>
        <v>NO EXISTE</v>
      </c>
      <c r="M256" s="143" t="str">
        <f t="shared" si="45"/>
        <v>NO EXISTE</v>
      </c>
      <c r="N256" s="143" t="str">
        <f t="shared" si="46"/>
        <v>NO EXISTE</v>
      </c>
      <c r="O256" s="143" t="str">
        <f t="shared" si="47"/>
        <v>NO EXISTE</v>
      </c>
      <c r="P256" s="143" t="str">
        <f t="shared" si="48"/>
        <v>NO EXISTE</v>
      </c>
      <c r="Q256" s="148" t="s">
        <v>2468</v>
      </c>
      <c r="R256" s="148" t="s">
        <v>630</v>
      </c>
      <c r="S256" s="148" t="s">
        <v>886</v>
      </c>
      <c r="T256" s="149">
        <v>1000</v>
      </c>
      <c r="U256" s="148" t="s">
        <v>591</v>
      </c>
      <c r="V256" s="150">
        <v>105580.69</v>
      </c>
      <c r="W256" s="151">
        <v>28167.87</v>
      </c>
    </row>
    <row r="257" spans="1:23" ht="15" customHeight="1" x14ac:dyDescent="0.25">
      <c r="A257" s="148" t="s">
        <v>2437</v>
      </c>
      <c r="B257" s="148" t="s">
        <v>2469</v>
      </c>
      <c r="C257" s="143" t="s">
        <v>2504</v>
      </c>
      <c r="D257" s="143" t="s">
        <v>2504</v>
      </c>
      <c r="E257" s="143" t="s">
        <v>2504</v>
      </c>
      <c r="F257" s="143" t="s">
        <v>2504</v>
      </c>
      <c r="G257" s="143" t="s">
        <v>2504</v>
      </c>
      <c r="H257" s="143" t="s">
        <v>2504</v>
      </c>
      <c r="I257" s="143" t="str">
        <f t="shared" si="41"/>
        <v>NO EXISTE</v>
      </c>
      <c r="J257" s="143" t="str">
        <f t="shared" si="42"/>
        <v>NO EXISTE</v>
      </c>
      <c r="K257" s="143" t="str">
        <f t="shared" si="43"/>
        <v>NO EXISTE</v>
      </c>
      <c r="L257" s="143" t="str">
        <f t="shared" si="44"/>
        <v>NO EXISTE</v>
      </c>
      <c r="M257" s="143" t="str">
        <f t="shared" si="45"/>
        <v>NO EXISTE</v>
      </c>
      <c r="N257" s="143" t="str">
        <f t="shared" si="46"/>
        <v>NO EXISTE</v>
      </c>
      <c r="O257" s="143" t="str">
        <f t="shared" si="47"/>
        <v>NO EXISTE</v>
      </c>
      <c r="P257" s="143" t="str">
        <f t="shared" si="48"/>
        <v>NO EXISTE</v>
      </c>
      <c r="Q257" s="148" t="s">
        <v>2470</v>
      </c>
      <c r="R257" s="148" t="s">
        <v>630</v>
      </c>
      <c r="S257" s="148" t="s">
        <v>2195</v>
      </c>
      <c r="T257" s="149">
        <v>1000</v>
      </c>
      <c r="U257" s="148" t="s">
        <v>591</v>
      </c>
      <c r="V257" s="150">
        <v>109071.37</v>
      </c>
      <c r="W257" s="151">
        <v>2261.34</v>
      </c>
    </row>
    <row r="258" spans="1:23" ht="15" customHeight="1" x14ac:dyDescent="0.25">
      <c r="A258" s="148" t="s">
        <v>2437</v>
      </c>
      <c r="B258" s="148" t="s">
        <v>2471</v>
      </c>
      <c r="C258" s="143" t="s">
        <v>2504</v>
      </c>
      <c r="D258" s="143" t="s">
        <v>2504</v>
      </c>
      <c r="E258" s="143" t="s">
        <v>2504</v>
      </c>
      <c r="F258" s="143" t="s">
        <v>2504</v>
      </c>
      <c r="G258" s="143" t="s">
        <v>2504</v>
      </c>
      <c r="H258" s="143" t="s">
        <v>2504</v>
      </c>
      <c r="I258" s="143" t="str">
        <f t="shared" si="41"/>
        <v>NO EXISTE</v>
      </c>
      <c r="J258" s="143" t="str">
        <f t="shared" si="42"/>
        <v>NO EXISTE</v>
      </c>
      <c r="K258" s="143" t="str">
        <f t="shared" si="43"/>
        <v>NO EXISTE</v>
      </c>
      <c r="L258" s="143" t="str">
        <f t="shared" si="44"/>
        <v>NO EXISTE</v>
      </c>
      <c r="M258" s="143" t="str">
        <f t="shared" si="45"/>
        <v>NO EXISTE</v>
      </c>
      <c r="N258" s="143" t="str">
        <f t="shared" si="46"/>
        <v>NO EXISTE</v>
      </c>
      <c r="O258" s="143" t="str">
        <f t="shared" si="47"/>
        <v>NO EXISTE</v>
      </c>
      <c r="P258" s="143" t="str">
        <f t="shared" si="48"/>
        <v>NO EXISTE</v>
      </c>
      <c r="Q258" s="148" t="s">
        <v>2472</v>
      </c>
      <c r="R258" s="148" t="s">
        <v>630</v>
      </c>
      <c r="S258" s="148" t="s">
        <v>817</v>
      </c>
      <c r="T258" s="149">
        <v>1000</v>
      </c>
      <c r="U258" s="148" t="s">
        <v>591</v>
      </c>
      <c r="V258" s="150">
        <v>175519.38</v>
      </c>
      <c r="W258" s="151">
        <v>23683.84</v>
      </c>
    </row>
    <row r="259" spans="1:23" ht="15" customHeight="1" x14ac:dyDescent="0.25">
      <c r="A259" s="148" t="s">
        <v>2437</v>
      </c>
      <c r="B259" s="148" t="s">
        <v>2473</v>
      </c>
      <c r="C259" s="143" t="s">
        <v>2504</v>
      </c>
      <c r="D259" s="143" t="s">
        <v>2504</v>
      </c>
      <c r="E259" s="143" t="s">
        <v>2504</v>
      </c>
      <c r="F259" s="143" t="s">
        <v>2504</v>
      </c>
      <c r="G259" s="143" t="s">
        <v>2504</v>
      </c>
      <c r="H259" s="143" t="s">
        <v>2504</v>
      </c>
      <c r="I259" s="143" t="str">
        <f t="shared" si="41"/>
        <v>NO EXISTE</v>
      </c>
      <c r="J259" s="143" t="str">
        <f t="shared" si="42"/>
        <v>NO EXISTE</v>
      </c>
      <c r="K259" s="143" t="str">
        <f t="shared" si="43"/>
        <v>NO EXISTE</v>
      </c>
      <c r="L259" s="143" t="str">
        <f t="shared" si="44"/>
        <v>NO EXISTE</v>
      </c>
      <c r="M259" s="143" t="str">
        <f t="shared" si="45"/>
        <v>NO EXISTE</v>
      </c>
      <c r="N259" s="143" t="str">
        <f t="shared" si="46"/>
        <v>NO EXISTE</v>
      </c>
      <c r="O259" s="143" t="str">
        <f t="shared" si="47"/>
        <v>NO EXISTE</v>
      </c>
      <c r="P259" s="143" t="str">
        <f t="shared" si="48"/>
        <v>NO EXISTE</v>
      </c>
      <c r="Q259" s="148" t="s">
        <v>2474</v>
      </c>
      <c r="R259" s="148" t="s">
        <v>606</v>
      </c>
      <c r="S259" s="148" t="s">
        <v>2475</v>
      </c>
      <c r="T259" s="149">
        <v>200</v>
      </c>
      <c r="U259" s="148" t="s">
        <v>591</v>
      </c>
      <c r="V259" s="150">
        <v>28863.08</v>
      </c>
      <c r="W259" s="151">
        <f>V259*1000</f>
        <v>28863080</v>
      </c>
    </row>
    <row r="260" spans="1:23" ht="15" customHeight="1" x14ac:dyDescent="0.25">
      <c r="A260" s="148" t="s">
        <v>2437</v>
      </c>
      <c r="B260" s="148" t="s">
        <v>2476</v>
      </c>
      <c r="C260" s="143" t="s">
        <v>2504</v>
      </c>
      <c r="D260" s="143" t="s">
        <v>2504</v>
      </c>
      <c r="E260" s="143" t="s">
        <v>2504</v>
      </c>
      <c r="F260" s="143" t="s">
        <v>2504</v>
      </c>
      <c r="G260" s="143" t="s">
        <v>2504</v>
      </c>
      <c r="H260" s="143" t="s">
        <v>2504</v>
      </c>
      <c r="I260" s="143" t="str">
        <f t="shared" si="41"/>
        <v>NO EXISTE</v>
      </c>
      <c r="J260" s="143" t="str">
        <f t="shared" si="42"/>
        <v>NO EXISTE</v>
      </c>
      <c r="K260" s="143" t="str">
        <f t="shared" si="43"/>
        <v>NO EXISTE</v>
      </c>
      <c r="L260" s="143" t="str">
        <f t="shared" si="44"/>
        <v>NO EXISTE</v>
      </c>
      <c r="M260" s="143" t="str">
        <f t="shared" si="45"/>
        <v>NO EXISTE</v>
      </c>
      <c r="N260" s="143" t="str">
        <f t="shared" si="46"/>
        <v>NO EXISTE</v>
      </c>
      <c r="O260" s="143" t="str">
        <f t="shared" si="47"/>
        <v>NO EXISTE</v>
      </c>
      <c r="P260" s="143" t="str">
        <f t="shared" si="48"/>
        <v>NO EXISTE</v>
      </c>
      <c r="Q260" s="148" t="s">
        <v>2477</v>
      </c>
      <c r="R260" s="148" t="s">
        <v>594</v>
      </c>
      <c r="S260" s="148" t="s">
        <v>2257</v>
      </c>
      <c r="T260" s="149">
        <v>200</v>
      </c>
      <c r="U260" s="148" t="s">
        <v>591</v>
      </c>
      <c r="V260" s="150">
        <v>38764.86</v>
      </c>
      <c r="W260" s="151">
        <v>1734.71</v>
      </c>
    </row>
    <row r="261" spans="1:23" ht="15" customHeight="1" x14ac:dyDescent="0.25">
      <c r="A261" s="148" t="s">
        <v>2437</v>
      </c>
      <c r="B261" s="148" t="s">
        <v>2482</v>
      </c>
      <c r="C261" s="143" t="s">
        <v>2504</v>
      </c>
      <c r="D261" s="143" t="s">
        <v>2504</v>
      </c>
      <c r="E261" s="143" t="s">
        <v>2504</v>
      </c>
      <c r="F261" s="143" t="s">
        <v>2504</v>
      </c>
      <c r="G261" s="143" t="s">
        <v>2504</v>
      </c>
      <c r="H261" s="143" t="s">
        <v>2504</v>
      </c>
      <c r="I261" s="143" t="str">
        <f t="shared" si="41"/>
        <v>NO EXISTE</v>
      </c>
      <c r="J261" s="143" t="str">
        <f t="shared" si="42"/>
        <v>NO EXISTE</v>
      </c>
      <c r="K261" s="143" t="str">
        <f t="shared" si="43"/>
        <v>NO EXISTE</v>
      </c>
      <c r="L261" s="143" t="str">
        <f t="shared" si="44"/>
        <v>NO EXISTE</v>
      </c>
      <c r="M261" s="143" t="str">
        <f t="shared" si="45"/>
        <v>NO EXISTE</v>
      </c>
      <c r="N261" s="143" t="str">
        <f t="shared" si="46"/>
        <v>NO EXISTE</v>
      </c>
      <c r="O261" s="143" t="str">
        <f t="shared" si="47"/>
        <v>NO EXISTE</v>
      </c>
      <c r="P261" s="143" t="str">
        <f t="shared" si="48"/>
        <v>NO EXISTE</v>
      </c>
      <c r="Q261" s="148" t="s">
        <v>2483</v>
      </c>
      <c r="R261" s="148" t="s">
        <v>630</v>
      </c>
      <c r="S261" s="148" t="s">
        <v>631</v>
      </c>
      <c r="T261" s="149">
        <v>1</v>
      </c>
      <c r="U261" s="148" t="s">
        <v>591</v>
      </c>
      <c r="V261" s="150">
        <v>87.18</v>
      </c>
      <c r="W261" s="151">
        <v>1979.93</v>
      </c>
    </row>
    <row r="262" spans="1:23" ht="15" customHeight="1" x14ac:dyDescent="0.25">
      <c r="A262" s="148" t="s">
        <v>2437</v>
      </c>
      <c r="B262" s="148" t="s">
        <v>2484</v>
      </c>
      <c r="C262" s="143" t="s">
        <v>2504</v>
      </c>
      <c r="D262" s="143" t="s">
        <v>2504</v>
      </c>
      <c r="E262" s="143" t="s">
        <v>2504</v>
      </c>
      <c r="F262" s="143" t="s">
        <v>2504</v>
      </c>
      <c r="G262" s="143" t="s">
        <v>2504</v>
      </c>
      <c r="H262" s="143" t="s">
        <v>2504</v>
      </c>
      <c r="I262" s="143" t="str">
        <f t="shared" si="41"/>
        <v>NO EXISTE</v>
      </c>
      <c r="J262" s="143" t="str">
        <f t="shared" si="42"/>
        <v>NO EXISTE</v>
      </c>
      <c r="K262" s="143" t="str">
        <f t="shared" si="43"/>
        <v>NO EXISTE</v>
      </c>
      <c r="L262" s="143" t="str">
        <f t="shared" si="44"/>
        <v>NO EXISTE</v>
      </c>
      <c r="M262" s="143" t="str">
        <f t="shared" si="45"/>
        <v>NO EXISTE</v>
      </c>
      <c r="N262" s="143" t="str">
        <f t="shared" si="46"/>
        <v>NO EXISTE</v>
      </c>
      <c r="O262" s="143" t="str">
        <f t="shared" si="47"/>
        <v>NO EXISTE</v>
      </c>
      <c r="P262" s="143" t="str">
        <f t="shared" si="48"/>
        <v>NO EXISTE</v>
      </c>
      <c r="Q262" s="148" t="s">
        <v>2485</v>
      </c>
      <c r="R262" s="148" t="s">
        <v>606</v>
      </c>
      <c r="S262" s="148" t="s">
        <v>607</v>
      </c>
      <c r="T262" s="149">
        <v>1</v>
      </c>
      <c r="U262" s="148" t="s">
        <v>591</v>
      </c>
      <c r="V262" s="150">
        <v>110.82</v>
      </c>
      <c r="W262" s="151">
        <v>792.14</v>
      </c>
    </row>
    <row r="263" spans="1:23" ht="15" customHeight="1" x14ac:dyDescent="0.25">
      <c r="A263" s="148" t="s">
        <v>2437</v>
      </c>
      <c r="B263" s="148" t="s">
        <v>2486</v>
      </c>
      <c r="C263" s="143" t="s">
        <v>2504</v>
      </c>
      <c r="D263" s="143" t="s">
        <v>2504</v>
      </c>
      <c r="E263" s="143" t="s">
        <v>2504</v>
      </c>
      <c r="F263" s="143" t="s">
        <v>2504</v>
      </c>
      <c r="G263" s="143" t="s">
        <v>2504</v>
      </c>
      <c r="H263" s="143" t="s">
        <v>2504</v>
      </c>
      <c r="I263" s="143" t="str">
        <f t="shared" si="41"/>
        <v>NO EXISTE</v>
      </c>
      <c r="J263" s="143" t="str">
        <f t="shared" si="42"/>
        <v>NO EXISTE</v>
      </c>
      <c r="K263" s="143" t="str">
        <f t="shared" si="43"/>
        <v>NO EXISTE</v>
      </c>
      <c r="L263" s="143" t="str">
        <f t="shared" si="44"/>
        <v>NO EXISTE</v>
      </c>
      <c r="M263" s="143" t="str">
        <f t="shared" si="45"/>
        <v>NO EXISTE</v>
      </c>
      <c r="N263" s="143" t="str">
        <f t="shared" si="46"/>
        <v>NO EXISTE</v>
      </c>
      <c r="O263" s="143" t="str">
        <f t="shared" si="47"/>
        <v>NO EXISTE</v>
      </c>
      <c r="P263" s="143" t="str">
        <f t="shared" si="48"/>
        <v>NO EXISTE</v>
      </c>
      <c r="Q263" s="148" t="s">
        <v>2487</v>
      </c>
      <c r="R263" s="148" t="s">
        <v>705</v>
      </c>
      <c r="S263" s="148" t="s">
        <v>2026</v>
      </c>
      <c r="T263" s="149">
        <v>16</v>
      </c>
      <c r="U263" s="148" t="s">
        <v>591</v>
      </c>
      <c r="V263" s="150">
        <v>3880.43</v>
      </c>
      <c r="W263" s="151">
        <v>793.04</v>
      </c>
    </row>
    <row r="264" spans="1:23" ht="15" customHeight="1" x14ac:dyDescent="0.25">
      <c r="A264" s="148" t="s">
        <v>2437</v>
      </c>
      <c r="B264" s="148" t="s">
        <v>2488</v>
      </c>
      <c r="C264" s="143" t="s">
        <v>2504</v>
      </c>
      <c r="D264" s="143" t="s">
        <v>2504</v>
      </c>
      <c r="E264" s="143" t="s">
        <v>2504</v>
      </c>
      <c r="F264" s="143" t="s">
        <v>2504</v>
      </c>
      <c r="G264" s="143" t="s">
        <v>2504</v>
      </c>
      <c r="H264" s="143" t="s">
        <v>2504</v>
      </c>
      <c r="I264" s="143" t="str">
        <f t="shared" si="41"/>
        <v>NO EXISTE</v>
      </c>
      <c r="J264" s="143" t="str">
        <f t="shared" si="42"/>
        <v>NO EXISTE</v>
      </c>
      <c r="K264" s="143" t="str">
        <f t="shared" si="43"/>
        <v>NO EXISTE</v>
      </c>
      <c r="L264" s="143" t="str">
        <f t="shared" si="44"/>
        <v>NO EXISTE</v>
      </c>
      <c r="M264" s="143" t="str">
        <f t="shared" si="45"/>
        <v>NO EXISTE</v>
      </c>
      <c r="N264" s="143" t="str">
        <f t="shared" si="46"/>
        <v>NO EXISTE</v>
      </c>
      <c r="O264" s="143" t="str">
        <f t="shared" si="47"/>
        <v>NO EXISTE</v>
      </c>
      <c r="P264" s="143" t="str">
        <f t="shared" si="48"/>
        <v>NO EXISTE</v>
      </c>
      <c r="Q264" s="148" t="s">
        <v>2489</v>
      </c>
      <c r="R264" s="148" t="s">
        <v>1025</v>
      </c>
      <c r="S264" s="148" t="s">
        <v>1206</v>
      </c>
      <c r="T264" s="149">
        <v>200</v>
      </c>
      <c r="U264" s="148" t="s">
        <v>591</v>
      </c>
      <c r="V264" s="150">
        <v>32490.44</v>
      </c>
      <c r="W264" s="151">
        <v>9109.77</v>
      </c>
    </row>
    <row r="265" spans="1:23" ht="15" customHeight="1" x14ac:dyDescent="0.25">
      <c r="A265" s="148" t="s">
        <v>2437</v>
      </c>
      <c r="B265" s="148" t="s">
        <v>2491</v>
      </c>
      <c r="C265" s="143" t="s">
        <v>2504</v>
      </c>
      <c r="D265" s="143" t="s">
        <v>2504</v>
      </c>
      <c r="E265" s="143" t="s">
        <v>2504</v>
      </c>
      <c r="F265" s="143" t="s">
        <v>2504</v>
      </c>
      <c r="G265" s="143" t="s">
        <v>2504</v>
      </c>
      <c r="H265" s="143" t="s">
        <v>2504</v>
      </c>
      <c r="I265" s="143" t="str">
        <f t="shared" si="41"/>
        <v>NO EXISTE</v>
      </c>
      <c r="J265" s="143" t="str">
        <f t="shared" si="42"/>
        <v>NO EXISTE</v>
      </c>
      <c r="K265" s="143" t="str">
        <f t="shared" si="43"/>
        <v>NO EXISTE</v>
      </c>
      <c r="L265" s="143" t="str">
        <f t="shared" si="44"/>
        <v>NO EXISTE</v>
      </c>
      <c r="M265" s="143" t="str">
        <f t="shared" si="45"/>
        <v>NO EXISTE</v>
      </c>
      <c r="N265" s="143" t="str">
        <f t="shared" si="46"/>
        <v>NO EXISTE</v>
      </c>
      <c r="O265" s="143" t="str">
        <f t="shared" si="47"/>
        <v>NO EXISTE</v>
      </c>
      <c r="P265" s="143" t="str">
        <f t="shared" si="48"/>
        <v>NO EXISTE</v>
      </c>
      <c r="Q265" s="148" t="s">
        <v>2492</v>
      </c>
      <c r="R265" s="148" t="s">
        <v>606</v>
      </c>
      <c r="S265" s="148" t="s">
        <v>607</v>
      </c>
      <c r="T265" s="149">
        <v>1</v>
      </c>
      <c r="U265" s="148" t="s">
        <v>591</v>
      </c>
      <c r="V265" s="150">
        <v>115.7</v>
      </c>
      <c r="W265" s="151">
        <f>V265*1000</f>
        <v>115700</v>
      </c>
    </row>
    <row r="266" spans="1:23" ht="15" customHeight="1" x14ac:dyDescent="0.25">
      <c r="A266" s="148" t="s">
        <v>2437</v>
      </c>
      <c r="B266" s="148" t="s">
        <v>2493</v>
      </c>
      <c r="C266" s="143" t="s">
        <v>2504</v>
      </c>
      <c r="D266" s="143" t="s">
        <v>2504</v>
      </c>
      <c r="E266" s="143" t="s">
        <v>2504</v>
      </c>
      <c r="F266" s="143" t="s">
        <v>2504</v>
      </c>
      <c r="G266" s="143" t="s">
        <v>2504</v>
      </c>
      <c r="H266" s="143" t="s">
        <v>2504</v>
      </c>
      <c r="I266" s="143" t="str">
        <f t="shared" si="41"/>
        <v>NO EXISTE</v>
      </c>
      <c r="J266" s="143" t="str">
        <f t="shared" si="42"/>
        <v>NO EXISTE</v>
      </c>
      <c r="K266" s="143" t="str">
        <f t="shared" si="43"/>
        <v>NO EXISTE</v>
      </c>
      <c r="L266" s="143" t="str">
        <f t="shared" si="44"/>
        <v>NO EXISTE</v>
      </c>
      <c r="M266" s="143" t="str">
        <f t="shared" si="45"/>
        <v>NO EXISTE</v>
      </c>
      <c r="N266" s="143" t="str">
        <f t="shared" si="46"/>
        <v>NO EXISTE</v>
      </c>
      <c r="O266" s="143" t="str">
        <f t="shared" si="47"/>
        <v>NO EXISTE</v>
      </c>
      <c r="P266" s="143" t="str">
        <f t="shared" si="48"/>
        <v>NO EXISTE</v>
      </c>
      <c r="Q266" s="148" t="s">
        <v>2494</v>
      </c>
      <c r="R266" s="148" t="s">
        <v>594</v>
      </c>
      <c r="S266" s="148" t="s">
        <v>595</v>
      </c>
      <c r="T266" s="149">
        <v>4</v>
      </c>
      <c r="U266" s="148" t="s">
        <v>591</v>
      </c>
      <c r="V266" s="150">
        <v>349.16</v>
      </c>
      <c r="W266" s="151">
        <v>4142.5</v>
      </c>
    </row>
    <row r="267" spans="1:23" ht="15" customHeight="1" x14ac:dyDescent="0.25">
      <c r="A267" s="148" t="s">
        <v>2437</v>
      </c>
      <c r="B267" s="148" t="s">
        <v>2495</v>
      </c>
      <c r="C267" s="143" t="s">
        <v>2504</v>
      </c>
      <c r="D267" s="143" t="s">
        <v>2504</v>
      </c>
      <c r="E267" s="143" t="s">
        <v>2504</v>
      </c>
      <c r="F267" s="143" t="s">
        <v>2504</v>
      </c>
      <c r="G267" s="143" t="s">
        <v>2504</v>
      </c>
      <c r="H267" s="143" t="s">
        <v>2504</v>
      </c>
      <c r="I267" s="143" t="str">
        <f t="shared" si="41"/>
        <v>NO EXISTE</v>
      </c>
      <c r="J267" s="143" t="str">
        <f t="shared" si="42"/>
        <v>NO EXISTE</v>
      </c>
      <c r="K267" s="143" t="str">
        <f t="shared" si="43"/>
        <v>NO EXISTE</v>
      </c>
      <c r="L267" s="143" t="str">
        <f t="shared" si="44"/>
        <v>NO EXISTE</v>
      </c>
      <c r="M267" s="143" t="str">
        <f t="shared" si="45"/>
        <v>NO EXISTE</v>
      </c>
      <c r="N267" s="143" t="str">
        <f t="shared" si="46"/>
        <v>NO EXISTE</v>
      </c>
      <c r="O267" s="143" t="str">
        <f t="shared" si="47"/>
        <v>NO EXISTE</v>
      </c>
      <c r="P267" s="143" t="str">
        <f t="shared" si="48"/>
        <v>NO EXISTE</v>
      </c>
      <c r="Q267" s="148" t="s">
        <v>2496</v>
      </c>
      <c r="R267" s="148" t="s">
        <v>600</v>
      </c>
      <c r="S267" s="148" t="s">
        <v>1078</v>
      </c>
      <c r="T267" s="149">
        <v>200</v>
      </c>
      <c r="U267" s="148" t="s">
        <v>591</v>
      </c>
      <c r="V267" s="150">
        <v>23379.9</v>
      </c>
      <c r="W267" s="151">
        <v>43508.17</v>
      </c>
    </row>
    <row r="268" spans="1:23" ht="15" customHeight="1" x14ac:dyDescent="0.25">
      <c r="A268" s="148" t="s">
        <v>2437</v>
      </c>
      <c r="B268" s="148" t="s">
        <v>2497</v>
      </c>
      <c r="C268" s="143" t="s">
        <v>2504</v>
      </c>
      <c r="D268" s="143" t="s">
        <v>2504</v>
      </c>
      <c r="E268" s="143" t="s">
        <v>2504</v>
      </c>
      <c r="F268" s="143" t="s">
        <v>2504</v>
      </c>
      <c r="G268" s="143" t="s">
        <v>2504</v>
      </c>
      <c r="H268" s="143" t="s">
        <v>2504</v>
      </c>
      <c r="I268" s="143" t="str">
        <f t="shared" si="41"/>
        <v>NO EXISTE</v>
      </c>
      <c r="J268" s="143" t="str">
        <f t="shared" si="42"/>
        <v>NO EXISTE</v>
      </c>
      <c r="K268" s="143" t="str">
        <f t="shared" si="43"/>
        <v>NO EXISTE</v>
      </c>
      <c r="L268" s="143" t="str">
        <f t="shared" si="44"/>
        <v>NO EXISTE</v>
      </c>
      <c r="M268" s="143" t="str">
        <f t="shared" si="45"/>
        <v>NO EXISTE</v>
      </c>
      <c r="N268" s="143" t="str">
        <f t="shared" si="46"/>
        <v>NO EXISTE</v>
      </c>
      <c r="O268" s="143" t="str">
        <f t="shared" si="47"/>
        <v>NO EXISTE</v>
      </c>
      <c r="P268" s="143" t="str">
        <f t="shared" si="48"/>
        <v>NO EXISTE</v>
      </c>
      <c r="Q268" s="148" t="s">
        <v>2498</v>
      </c>
      <c r="R268" s="148" t="s">
        <v>1025</v>
      </c>
      <c r="S268" s="148" t="s">
        <v>2499</v>
      </c>
      <c r="T268" s="149">
        <v>1</v>
      </c>
      <c r="U268" s="148" t="s">
        <v>591</v>
      </c>
      <c r="V268" s="150">
        <v>66.930000000000007</v>
      </c>
      <c r="W268" s="151">
        <f t="shared" ref="W268:W274" si="49">V268*1000</f>
        <v>66930</v>
      </c>
    </row>
    <row r="269" spans="1:23" ht="15" customHeight="1" x14ac:dyDescent="0.25">
      <c r="A269" s="148">
        <v>670</v>
      </c>
      <c r="B269" s="148" t="s">
        <v>932</v>
      </c>
      <c r="C269" s="143" t="s">
        <v>2504</v>
      </c>
      <c r="D269" s="143" t="s">
        <v>2504</v>
      </c>
      <c r="E269" s="143" t="s">
        <v>2504</v>
      </c>
      <c r="F269" s="143" t="s">
        <v>2504</v>
      </c>
      <c r="G269" s="143" t="s">
        <v>2504</v>
      </c>
      <c r="H269" s="143" t="s">
        <v>2504</v>
      </c>
      <c r="I269" s="143" t="str">
        <f t="shared" si="41"/>
        <v>NO EXISTE</v>
      </c>
      <c r="J269" s="143" t="str">
        <f t="shared" si="42"/>
        <v>NO EXISTE</v>
      </c>
      <c r="K269" s="143" t="str">
        <f t="shared" si="43"/>
        <v>NO EXISTE</v>
      </c>
      <c r="L269" s="143" t="str">
        <f t="shared" si="44"/>
        <v>NO EXISTE</v>
      </c>
      <c r="M269" s="143" t="str">
        <f t="shared" si="45"/>
        <v>NO EXISTE</v>
      </c>
      <c r="N269" s="143" t="str">
        <f t="shared" si="46"/>
        <v>NO EXISTE</v>
      </c>
      <c r="O269" s="143" t="str">
        <f t="shared" si="47"/>
        <v>NO EXISTE</v>
      </c>
      <c r="P269" s="143" t="str">
        <f t="shared" si="48"/>
        <v>NO EXISTE</v>
      </c>
      <c r="Q269" s="303" t="s">
        <v>933</v>
      </c>
      <c r="R269" s="148" t="s">
        <v>600</v>
      </c>
      <c r="S269" s="148" t="s">
        <v>934</v>
      </c>
      <c r="T269" s="149">
        <v>0.31</v>
      </c>
      <c r="U269" s="148" t="s">
        <v>935</v>
      </c>
      <c r="V269" s="150">
        <v>52.68</v>
      </c>
      <c r="W269" s="151">
        <f t="shared" si="49"/>
        <v>52680</v>
      </c>
    </row>
    <row r="270" spans="1:23" ht="15" customHeight="1" x14ac:dyDescent="0.25">
      <c r="A270" s="148">
        <v>10772</v>
      </c>
      <c r="B270" s="148" t="s">
        <v>1850</v>
      </c>
      <c r="C270" s="143" t="s">
        <v>2504</v>
      </c>
      <c r="D270" s="143" t="s">
        <v>2504</v>
      </c>
      <c r="E270" s="143" t="s">
        <v>2504</v>
      </c>
      <c r="F270" s="143" t="s">
        <v>2504</v>
      </c>
      <c r="G270" s="143" t="s">
        <v>2504</v>
      </c>
      <c r="H270" s="143" t="s">
        <v>2504</v>
      </c>
      <c r="I270" s="143" t="str">
        <f t="shared" si="41"/>
        <v>NO EXISTE</v>
      </c>
      <c r="J270" s="143" t="str">
        <f t="shared" si="42"/>
        <v>NO EXISTE</v>
      </c>
      <c r="K270" s="143" t="str">
        <f t="shared" si="43"/>
        <v>NO EXISTE</v>
      </c>
      <c r="L270" s="143" t="str">
        <f t="shared" si="44"/>
        <v>NO EXISTE</v>
      </c>
      <c r="M270" s="143" t="str">
        <f t="shared" si="45"/>
        <v>NO EXISTE</v>
      </c>
      <c r="N270" s="143" t="str">
        <f t="shared" si="46"/>
        <v>NO EXISTE</v>
      </c>
      <c r="O270" s="143" t="str">
        <f t="shared" si="47"/>
        <v>NO EXISTE</v>
      </c>
      <c r="P270" s="143" t="str">
        <f t="shared" si="48"/>
        <v>NO EXISTE</v>
      </c>
      <c r="Q270" s="303" t="s">
        <v>1851</v>
      </c>
      <c r="R270" s="148" t="s">
        <v>1025</v>
      </c>
      <c r="S270" s="148" t="s">
        <v>1817</v>
      </c>
      <c r="T270" s="149">
        <v>200</v>
      </c>
      <c r="U270" s="148" t="s">
        <v>935</v>
      </c>
      <c r="V270" s="150">
        <v>17776.18</v>
      </c>
      <c r="W270" s="151">
        <f t="shared" si="49"/>
        <v>17776180</v>
      </c>
    </row>
    <row r="271" spans="1:23" ht="15" customHeight="1" x14ac:dyDescent="0.25">
      <c r="A271" s="148">
        <v>16921</v>
      </c>
      <c r="B271" s="148" t="s">
        <v>2407</v>
      </c>
      <c r="C271" s="143" t="s">
        <v>2504</v>
      </c>
      <c r="D271" s="143" t="s">
        <v>2504</v>
      </c>
      <c r="E271" s="143" t="s">
        <v>2504</v>
      </c>
      <c r="F271" s="143" t="s">
        <v>2504</v>
      </c>
      <c r="G271" s="143" t="s">
        <v>2504</v>
      </c>
      <c r="H271" s="143" t="s">
        <v>2504</v>
      </c>
      <c r="I271" s="143" t="str">
        <f t="shared" si="41"/>
        <v>NO EXISTE</v>
      </c>
      <c r="J271" s="143" t="str">
        <f t="shared" si="42"/>
        <v>NO EXISTE</v>
      </c>
      <c r="K271" s="143" t="str">
        <f t="shared" si="43"/>
        <v>NO EXISTE</v>
      </c>
      <c r="L271" s="143" t="str">
        <f t="shared" si="44"/>
        <v>NO EXISTE</v>
      </c>
      <c r="M271" s="143" t="str">
        <f t="shared" si="45"/>
        <v>NO EXISTE</v>
      </c>
      <c r="N271" s="143" t="str">
        <f t="shared" si="46"/>
        <v>NO EXISTE</v>
      </c>
      <c r="O271" s="143" t="str">
        <f t="shared" si="47"/>
        <v>NO EXISTE</v>
      </c>
      <c r="P271" s="143" t="str">
        <f t="shared" si="48"/>
        <v>NO EXISTE</v>
      </c>
      <c r="Q271" s="303" t="s">
        <v>2408</v>
      </c>
      <c r="R271" s="148" t="s">
        <v>594</v>
      </c>
      <c r="S271" s="148" t="s">
        <v>2406</v>
      </c>
      <c r="T271" s="149">
        <v>0.95</v>
      </c>
      <c r="U271" s="148" t="s">
        <v>935</v>
      </c>
      <c r="V271" s="150">
        <v>112.11</v>
      </c>
      <c r="W271" s="151">
        <f t="shared" si="49"/>
        <v>112110</v>
      </c>
    </row>
    <row r="272" spans="1:23" ht="15" customHeight="1" x14ac:dyDescent="0.25">
      <c r="A272" s="148">
        <v>11</v>
      </c>
      <c r="B272" s="148" t="s">
        <v>592</v>
      </c>
      <c r="C272" s="143" t="s">
        <v>2504</v>
      </c>
      <c r="D272" s="143" t="s">
        <v>2504</v>
      </c>
      <c r="E272" s="143" t="s">
        <v>2504</v>
      </c>
      <c r="F272" s="143" t="s">
        <v>2504</v>
      </c>
      <c r="G272" s="143" t="s">
        <v>2504</v>
      </c>
      <c r="H272" s="143" t="s">
        <v>2504</v>
      </c>
      <c r="I272" s="143" t="str">
        <f t="shared" si="41"/>
        <v>NO EXISTE</v>
      </c>
      <c r="J272" s="143" t="str">
        <f t="shared" si="42"/>
        <v>NO EXISTE</v>
      </c>
      <c r="K272" s="143" t="str">
        <f t="shared" si="43"/>
        <v>NO EXISTE</v>
      </c>
      <c r="L272" s="143" t="str">
        <f t="shared" si="44"/>
        <v>NO EXISTE</v>
      </c>
      <c r="M272" s="143" t="str">
        <f t="shared" si="45"/>
        <v>NO EXISTE</v>
      </c>
      <c r="N272" s="143" t="str">
        <f t="shared" si="46"/>
        <v>NO EXISTE</v>
      </c>
      <c r="O272" s="143" t="str">
        <f t="shared" si="47"/>
        <v>NO EXISTE</v>
      </c>
      <c r="P272" s="143" t="str">
        <f t="shared" si="48"/>
        <v>NO EXISTE</v>
      </c>
      <c r="Q272" s="302" t="s">
        <v>593</v>
      </c>
      <c r="R272" s="148" t="s">
        <v>594</v>
      </c>
      <c r="S272" s="148" t="s">
        <v>595</v>
      </c>
      <c r="T272" s="149">
        <v>0.95</v>
      </c>
      <c r="U272" s="148" t="s">
        <v>596</v>
      </c>
      <c r="V272" s="150">
        <v>101.1</v>
      </c>
      <c r="W272" s="151">
        <f t="shared" si="49"/>
        <v>101100</v>
      </c>
    </row>
    <row r="273" spans="1:23" ht="15" customHeight="1" x14ac:dyDescent="0.25">
      <c r="A273" s="148">
        <v>20</v>
      </c>
      <c r="B273" s="148" t="s">
        <v>602</v>
      </c>
      <c r="C273" s="143" t="s">
        <v>2504</v>
      </c>
      <c r="D273" s="143" t="s">
        <v>2504</v>
      </c>
      <c r="E273" s="143" t="s">
        <v>2504</v>
      </c>
      <c r="F273" s="143" t="s">
        <v>2504</v>
      </c>
      <c r="G273" s="143" t="s">
        <v>2504</v>
      </c>
      <c r="H273" s="143" t="s">
        <v>2504</v>
      </c>
      <c r="I273" s="143" t="str">
        <f t="shared" si="41"/>
        <v>NO EXISTE</v>
      </c>
      <c r="J273" s="143" t="str">
        <f t="shared" si="42"/>
        <v>NO EXISTE</v>
      </c>
      <c r="K273" s="143" t="str">
        <f t="shared" si="43"/>
        <v>NO EXISTE</v>
      </c>
      <c r="L273" s="143" t="str">
        <f t="shared" si="44"/>
        <v>NO EXISTE</v>
      </c>
      <c r="M273" s="143" t="str">
        <f t="shared" si="45"/>
        <v>NO EXISTE</v>
      </c>
      <c r="N273" s="143" t="str">
        <f t="shared" si="46"/>
        <v>NO EXISTE</v>
      </c>
      <c r="O273" s="143" t="str">
        <f t="shared" si="47"/>
        <v>NO EXISTE</v>
      </c>
      <c r="P273" s="143" t="str">
        <f t="shared" si="48"/>
        <v>NO EXISTE</v>
      </c>
      <c r="Q273" s="302" t="s">
        <v>603</v>
      </c>
      <c r="R273" s="148" t="s">
        <v>594</v>
      </c>
      <c r="S273" s="148" t="s">
        <v>604</v>
      </c>
      <c r="T273" s="149">
        <v>0.95</v>
      </c>
      <c r="U273" s="148" t="s">
        <v>596</v>
      </c>
      <c r="V273" s="150">
        <v>113.22</v>
      </c>
      <c r="W273" s="151">
        <f t="shared" si="49"/>
        <v>113220</v>
      </c>
    </row>
    <row r="274" spans="1:23" ht="15" customHeight="1" x14ac:dyDescent="0.25">
      <c r="A274" s="148">
        <v>45</v>
      </c>
      <c r="B274" s="148" t="s">
        <v>609</v>
      </c>
      <c r="C274" s="143" t="s">
        <v>2504</v>
      </c>
      <c r="D274" s="143" t="s">
        <v>2504</v>
      </c>
      <c r="E274" s="143" t="s">
        <v>2504</v>
      </c>
      <c r="F274" s="143" t="s">
        <v>2504</v>
      </c>
      <c r="G274" s="143" t="s">
        <v>2504</v>
      </c>
      <c r="H274" s="143" t="s">
        <v>2504</v>
      </c>
      <c r="I274" s="143" t="str">
        <f t="shared" si="41"/>
        <v>NO EXISTE</v>
      </c>
      <c r="J274" s="143" t="str">
        <f t="shared" si="42"/>
        <v>NO EXISTE</v>
      </c>
      <c r="K274" s="143" t="str">
        <f t="shared" si="43"/>
        <v>NO EXISTE</v>
      </c>
      <c r="L274" s="143" t="str">
        <f t="shared" si="44"/>
        <v>NO EXISTE</v>
      </c>
      <c r="M274" s="143" t="str">
        <f t="shared" si="45"/>
        <v>NO EXISTE</v>
      </c>
      <c r="N274" s="143" t="str">
        <f t="shared" si="46"/>
        <v>NO EXISTE</v>
      </c>
      <c r="O274" s="143" t="str">
        <f t="shared" si="47"/>
        <v>NO EXISTE</v>
      </c>
      <c r="P274" s="143" t="str">
        <f t="shared" si="48"/>
        <v>NO EXISTE</v>
      </c>
      <c r="Q274" s="302" t="s">
        <v>610</v>
      </c>
      <c r="R274" s="148" t="s">
        <v>594</v>
      </c>
      <c r="S274" s="148" t="s">
        <v>604</v>
      </c>
      <c r="T274" s="149">
        <v>3.8</v>
      </c>
      <c r="U274" s="148" t="s">
        <v>596</v>
      </c>
      <c r="V274" s="150">
        <v>412.42</v>
      </c>
      <c r="W274" s="151">
        <f t="shared" si="49"/>
        <v>412420</v>
      </c>
    </row>
    <row r="275" spans="1:23" ht="15" customHeight="1" x14ac:dyDescent="0.25">
      <c r="A275" s="148">
        <v>51</v>
      </c>
      <c r="B275" s="148" t="s">
        <v>619</v>
      </c>
      <c r="C275" s="143" t="s">
        <v>2504</v>
      </c>
      <c r="D275" s="143" t="s">
        <v>2504</v>
      </c>
      <c r="E275" s="143" t="s">
        <v>2504</v>
      </c>
      <c r="F275" s="143" t="s">
        <v>2504</v>
      </c>
      <c r="G275" s="143" t="s">
        <v>2504</v>
      </c>
      <c r="H275" s="143" t="s">
        <v>2504</v>
      </c>
      <c r="I275" s="143" t="str">
        <f t="shared" si="41"/>
        <v>NO EXISTE</v>
      </c>
      <c r="J275" s="143" t="str">
        <f t="shared" si="42"/>
        <v>NO EXISTE</v>
      </c>
      <c r="K275" s="143" t="str">
        <f t="shared" si="43"/>
        <v>NO EXISTE</v>
      </c>
      <c r="L275" s="143" t="str">
        <f t="shared" si="44"/>
        <v>NO EXISTE</v>
      </c>
      <c r="M275" s="143" t="str">
        <f t="shared" si="45"/>
        <v>NO EXISTE</v>
      </c>
      <c r="N275" s="143" t="str">
        <f t="shared" si="46"/>
        <v>NO EXISTE</v>
      </c>
      <c r="O275" s="143" t="str">
        <f t="shared" si="47"/>
        <v>NO EXISTE</v>
      </c>
      <c r="P275" s="143" t="str">
        <f t="shared" si="48"/>
        <v>NO EXISTE</v>
      </c>
      <c r="Q275" s="302" t="s">
        <v>620</v>
      </c>
      <c r="R275" s="148" t="s">
        <v>594</v>
      </c>
      <c r="S275" s="148" t="s">
        <v>604</v>
      </c>
      <c r="T275" s="149">
        <v>3.8</v>
      </c>
      <c r="U275" s="148" t="s">
        <v>596</v>
      </c>
      <c r="V275" s="150">
        <v>421.9</v>
      </c>
      <c r="W275" s="151">
        <v>21618.13</v>
      </c>
    </row>
    <row r="276" spans="1:23" ht="15" customHeight="1" x14ac:dyDescent="0.25">
      <c r="A276" s="148">
        <v>57</v>
      </c>
      <c r="B276" s="148" t="s">
        <v>622</v>
      </c>
      <c r="C276" s="143" t="s">
        <v>2504</v>
      </c>
      <c r="D276" s="143" t="s">
        <v>2504</v>
      </c>
      <c r="E276" s="143" t="s">
        <v>2504</v>
      </c>
      <c r="F276" s="143" t="s">
        <v>2504</v>
      </c>
      <c r="G276" s="143" t="s">
        <v>2504</v>
      </c>
      <c r="H276" s="143" t="s">
        <v>2504</v>
      </c>
      <c r="I276" s="143" t="str">
        <f t="shared" si="41"/>
        <v>NO EXISTE</v>
      </c>
      <c r="J276" s="143" t="str">
        <f t="shared" si="42"/>
        <v>NO EXISTE</v>
      </c>
      <c r="K276" s="143" t="str">
        <f t="shared" si="43"/>
        <v>NO EXISTE</v>
      </c>
      <c r="L276" s="143" t="str">
        <f t="shared" si="44"/>
        <v>NO EXISTE</v>
      </c>
      <c r="M276" s="143" t="str">
        <f t="shared" si="45"/>
        <v>NO EXISTE</v>
      </c>
      <c r="N276" s="143" t="str">
        <f t="shared" si="46"/>
        <v>NO EXISTE</v>
      </c>
      <c r="O276" s="143" t="str">
        <f t="shared" si="47"/>
        <v>NO EXISTE</v>
      </c>
      <c r="P276" s="143" t="str">
        <f t="shared" si="48"/>
        <v>NO EXISTE</v>
      </c>
      <c r="Q276" s="302" t="s">
        <v>623</v>
      </c>
      <c r="R276" s="148" t="s">
        <v>594</v>
      </c>
      <c r="S276" s="148" t="s">
        <v>624</v>
      </c>
      <c r="T276" s="149">
        <v>0.95</v>
      </c>
      <c r="U276" s="148" t="s">
        <v>596</v>
      </c>
      <c r="V276" s="150">
        <v>99.75</v>
      </c>
      <c r="W276" s="151">
        <v>2010.72</v>
      </c>
    </row>
    <row r="277" spans="1:23" ht="15" customHeight="1" x14ac:dyDescent="0.25">
      <c r="A277" s="148">
        <v>59</v>
      </c>
      <c r="B277" s="148" t="s">
        <v>625</v>
      </c>
      <c r="C277" s="143" t="s">
        <v>2504</v>
      </c>
      <c r="D277" s="143" t="s">
        <v>2504</v>
      </c>
      <c r="E277" s="143" t="s">
        <v>2504</v>
      </c>
      <c r="F277" s="143" t="s">
        <v>2504</v>
      </c>
      <c r="G277" s="143" t="s">
        <v>2504</v>
      </c>
      <c r="H277" s="143" t="s">
        <v>2504</v>
      </c>
      <c r="I277" s="143" t="str">
        <f t="shared" si="41"/>
        <v>NO EXISTE</v>
      </c>
      <c r="J277" s="143" t="str">
        <f t="shared" si="42"/>
        <v>NO EXISTE</v>
      </c>
      <c r="K277" s="143" t="str">
        <f t="shared" si="43"/>
        <v>NO EXISTE</v>
      </c>
      <c r="L277" s="143" t="str">
        <f t="shared" si="44"/>
        <v>NO EXISTE</v>
      </c>
      <c r="M277" s="143" t="str">
        <f t="shared" si="45"/>
        <v>NO EXISTE</v>
      </c>
      <c r="N277" s="143" t="str">
        <f t="shared" si="46"/>
        <v>NO EXISTE</v>
      </c>
      <c r="O277" s="143" t="str">
        <f t="shared" si="47"/>
        <v>NO EXISTE</v>
      </c>
      <c r="P277" s="143" t="str">
        <f t="shared" si="48"/>
        <v>NO EXISTE</v>
      </c>
      <c r="Q277" s="302" t="s">
        <v>626</v>
      </c>
      <c r="R277" s="148" t="s">
        <v>589</v>
      </c>
      <c r="S277" s="148" t="s">
        <v>627</v>
      </c>
      <c r="T277" s="149">
        <v>0.95</v>
      </c>
      <c r="U277" s="148" t="s">
        <v>596</v>
      </c>
      <c r="V277" s="150">
        <v>83.04</v>
      </c>
      <c r="W277" s="151">
        <v>21265.87</v>
      </c>
    </row>
    <row r="278" spans="1:23" ht="15" customHeight="1" x14ac:dyDescent="0.25">
      <c r="A278" s="148">
        <v>62</v>
      </c>
      <c r="B278" s="148" t="s">
        <v>632</v>
      </c>
      <c r="C278" s="143" t="s">
        <v>2504</v>
      </c>
      <c r="D278" s="143" t="s">
        <v>2504</v>
      </c>
      <c r="E278" s="143" t="s">
        <v>2504</v>
      </c>
      <c r="F278" s="143" t="s">
        <v>2504</v>
      </c>
      <c r="G278" s="143" t="s">
        <v>2504</v>
      </c>
      <c r="H278" s="143" t="s">
        <v>2504</v>
      </c>
      <c r="I278" s="143" t="str">
        <f t="shared" si="41"/>
        <v>NO EXISTE</v>
      </c>
      <c r="J278" s="143" t="str">
        <f t="shared" si="42"/>
        <v>NO EXISTE</v>
      </c>
      <c r="K278" s="143" t="str">
        <f t="shared" si="43"/>
        <v>NO EXISTE</v>
      </c>
      <c r="L278" s="143" t="str">
        <f t="shared" si="44"/>
        <v>NO EXISTE</v>
      </c>
      <c r="M278" s="143" t="str">
        <f t="shared" si="45"/>
        <v>NO EXISTE</v>
      </c>
      <c r="N278" s="143" t="str">
        <f t="shared" si="46"/>
        <v>NO EXISTE</v>
      </c>
      <c r="O278" s="143" t="str">
        <f t="shared" si="47"/>
        <v>NO EXISTE</v>
      </c>
      <c r="P278" s="143" t="str">
        <f t="shared" si="48"/>
        <v>NO EXISTE</v>
      </c>
      <c r="Q278" s="302" t="s">
        <v>633</v>
      </c>
      <c r="R278" s="148" t="s">
        <v>630</v>
      </c>
      <c r="S278" s="148" t="s">
        <v>634</v>
      </c>
      <c r="T278" s="149">
        <v>19</v>
      </c>
      <c r="U278" s="148" t="s">
        <v>596</v>
      </c>
      <c r="V278" s="150">
        <v>1974.72</v>
      </c>
      <c r="W278" s="151">
        <f>V278*1000</f>
        <v>1974720</v>
      </c>
    </row>
    <row r="279" spans="1:23" ht="15" customHeight="1" x14ac:dyDescent="0.25">
      <c r="A279" s="148">
        <v>68</v>
      </c>
      <c r="B279" s="148" t="s">
        <v>637</v>
      </c>
      <c r="C279" s="143" t="s">
        <v>2504</v>
      </c>
      <c r="D279" s="143" t="s">
        <v>2504</v>
      </c>
      <c r="E279" s="143" t="s">
        <v>2504</v>
      </c>
      <c r="F279" s="143" t="s">
        <v>2504</v>
      </c>
      <c r="G279" s="143" t="s">
        <v>2504</v>
      </c>
      <c r="H279" s="143" t="s">
        <v>2504</v>
      </c>
      <c r="I279" s="143" t="str">
        <f t="shared" si="41"/>
        <v>NO EXISTE</v>
      </c>
      <c r="J279" s="143" t="str">
        <f t="shared" si="42"/>
        <v>NO EXISTE</v>
      </c>
      <c r="K279" s="143" t="str">
        <f t="shared" si="43"/>
        <v>NO EXISTE</v>
      </c>
      <c r="L279" s="143" t="str">
        <f t="shared" si="44"/>
        <v>NO EXISTE</v>
      </c>
      <c r="M279" s="143" t="str">
        <f t="shared" si="45"/>
        <v>NO EXISTE</v>
      </c>
      <c r="N279" s="143" t="str">
        <f t="shared" si="46"/>
        <v>NO EXISTE</v>
      </c>
      <c r="O279" s="143" t="str">
        <f t="shared" si="47"/>
        <v>NO EXISTE</v>
      </c>
      <c r="P279" s="143" t="str">
        <f t="shared" si="48"/>
        <v>NO EXISTE</v>
      </c>
      <c r="Q279" s="302" t="s">
        <v>638</v>
      </c>
      <c r="R279" s="148" t="s">
        <v>606</v>
      </c>
      <c r="S279" s="148" t="s">
        <v>618</v>
      </c>
      <c r="T279" s="149">
        <v>19</v>
      </c>
      <c r="U279" s="148" t="s">
        <v>596</v>
      </c>
      <c r="V279" s="150">
        <v>1629.39</v>
      </c>
      <c r="W279" s="151">
        <f>V279*1000</f>
        <v>1629390</v>
      </c>
    </row>
    <row r="280" spans="1:23" ht="15" customHeight="1" x14ac:dyDescent="0.25">
      <c r="A280" s="148">
        <v>70</v>
      </c>
      <c r="B280" s="148" t="s">
        <v>639</v>
      </c>
      <c r="C280" s="143" t="s">
        <v>2504</v>
      </c>
      <c r="D280" s="143" t="s">
        <v>2504</v>
      </c>
      <c r="E280" s="143" t="s">
        <v>2504</v>
      </c>
      <c r="F280" s="143" t="s">
        <v>2504</v>
      </c>
      <c r="G280" s="143" t="s">
        <v>2504</v>
      </c>
      <c r="H280" s="143" t="s">
        <v>2504</v>
      </c>
      <c r="I280" s="143" t="str">
        <f t="shared" si="41"/>
        <v>NO EXISTE</v>
      </c>
      <c r="J280" s="143" t="str">
        <f t="shared" si="42"/>
        <v>NO EXISTE</v>
      </c>
      <c r="K280" s="143" t="str">
        <f t="shared" si="43"/>
        <v>NO EXISTE</v>
      </c>
      <c r="L280" s="143" t="str">
        <f t="shared" si="44"/>
        <v>NO EXISTE</v>
      </c>
      <c r="M280" s="143" t="str">
        <f t="shared" si="45"/>
        <v>NO EXISTE</v>
      </c>
      <c r="N280" s="143" t="str">
        <f t="shared" si="46"/>
        <v>NO EXISTE</v>
      </c>
      <c r="O280" s="143" t="str">
        <f t="shared" si="47"/>
        <v>NO EXISTE</v>
      </c>
      <c r="P280" s="143" t="str">
        <f t="shared" si="48"/>
        <v>NO EXISTE</v>
      </c>
      <c r="Q280" s="302" t="s">
        <v>640</v>
      </c>
      <c r="R280" s="148" t="s">
        <v>606</v>
      </c>
      <c r="S280" s="148" t="s">
        <v>618</v>
      </c>
      <c r="T280" s="149">
        <v>200</v>
      </c>
      <c r="U280" s="148" t="s">
        <v>596</v>
      </c>
      <c r="V280" s="150">
        <v>17259.29</v>
      </c>
      <c r="W280" s="151">
        <f>V280*4</f>
        <v>69037.16</v>
      </c>
    </row>
    <row r="281" spans="1:23" ht="15" customHeight="1" x14ac:dyDescent="0.25">
      <c r="A281" s="148">
        <v>72</v>
      </c>
      <c r="B281" s="148" t="s">
        <v>641</v>
      </c>
      <c r="C281" s="143" t="s">
        <v>2504</v>
      </c>
      <c r="D281" s="143" t="s">
        <v>2504</v>
      </c>
      <c r="E281" s="143" t="s">
        <v>2504</v>
      </c>
      <c r="F281" s="143" t="s">
        <v>2504</v>
      </c>
      <c r="G281" s="143" t="s">
        <v>2504</v>
      </c>
      <c r="H281" s="143" t="s">
        <v>2504</v>
      </c>
      <c r="I281" s="143" t="str">
        <f t="shared" si="41"/>
        <v>NO EXISTE</v>
      </c>
      <c r="J281" s="143" t="str">
        <f t="shared" si="42"/>
        <v>NO EXISTE</v>
      </c>
      <c r="K281" s="143" t="str">
        <f t="shared" si="43"/>
        <v>NO EXISTE</v>
      </c>
      <c r="L281" s="143" t="str">
        <f t="shared" si="44"/>
        <v>NO EXISTE</v>
      </c>
      <c r="M281" s="143" t="str">
        <f t="shared" si="45"/>
        <v>NO EXISTE</v>
      </c>
      <c r="N281" s="143" t="str">
        <f t="shared" si="46"/>
        <v>NO EXISTE</v>
      </c>
      <c r="O281" s="143" t="str">
        <f t="shared" si="47"/>
        <v>NO EXISTE</v>
      </c>
      <c r="P281" s="143" t="str">
        <f t="shared" si="48"/>
        <v>NO EXISTE</v>
      </c>
      <c r="Q281" s="302" t="s">
        <v>642</v>
      </c>
      <c r="R281" s="148" t="s">
        <v>594</v>
      </c>
      <c r="S281" s="148" t="s">
        <v>643</v>
      </c>
      <c r="T281" s="149">
        <v>0.95</v>
      </c>
      <c r="U281" s="148" t="s">
        <v>596</v>
      </c>
      <c r="V281" s="150">
        <v>117.74</v>
      </c>
      <c r="W281" s="151">
        <v>22412.39</v>
      </c>
    </row>
    <row r="282" spans="1:23" ht="15" customHeight="1" x14ac:dyDescent="0.25">
      <c r="A282" s="148">
        <v>88</v>
      </c>
      <c r="B282" s="148" t="s">
        <v>648</v>
      </c>
      <c r="C282" s="143" t="s">
        <v>2504</v>
      </c>
      <c r="D282" s="143" t="s">
        <v>2504</v>
      </c>
      <c r="E282" s="143" t="s">
        <v>2504</v>
      </c>
      <c r="F282" s="143" t="s">
        <v>2504</v>
      </c>
      <c r="G282" s="143" t="s">
        <v>2504</v>
      </c>
      <c r="H282" s="143" t="s">
        <v>2504</v>
      </c>
      <c r="I282" s="143" t="str">
        <f t="shared" si="41"/>
        <v>NO EXISTE</v>
      </c>
      <c r="J282" s="143" t="str">
        <f t="shared" si="42"/>
        <v>NO EXISTE</v>
      </c>
      <c r="K282" s="143" t="str">
        <f t="shared" si="43"/>
        <v>NO EXISTE</v>
      </c>
      <c r="L282" s="143" t="str">
        <f t="shared" si="44"/>
        <v>NO EXISTE</v>
      </c>
      <c r="M282" s="143" t="str">
        <f t="shared" si="45"/>
        <v>NO EXISTE</v>
      </c>
      <c r="N282" s="143" t="str">
        <f t="shared" si="46"/>
        <v>NO EXISTE</v>
      </c>
      <c r="O282" s="143" t="str">
        <f t="shared" si="47"/>
        <v>NO EXISTE</v>
      </c>
      <c r="P282" s="143" t="str">
        <f t="shared" si="48"/>
        <v>NO EXISTE</v>
      </c>
      <c r="Q282" s="302" t="s">
        <v>649</v>
      </c>
      <c r="R282" s="148" t="s">
        <v>600</v>
      </c>
      <c r="S282" s="148" t="s">
        <v>650</v>
      </c>
      <c r="T282" s="149">
        <v>0.25</v>
      </c>
      <c r="U282" s="148" t="s">
        <v>596</v>
      </c>
      <c r="V282" s="150">
        <v>33.28</v>
      </c>
      <c r="W282" s="151">
        <v>23068.240000000002</v>
      </c>
    </row>
    <row r="283" spans="1:23" ht="15" customHeight="1" x14ac:dyDescent="0.25">
      <c r="A283" s="148">
        <v>93</v>
      </c>
      <c r="B283" s="148" t="s">
        <v>654</v>
      </c>
      <c r="C283" s="143" t="s">
        <v>2504</v>
      </c>
      <c r="D283" s="143" t="s">
        <v>2504</v>
      </c>
      <c r="E283" s="143" t="s">
        <v>2504</v>
      </c>
      <c r="F283" s="143" t="s">
        <v>2504</v>
      </c>
      <c r="G283" s="143" t="s">
        <v>2504</v>
      </c>
      <c r="H283" s="143" t="s">
        <v>2504</v>
      </c>
      <c r="I283" s="143" t="str">
        <f t="shared" si="41"/>
        <v>NO EXISTE</v>
      </c>
      <c r="J283" s="143" t="str">
        <f t="shared" si="42"/>
        <v>NO EXISTE</v>
      </c>
      <c r="K283" s="143" t="str">
        <f t="shared" si="43"/>
        <v>NO EXISTE</v>
      </c>
      <c r="L283" s="143" t="str">
        <f t="shared" si="44"/>
        <v>NO EXISTE</v>
      </c>
      <c r="M283" s="143" t="str">
        <f t="shared" si="45"/>
        <v>NO EXISTE</v>
      </c>
      <c r="N283" s="143" t="str">
        <f t="shared" si="46"/>
        <v>NO EXISTE</v>
      </c>
      <c r="O283" s="143" t="str">
        <f t="shared" si="47"/>
        <v>NO EXISTE</v>
      </c>
      <c r="P283" s="143" t="str">
        <f t="shared" si="48"/>
        <v>NO EXISTE</v>
      </c>
      <c r="Q283" s="302" t="s">
        <v>655</v>
      </c>
      <c r="R283" s="148" t="s">
        <v>594</v>
      </c>
      <c r="S283" s="148" t="s">
        <v>595</v>
      </c>
      <c r="T283" s="149">
        <v>3.8</v>
      </c>
      <c r="U283" s="148" t="s">
        <v>596</v>
      </c>
      <c r="V283" s="150">
        <v>581.5</v>
      </c>
      <c r="W283" s="151">
        <v>23178.99</v>
      </c>
    </row>
    <row r="284" spans="1:23" ht="15" customHeight="1" x14ac:dyDescent="0.25">
      <c r="A284" s="148">
        <v>94</v>
      </c>
      <c r="B284" s="148" t="s">
        <v>656</v>
      </c>
      <c r="C284" s="143" t="s">
        <v>2504</v>
      </c>
      <c r="D284" s="143" t="s">
        <v>2504</v>
      </c>
      <c r="E284" s="143" t="s">
        <v>2504</v>
      </c>
      <c r="F284" s="143" t="s">
        <v>2504</v>
      </c>
      <c r="G284" s="143" t="s">
        <v>2504</v>
      </c>
      <c r="H284" s="143" t="s">
        <v>2504</v>
      </c>
      <c r="I284" s="143" t="str">
        <f t="shared" si="41"/>
        <v>NO EXISTE</v>
      </c>
      <c r="J284" s="143" t="str">
        <f t="shared" si="42"/>
        <v>NO EXISTE</v>
      </c>
      <c r="K284" s="143" t="str">
        <f t="shared" si="43"/>
        <v>NO EXISTE</v>
      </c>
      <c r="L284" s="143" t="str">
        <f t="shared" si="44"/>
        <v>NO EXISTE</v>
      </c>
      <c r="M284" s="143" t="str">
        <f t="shared" si="45"/>
        <v>NO EXISTE</v>
      </c>
      <c r="N284" s="143" t="str">
        <f t="shared" si="46"/>
        <v>NO EXISTE</v>
      </c>
      <c r="O284" s="143" t="str">
        <f t="shared" si="47"/>
        <v>NO EXISTE</v>
      </c>
      <c r="P284" s="143" t="str">
        <f t="shared" si="48"/>
        <v>NO EXISTE</v>
      </c>
      <c r="Q284" s="302" t="s">
        <v>657</v>
      </c>
      <c r="R284" s="148" t="s">
        <v>594</v>
      </c>
      <c r="S284" s="148" t="s">
        <v>595</v>
      </c>
      <c r="T284" s="149">
        <v>3.8</v>
      </c>
      <c r="U284" s="148" t="s">
        <v>596</v>
      </c>
      <c r="V284" s="150">
        <v>558.79</v>
      </c>
      <c r="W284" s="151">
        <v>21009.22</v>
      </c>
    </row>
    <row r="285" spans="1:23" ht="15" customHeight="1" x14ac:dyDescent="0.25">
      <c r="A285" s="148">
        <v>199</v>
      </c>
      <c r="B285" s="148" t="s">
        <v>700</v>
      </c>
      <c r="C285" s="143" t="s">
        <v>2504</v>
      </c>
      <c r="D285" s="143" t="s">
        <v>2504</v>
      </c>
      <c r="E285" s="143" t="s">
        <v>2504</v>
      </c>
      <c r="F285" s="143" t="s">
        <v>2504</v>
      </c>
      <c r="G285" s="143" t="s">
        <v>2504</v>
      </c>
      <c r="H285" s="143" t="s">
        <v>2504</v>
      </c>
      <c r="I285" s="143" t="str">
        <f t="shared" si="41"/>
        <v>NO EXISTE</v>
      </c>
      <c r="J285" s="143" t="str">
        <f t="shared" si="42"/>
        <v>NO EXISTE</v>
      </c>
      <c r="K285" s="143" t="str">
        <f t="shared" si="43"/>
        <v>NO EXISTE</v>
      </c>
      <c r="L285" s="143" t="str">
        <f t="shared" si="44"/>
        <v>NO EXISTE</v>
      </c>
      <c r="M285" s="143" t="str">
        <f t="shared" si="45"/>
        <v>NO EXISTE</v>
      </c>
      <c r="N285" s="143" t="str">
        <f t="shared" si="46"/>
        <v>NO EXISTE</v>
      </c>
      <c r="O285" s="143" t="str">
        <f t="shared" si="47"/>
        <v>NO EXISTE</v>
      </c>
      <c r="P285" s="143" t="str">
        <f t="shared" si="48"/>
        <v>NO EXISTE</v>
      </c>
      <c r="Q285" s="302" t="s">
        <v>701</v>
      </c>
      <c r="R285" s="148" t="s">
        <v>702</v>
      </c>
      <c r="S285" s="148" t="s">
        <v>703</v>
      </c>
      <c r="T285" s="149">
        <v>200</v>
      </c>
      <c r="U285" s="148" t="s">
        <v>596</v>
      </c>
      <c r="V285" s="150">
        <v>16163.94</v>
      </c>
      <c r="W285" s="151">
        <f>V285*12</f>
        <v>193967.28</v>
      </c>
    </row>
    <row r="286" spans="1:23" ht="15" customHeight="1" x14ac:dyDescent="0.25">
      <c r="A286" s="148">
        <v>301</v>
      </c>
      <c r="B286" s="148" t="s">
        <v>741</v>
      </c>
      <c r="C286" s="143" t="s">
        <v>2504</v>
      </c>
      <c r="D286" s="143" t="s">
        <v>2504</v>
      </c>
      <c r="E286" s="143" t="s">
        <v>2504</v>
      </c>
      <c r="F286" s="143" t="s">
        <v>2504</v>
      </c>
      <c r="G286" s="143" t="s">
        <v>2504</v>
      </c>
      <c r="H286" s="143" t="s">
        <v>2504</v>
      </c>
      <c r="I286" s="143" t="str">
        <f t="shared" si="41"/>
        <v>NO EXISTE</v>
      </c>
      <c r="J286" s="143" t="str">
        <f t="shared" si="42"/>
        <v>NO EXISTE</v>
      </c>
      <c r="K286" s="143" t="str">
        <f t="shared" si="43"/>
        <v>NO EXISTE</v>
      </c>
      <c r="L286" s="143" t="str">
        <f t="shared" si="44"/>
        <v>NO EXISTE</v>
      </c>
      <c r="M286" s="143" t="str">
        <f t="shared" si="45"/>
        <v>NO EXISTE</v>
      </c>
      <c r="N286" s="143" t="str">
        <f t="shared" si="46"/>
        <v>NO EXISTE</v>
      </c>
      <c r="O286" s="143" t="str">
        <f t="shared" si="47"/>
        <v>NO EXISTE</v>
      </c>
      <c r="P286" s="143" t="str">
        <f t="shared" si="48"/>
        <v>NO EXISTE</v>
      </c>
      <c r="Q286" s="302" t="s">
        <v>742</v>
      </c>
      <c r="R286" s="148" t="s">
        <v>594</v>
      </c>
      <c r="S286" s="148" t="s">
        <v>674</v>
      </c>
      <c r="T286" s="149">
        <v>0.95</v>
      </c>
      <c r="U286" s="148" t="s">
        <v>596</v>
      </c>
      <c r="V286" s="150">
        <v>112.85</v>
      </c>
      <c r="W286" s="151">
        <f>V286*15</f>
        <v>1692.75</v>
      </c>
    </row>
    <row r="287" spans="1:23" ht="15" customHeight="1" x14ac:dyDescent="0.25">
      <c r="A287" s="148">
        <v>302</v>
      </c>
      <c r="B287" s="148" t="s">
        <v>743</v>
      </c>
      <c r="C287" s="143" t="s">
        <v>2504</v>
      </c>
      <c r="D287" s="143" t="s">
        <v>2504</v>
      </c>
      <c r="E287" s="143" t="s">
        <v>2504</v>
      </c>
      <c r="F287" s="143" t="s">
        <v>2504</v>
      </c>
      <c r="G287" s="143" t="s">
        <v>2504</v>
      </c>
      <c r="H287" s="143" t="s">
        <v>2504</v>
      </c>
      <c r="I287" s="143" t="str">
        <f t="shared" si="41"/>
        <v>NO EXISTE</v>
      </c>
      <c r="J287" s="143" t="str">
        <f t="shared" si="42"/>
        <v>NO EXISTE</v>
      </c>
      <c r="K287" s="143" t="str">
        <f t="shared" si="43"/>
        <v>NO EXISTE</v>
      </c>
      <c r="L287" s="143" t="str">
        <f t="shared" si="44"/>
        <v>NO EXISTE</v>
      </c>
      <c r="M287" s="143" t="str">
        <f t="shared" si="45"/>
        <v>NO EXISTE</v>
      </c>
      <c r="N287" s="143" t="str">
        <f t="shared" si="46"/>
        <v>NO EXISTE</v>
      </c>
      <c r="O287" s="143" t="str">
        <f t="shared" si="47"/>
        <v>NO EXISTE</v>
      </c>
      <c r="P287" s="143" t="str">
        <f t="shared" si="48"/>
        <v>NO EXISTE</v>
      </c>
      <c r="Q287" s="302" t="s">
        <v>744</v>
      </c>
      <c r="R287" s="148" t="s">
        <v>630</v>
      </c>
      <c r="S287" s="148" t="s">
        <v>745</v>
      </c>
      <c r="T287" s="149">
        <v>1</v>
      </c>
      <c r="U287" s="148" t="s">
        <v>596</v>
      </c>
      <c r="V287" s="150">
        <v>171.02</v>
      </c>
      <c r="W287" s="151">
        <f>V287*4</f>
        <v>684.08</v>
      </c>
    </row>
    <row r="288" spans="1:23" ht="15" customHeight="1" x14ac:dyDescent="0.25">
      <c r="A288" s="148">
        <v>304</v>
      </c>
      <c r="B288" s="148" t="s">
        <v>746</v>
      </c>
      <c r="C288" s="143" t="s">
        <v>2504</v>
      </c>
      <c r="D288" s="143" t="s">
        <v>2504</v>
      </c>
      <c r="E288" s="143" t="s">
        <v>2504</v>
      </c>
      <c r="F288" s="143" t="s">
        <v>2504</v>
      </c>
      <c r="G288" s="143" t="s">
        <v>2504</v>
      </c>
      <c r="H288" s="143" t="s">
        <v>2504</v>
      </c>
      <c r="I288" s="143" t="str">
        <f t="shared" si="41"/>
        <v>NO EXISTE</v>
      </c>
      <c r="J288" s="143" t="str">
        <f t="shared" si="42"/>
        <v>NO EXISTE</v>
      </c>
      <c r="K288" s="143" t="str">
        <f t="shared" si="43"/>
        <v>NO EXISTE</v>
      </c>
      <c r="L288" s="143" t="str">
        <f t="shared" si="44"/>
        <v>NO EXISTE</v>
      </c>
      <c r="M288" s="143" t="str">
        <f t="shared" si="45"/>
        <v>NO EXISTE</v>
      </c>
      <c r="N288" s="143" t="str">
        <f t="shared" si="46"/>
        <v>NO EXISTE</v>
      </c>
      <c r="O288" s="143" t="str">
        <f t="shared" si="47"/>
        <v>NO EXISTE</v>
      </c>
      <c r="P288" s="143" t="str">
        <f t="shared" si="48"/>
        <v>NO EXISTE</v>
      </c>
      <c r="Q288" s="302" t="s">
        <v>747</v>
      </c>
      <c r="R288" s="148" t="s">
        <v>630</v>
      </c>
      <c r="S288" s="148" t="s">
        <v>745</v>
      </c>
      <c r="T288" s="149">
        <v>200</v>
      </c>
      <c r="U288" s="148" t="s">
        <v>596</v>
      </c>
      <c r="V288" s="150">
        <v>35156.54</v>
      </c>
      <c r="W288" s="151">
        <v>672.06</v>
      </c>
    </row>
    <row r="289" spans="1:23" ht="15" customHeight="1" x14ac:dyDescent="0.25">
      <c r="A289" s="148">
        <v>312</v>
      </c>
      <c r="B289" s="148" t="s">
        <v>748</v>
      </c>
      <c r="C289" s="143" t="s">
        <v>2504</v>
      </c>
      <c r="D289" s="143" t="s">
        <v>2504</v>
      </c>
      <c r="E289" s="143" t="s">
        <v>2504</v>
      </c>
      <c r="F289" s="143" t="s">
        <v>2504</v>
      </c>
      <c r="G289" s="143" t="s">
        <v>2504</v>
      </c>
      <c r="H289" s="143" t="s">
        <v>2504</v>
      </c>
      <c r="I289" s="143" t="str">
        <f t="shared" si="41"/>
        <v>NO EXISTE</v>
      </c>
      <c r="J289" s="143" t="str">
        <f t="shared" si="42"/>
        <v>NO EXISTE</v>
      </c>
      <c r="K289" s="143" t="str">
        <f t="shared" si="43"/>
        <v>NO EXISTE</v>
      </c>
      <c r="L289" s="143" t="str">
        <f t="shared" si="44"/>
        <v>NO EXISTE</v>
      </c>
      <c r="M289" s="143" t="str">
        <f t="shared" si="45"/>
        <v>NO EXISTE</v>
      </c>
      <c r="N289" s="143" t="str">
        <f t="shared" si="46"/>
        <v>NO EXISTE</v>
      </c>
      <c r="O289" s="143" t="str">
        <f t="shared" si="47"/>
        <v>NO EXISTE</v>
      </c>
      <c r="P289" s="143" t="str">
        <f t="shared" si="48"/>
        <v>NO EXISTE</v>
      </c>
      <c r="Q289" s="302" t="s">
        <v>749</v>
      </c>
      <c r="R289" s="148" t="s">
        <v>594</v>
      </c>
      <c r="S289" s="148" t="s">
        <v>750</v>
      </c>
      <c r="T289" s="149">
        <v>5</v>
      </c>
      <c r="U289" s="148" t="s">
        <v>596</v>
      </c>
      <c r="V289" s="150">
        <v>591.75</v>
      </c>
      <c r="W289" s="151">
        <f>V289*15</f>
        <v>8876.25</v>
      </c>
    </row>
    <row r="290" spans="1:23" ht="15" customHeight="1" x14ac:dyDescent="0.25">
      <c r="A290" s="148">
        <v>313</v>
      </c>
      <c r="B290" s="148" t="s">
        <v>751</v>
      </c>
      <c r="C290" s="143" t="s">
        <v>2504</v>
      </c>
      <c r="D290" s="143" t="s">
        <v>2504</v>
      </c>
      <c r="E290" s="143" t="s">
        <v>2504</v>
      </c>
      <c r="F290" s="143" t="s">
        <v>2504</v>
      </c>
      <c r="G290" s="143" t="s">
        <v>2504</v>
      </c>
      <c r="H290" s="143" t="s">
        <v>2504</v>
      </c>
      <c r="I290" s="143" t="str">
        <f t="shared" si="41"/>
        <v>NO EXISTE</v>
      </c>
      <c r="J290" s="143" t="str">
        <f t="shared" si="42"/>
        <v>NO EXISTE</v>
      </c>
      <c r="K290" s="143" t="str">
        <f t="shared" si="43"/>
        <v>NO EXISTE</v>
      </c>
      <c r="L290" s="143" t="str">
        <f t="shared" si="44"/>
        <v>NO EXISTE</v>
      </c>
      <c r="M290" s="143" t="str">
        <f t="shared" si="45"/>
        <v>NO EXISTE</v>
      </c>
      <c r="N290" s="143" t="str">
        <f t="shared" si="46"/>
        <v>NO EXISTE</v>
      </c>
      <c r="O290" s="143" t="str">
        <f t="shared" si="47"/>
        <v>NO EXISTE</v>
      </c>
      <c r="P290" s="143" t="str">
        <f t="shared" si="48"/>
        <v>NO EXISTE</v>
      </c>
      <c r="Q290" s="302" t="s">
        <v>752</v>
      </c>
      <c r="R290" s="148" t="s">
        <v>594</v>
      </c>
      <c r="S290" s="148" t="s">
        <v>750</v>
      </c>
      <c r="T290" s="149">
        <v>19</v>
      </c>
      <c r="U290" s="148" t="s">
        <v>596</v>
      </c>
      <c r="V290" s="150">
        <v>2169.71</v>
      </c>
      <c r="W290" s="151">
        <f>V290*4</f>
        <v>8678.84</v>
      </c>
    </row>
    <row r="291" spans="1:23" ht="15" customHeight="1" x14ac:dyDescent="0.25">
      <c r="A291" s="148">
        <v>318</v>
      </c>
      <c r="B291" s="148" t="s">
        <v>753</v>
      </c>
      <c r="C291" s="143" t="s">
        <v>2504</v>
      </c>
      <c r="D291" s="143" t="s">
        <v>2504</v>
      </c>
      <c r="E291" s="143" t="s">
        <v>2504</v>
      </c>
      <c r="F291" s="143" t="s">
        <v>2504</v>
      </c>
      <c r="G291" s="143" t="s">
        <v>2504</v>
      </c>
      <c r="H291" s="143" t="s">
        <v>2504</v>
      </c>
      <c r="I291" s="143" t="str">
        <f t="shared" ref="I291:I354" si="50">IFERROR(VLOOKUP(B291,Base08,1,FALSE),"NO EXISTE")</f>
        <v>NO EXISTE</v>
      </c>
      <c r="J291" s="143" t="str">
        <f t="shared" ref="J291:J354" si="51">IFERROR(VLOOKUP(B291,Base09,1,FALSE),"NO EXISTE")</f>
        <v>NO EXISTE</v>
      </c>
      <c r="K291" s="143" t="str">
        <f t="shared" ref="K291:K354" si="52">IFERROR(VLOOKUP(B291,Base10,1,FALSE),"NO EXISTE")</f>
        <v>NO EXISTE</v>
      </c>
      <c r="L291" s="143" t="str">
        <f t="shared" ref="L291:L354" si="53">IFERROR(VLOOKUP(B291,Base11,1,FALSE),"NO EXISTE")</f>
        <v>NO EXISTE</v>
      </c>
      <c r="M291" s="143" t="str">
        <f t="shared" ref="M291:M354" si="54">IFERROR(VLOOKUP(B291,Base12,1,FALSE),"NO EXISTE")</f>
        <v>NO EXISTE</v>
      </c>
      <c r="N291" s="143" t="str">
        <f t="shared" ref="N291:N354" si="55">IFERROR(VLOOKUP(B291,Base13,1,FALSE),"NO EXISTE")</f>
        <v>NO EXISTE</v>
      </c>
      <c r="O291" s="143" t="str">
        <f t="shared" ref="O291:O354" si="56">IFERROR(VLOOKUP(B291,Base14,1,FALSE),"NO EXISTE")</f>
        <v>NO EXISTE</v>
      </c>
      <c r="P291" s="143" t="str">
        <f t="shared" ref="P291:P354" si="57">IFERROR(VLOOKUP(B291,Base15,1,FALSE),"NO EXISTE")</f>
        <v>NO EXISTE</v>
      </c>
      <c r="Q291" s="302" t="s">
        <v>754</v>
      </c>
      <c r="R291" s="148" t="s">
        <v>594</v>
      </c>
      <c r="S291" s="148" t="s">
        <v>750</v>
      </c>
      <c r="T291" s="149">
        <v>19</v>
      </c>
      <c r="U291" s="148" t="s">
        <v>596</v>
      </c>
      <c r="V291" s="150">
        <v>2335.2800000000002</v>
      </c>
      <c r="W291" s="151">
        <v>18479.37</v>
      </c>
    </row>
    <row r="292" spans="1:23" ht="15" customHeight="1" x14ac:dyDescent="0.25">
      <c r="A292" s="148">
        <v>319</v>
      </c>
      <c r="B292" s="148" t="s">
        <v>755</v>
      </c>
      <c r="C292" s="143" t="s">
        <v>2504</v>
      </c>
      <c r="D292" s="143" t="s">
        <v>2504</v>
      </c>
      <c r="E292" s="143" t="s">
        <v>2504</v>
      </c>
      <c r="F292" s="143" t="s">
        <v>2504</v>
      </c>
      <c r="G292" s="143" t="s">
        <v>2504</v>
      </c>
      <c r="H292" s="143" t="s">
        <v>2504</v>
      </c>
      <c r="I292" s="143" t="str">
        <f t="shared" si="50"/>
        <v>NO EXISTE</v>
      </c>
      <c r="J292" s="143" t="str">
        <f t="shared" si="51"/>
        <v>NO EXISTE</v>
      </c>
      <c r="K292" s="143" t="str">
        <f t="shared" si="52"/>
        <v>NO EXISTE</v>
      </c>
      <c r="L292" s="143" t="str">
        <f t="shared" si="53"/>
        <v>NO EXISTE</v>
      </c>
      <c r="M292" s="143" t="str">
        <f t="shared" si="54"/>
        <v>NO EXISTE</v>
      </c>
      <c r="N292" s="143" t="str">
        <f t="shared" si="55"/>
        <v>NO EXISTE</v>
      </c>
      <c r="O292" s="143" t="str">
        <f t="shared" si="56"/>
        <v>NO EXISTE</v>
      </c>
      <c r="P292" s="143" t="str">
        <f t="shared" si="57"/>
        <v>NO EXISTE</v>
      </c>
      <c r="Q292" s="302" t="s">
        <v>756</v>
      </c>
      <c r="R292" s="148" t="s">
        <v>594</v>
      </c>
      <c r="S292" s="148" t="s">
        <v>750</v>
      </c>
      <c r="T292" s="149">
        <v>200</v>
      </c>
      <c r="U292" s="148" t="s">
        <v>596</v>
      </c>
      <c r="V292" s="150">
        <v>24257.18</v>
      </c>
      <c r="W292" s="151">
        <f>V292*24</f>
        <v>582172.32000000007</v>
      </c>
    </row>
    <row r="293" spans="1:23" ht="15" customHeight="1" x14ac:dyDescent="0.25">
      <c r="A293" s="148">
        <v>320</v>
      </c>
      <c r="B293" s="148" t="s">
        <v>757</v>
      </c>
      <c r="C293" s="143" t="s">
        <v>2504</v>
      </c>
      <c r="D293" s="143" t="s">
        <v>2504</v>
      </c>
      <c r="E293" s="143" t="s">
        <v>2504</v>
      </c>
      <c r="F293" s="143" t="s">
        <v>2504</v>
      </c>
      <c r="G293" s="143" t="s">
        <v>2504</v>
      </c>
      <c r="H293" s="143" t="s">
        <v>2504</v>
      </c>
      <c r="I293" s="143" t="str">
        <f t="shared" si="50"/>
        <v>NO EXISTE</v>
      </c>
      <c r="J293" s="143" t="str">
        <f t="shared" si="51"/>
        <v>NO EXISTE</v>
      </c>
      <c r="K293" s="143" t="str">
        <f t="shared" si="52"/>
        <v>NO EXISTE</v>
      </c>
      <c r="L293" s="143" t="str">
        <f t="shared" si="53"/>
        <v>NO EXISTE</v>
      </c>
      <c r="M293" s="143" t="str">
        <f t="shared" si="54"/>
        <v>NO EXISTE</v>
      </c>
      <c r="N293" s="143" t="str">
        <f t="shared" si="55"/>
        <v>NO EXISTE</v>
      </c>
      <c r="O293" s="143" t="str">
        <f t="shared" si="56"/>
        <v>NO EXISTE</v>
      </c>
      <c r="P293" s="143" t="str">
        <f t="shared" si="57"/>
        <v>NO EXISTE</v>
      </c>
      <c r="Q293" s="302" t="s">
        <v>758</v>
      </c>
      <c r="R293" s="148" t="s">
        <v>594</v>
      </c>
      <c r="S293" s="148" t="s">
        <v>759</v>
      </c>
      <c r="T293" s="149">
        <v>0.95</v>
      </c>
      <c r="U293" s="148" t="s">
        <v>596</v>
      </c>
      <c r="V293" s="150">
        <v>171.91</v>
      </c>
      <c r="W293" s="151">
        <f>V293*12</f>
        <v>2062.92</v>
      </c>
    </row>
    <row r="294" spans="1:23" ht="15" customHeight="1" x14ac:dyDescent="0.25">
      <c r="A294" s="148">
        <v>321</v>
      </c>
      <c r="B294" s="148" t="s">
        <v>760</v>
      </c>
      <c r="C294" s="143" t="s">
        <v>2504</v>
      </c>
      <c r="D294" s="143" t="s">
        <v>2504</v>
      </c>
      <c r="E294" s="143" t="s">
        <v>2504</v>
      </c>
      <c r="F294" s="143" t="s">
        <v>2504</v>
      </c>
      <c r="G294" s="143" t="s">
        <v>2504</v>
      </c>
      <c r="H294" s="143" t="s">
        <v>2504</v>
      </c>
      <c r="I294" s="143" t="str">
        <f t="shared" si="50"/>
        <v>NO EXISTE</v>
      </c>
      <c r="J294" s="143" t="str">
        <f t="shared" si="51"/>
        <v>NO EXISTE</v>
      </c>
      <c r="K294" s="143" t="str">
        <f t="shared" si="52"/>
        <v>NO EXISTE</v>
      </c>
      <c r="L294" s="143" t="str">
        <f t="shared" si="53"/>
        <v>NO EXISTE</v>
      </c>
      <c r="M294" s="143" t="str">
        <f t="shared" si="54"/>
        <v>NO EXISTE</v>
      </c>
      <c r="N294" s="143" t="str">
        <f t="shared" si="55"/>
        <v>NO EXISTE</v>
      </c>
      <c r="O294" s="143" t="str">
        <f t="shared" si="56"/>
        <v>NO EXISTE</v>
      </c>
      <c r="P294" s="143" t="str">
        <f t="shared" si="57"/>
        <v>NO EXISTE</v>
      </c>
      <c r="Q294" s="302" t="s">
        <v>761</v>
      </c>
      <c r="R294" s="148" t="s">
        <v>594</v>
      </c>
      <c r="S294" s="148" t="s">
        <v>759</v>
      </c>
      <c r="T294" s="149">
        <v>19</v>
      </c>
      <c r="U294" s="148" t="s">
        <v>596</v>
      </c>
      <c r="V294" s="150">
        <v>3360.66</v>
      </c>
      <c r="W294" s="151">
        <v>414.69</v>
      </c>
    </row>
    <row r="295" spans="1:23" ht="15" customHeight="1" x14ac:dyDescent="0.25">
      <c r="A295" s="148">
        <v>322</v>
      </c>
      <c r="B295" s="148" t="s">
        <v>762</v>
      </c>
      <c r="C295" s="143" t="s">
        <v>2504</v>
      </c>
      <c r="D295" s="143" t="s">
        <v>2504</v>
      </c>
      <c r="E295" s="143" t="s">
        <v>2504</v>
      </c>
      <c r="F295" s="143" t="s">
        <v>2504</v>
      </c>
      <c r="G295" s="143" t="s">
        <v>2504</v>
      </c>
      <c r="H295" s="143" t="s">
        <v>2504</v>
      </c>
      <c r="I295" s="143" t="str">
        <f t="shared" si="50"/>
        <v>NO EXISTE</v>
      </c>
      <c r="J295" s="143" t="str">
        <f t="shared" si="51"/>
        <v>NO EXISTE</v>
      </c>
      <c r="K295" s="143" t="str">
        <f t="shared" si="52"/>
        <v>NO EXISTE</v>
      </c>
      <c r="L295" s="143" t="str">
        <f t="shared" si="53"/>
        <v>NO EXISTE</v>
      </c>
      <c r="M295" s="143" t="str">
        <f t="shared" si="54"/>
        <v>NO EXISTE</v>
      </c>
      <c r="N295" s="143" t="str">
        <f t="shared" si="55"/>
        <v>NO EXISTE</v>
      </c>
      <c r="O295" s="143" t="str">
        <f t="shared" si="56"/>
        <v>NO EXISTE</v>
      </c>
      <c r="P295" s="143" t="str">
        <f t="shared" si="57"/>
        <v>NO EXISTE</v>
      </c>
      <c r="Q295" s="302" t="s">
        <v>763</v>
      </c>
      <c r="R295" s="148" t="s">
        <v>594</v>
      </c>
      <c r="S295" s="148" t="s">
        <v>759</v>
      </c>
      <c r="T295" s="149">
        <v>200</v>
      </c>
      <c r="U295" s="148" t="s">
        <v>596</v>
      </c>
      <c r="V295" s="150">
        <v>27851.02</v>
      </c>
      <c r="W295" s="151">
        <v>1806.8</v>
      </c>
    </row>
    <row r="296" spans="1:23" ht="15" customHeight="1" x14ac:dyDescent="0.25">
      <c r="A296" s="148">
        <v>324</v>
      </c>
      <c r="B296" s="148" t="s">
        <v>764</v>
      </c>
      <c r="C296" s="143" t="s">
        <v>2504</v>
      </c>
      <c r="D296" s="143" t="s">
        <v>2504</v>
      </c>
      <c r="E296" s="143" t="s">
        <v>2504</v>
      </c>
      <c r="F296" s="143" t="s">
        <v>2504</v>
      </c>
      <c r="G296" s="143" t="s">
        <v>2504</v>
      </c>
      <c r="H296" s="143" t="s">
        <v>2504</v>
      </c>
      <c r="I296" s="143" t="str">
        <f t="shared" si="50"/>
        <v>NO EXISTE</v>
      </c>
      <c r="J296" s="143" t="str">
        <f t="shared" si="51"/>
        <v>NO EXISTE</v>
      </c>
      <c r="K296" s="143" t="str">
        <f t="shared" si="52"/>
        <v>NO EXISTE</v>
      </c>
      <c r="L296" s="143" t="str">
        <f t="shared" si="53"/>
        <v>NO EXISTE</v>
      </c>
      <c r="M296" s="143" t="str">
        <f t="shared" si="54"/>
        <v>NO EXISTE</v>
      </c>
      <c r="N296" s="143" t="str">
        <f t="shared" si="55"/>
        <v>NO EXISTE</v>
      </c>
      <c r="O296" s="143" t="str">
        <f t="shared" si="56"/>
        <v>NO EXISTE</v>
      </c>
      <c r="P296" s="143" t="str">
        <f t="shared" si="57"/>
        <v>NO EXISTE</v>
      </c>
      <c r="Q296" s="302" t="s">
        <v>765</v>
      </c>
      <c r="R296" s="148" t="s">
        <v>606</v>
      </c>
      <c r="S296" s="148" t="s">
        <v>766</v>
      </c>
      <c r="T296" s="149">
        <v>19</v>
      </c>
      <c r="U296" s="148" t="s">
        <v>596</v>
      </c>
      <c r="V296" s="150">
        <v>5319.69</v>
      </c>
      <c r="W296" s="151">
        <v>19463.45</v>
      </c>
    </row>
    <row r="297" spans="1:23" ht="15" customHeight="1" x14ac:dyDescent="0.25">
      <c r="A297" s="148">
        <v>336</v>
      </c>
      <c r="B297" s="148" t="s">
        <v>767</v>
      </c>
      <c r="C297" s="143" t="s">
        <v>2504</v>
      </c>
      <c r="D297" s="143" t="s">
        <v>2504</v>
      </c>
      <c r="E297" s="143" t="s">
        <v>2504</v>
      </c>
      <c r="F297" s="143" t="s">
        <v>2504</v>
      </c>
      <c r="G297" s="143" t="s">
        <v>2504</v>
      </c>
      <c r="H297" s="143" t="s">
        <v>2504</v>
      </c>
      <c r="I297" s="143" t="str">
        <f t="shared" si="50"/>
        <v>NO EXISTE</v>
      </c>
      <c r="J297" s="143" t="str">
        <f t="shared" si="51"/>
        <v>NO EXISTE</v>
      </c>
      <c r="K297" s="143" t="str">
        <f t="shared" si="52"/>
        <v>NO EXISTE</v>
      </c>
      <c r="L297" s="143" t="str">
        <f t="shared" si="53"/>
        <v>NO EXISTE</v>
      </c>
      <c r="M297" s="143" t="str">
        <f t="shared" si="54"/>
        <v>NO EXISTE</v>
      </c>
      <c r="N297" s="143" t="str">
        <f t="shared" si="55"/>
        <v>NO EXISTE</v>
      </c>
      <c r="O297" s="143" t="str">
        <f t="shared" si="56"/>
        <v>NO EXISTE</v>
      </c>
      <c r="P297" s="143" t="str">
        <f t="shared" si="57"/>
        <v>NO EXISTE</v>
      </c>
      <c r="Q297" s="302" t="s">
        <v>768</v>
      </c>
      <c r="R297" s="148" t="s">
        <v>600</v>
      </c>
      <c r="S297" s="148" t="s">
        <v>613</v>
      </c>
      <c r="T297" s="149">
        <v>0.95</v>
      </c>
      <c r="U297" s="148" t="s">
        <v>596</v>
      </c>
      <c r="V297" s="150">
        <v>49.27</v>
      </c>
      <c r="W297" s="151">
        <f>V297*12</f>
        <v>591.24</v>
      </c>
    </row>
    <row r="298" spans="1:23" ht="15" customHeight="1" x14ac:dyDescent="0.25">
      <c r="A298" s="148">
        <v>366</v>
      </c>
      <c r="B298" s="148" t="s">
        <v>773</v>
      </c>
      <c r="C298" s="143" t="s">
        <v>2504</v>
      </c>
      <c r="D298" s="143" t="s">
        <v>2504</v>
      </c>
      <c r="E298" s="143" t="s">
        <v>2504</v>
      </c>
      <c r="F298" s="143" t="s">
        <v>2504</v>
      </c>
      <c r="G298" s="143" t="s">
        <v>2504</v>
      </c>
      <c r="H298" s="143" t="s">
        <v>2504</v>
      </c>
      <c r="I298" s="143" t="str">
        <f t="shared" si="50"/>
        <v>NO EXISTE</v>
      </c>
      <c r="J298" s="143" t="str">
        <f t="shared" si="51"/>
        <v>NO EXISTE</v>
      </c>
      <c r="K298" s="143" t="str">
        <f t="shared" si="52"/>
        <v>NO EXISTE</v>
      </c>
      <c r="L298" s="143" t="str">
        <f t="shared" si="53"/>
        <v>NO EXISTE</v>
      </c>
      <c r="M298" s="143" t="str">
        <f t="shared" si="54"/>
        <v>NO EXISTE</v>
      </c>
      <c r="N298" s="143" t="str">
        <f t="shared" si="55"/>
        <v>NO EXISTE</v>
      </c>
      <c r="O298" s="143" t="str">
        <f t="shared" si="56"/>
        <v>NO EXISTE</v>
      </c>
      <c r="P298" s="143" t="str">
        <f t="shared" si="57"/>
        <v>NO EXISTE</v>
      </c>
      <c r="Q298" s="302" t="s">
        <v>774</v>
      </c>
      <c r="R298" s="148" t="s">
        <v>600</v>
      </c>
      <c r="S298" s="148" t="s">
        <v>770</v>
      </c>
      <c r="T298" s="149">
        <v>0.443</v>
      </c>
      <c r="U298" s="148" t="s">
        <v>596</v>
      </c>
      <c r="V298" s="150">
        <v>9.26</v>
      </c>
      <c r="W298" s="151">
        <v>822.82</v>
      </c>
    </row>
    <row r="299" spans="1:23" ht="15" customHeight="1" x14ac:dyDescent="0.25">
      <c r="A299" s="148">
        <v>370</v>
      </c>
      <c r="B299" s="148" t="s">
        <v>777</v>
      </c>
      <c r="C299" s="143" t="s">
        <v>2504</v>
      </c>
      <c r="D299" s="143" t="s">
        <v>2504</v>
      </c>
      <c r="E299" s="143" t="s">
        <v>2504</v>
      </c>
      <c r="F299" s="143" t="s">
        <v>2504</v>
      </c>
      <c r="G299" s="143" t="s">
        <v>2504</v>
      </c>
      <c r="H299" s="143" t="s">
        <v>2504</v>
      </c>
      <c r="I299" s="143" t="str">
        <f t="shared" si="50"/>
        <v>NO EXISTE</v>
      </c>
      <c r="J299" s="143" t="str">
        <f t="shared" si="51"/>
        <v>NO EXISTE</v>
      </c>
      <c r="K299" s="143" t="str">
        <f t="shared" si="52"/>
        <v>NO EXISTE</v>
      </c>
      <c r="L299" s="143" t="str">
        <f t="shared" si="53"/>
        <v>NO EXISTE</v>
      </c>
      <c r="M299" s="143" t="str">
        <f t="shared" si="54"/>
        <v>NO EXISTE</v>
      </c>
      <c r="N299" s="143" t="str">
        <f t="shared" si="55"/>
        <v>NO EXISTE</v>
      </c>
      <c r="O299" s="143" t="str">
        <f t="shared" si="56"/>
        <v>NO EXISTE</v>
      </c>
      <c r="P299" s="143" t="str">
        <f t="shared" si="57"/>
        <v>NO EXISTE</v>
      </c>
      <c r="Q299" s="302" t="s">
        <v>778</v>
      </c>
      <c r="R299" s="148" t="s">
        <v>594</v>
      </c>
      <c r="S299" s="148" t="s">
        <v>776</v>
      </c>
      <c r="T299" s="149">
        <v>19</v>
      </c>
      <c r="U299" s="148" t="s">
        <v>596</v>
      </c>
      <c r="V299" s="150">
        <v>2080.5500000000002</v>
      </c>
      <c r="W299" s="151">
        <f>V299*24</f>
        <v>49933.200000000004</v>
      </c>
    </row>
    <row r="300" spans="1:23" ht="15" customHeight="1" x14ac:dyDescent="0.25">
      <c r="A300" s="148">
        <v>411</v>
      </c>
      <c r="B300" s="148" t="s">
        <v>790</v>
      </c>
      <c r="C300" s="143" t="s">
        <v>2504</v>
      </c>
      <c r="D300" s="143" t="s">
        <v>2504</v>
      </c>
      <c r="E300" s="143" t="s">
        <v>2504</v>
      </c>
      <c r="F300" s="143" t="s">
        <v>2504</v>
      </c>
      <c r="G300" s="143" t="s">
        <v>2504</v>
      </c>
      <c r="H300" s="143" t="s">
        <v>2504</v>
      </c>
      <c r="I300" s="143" t="str">
        <f t="shared" si="50"/>
        <v>NO EXISTE</v>
      </c>
      <c r="J300" s="143" t="str">
        <f t="shared" si="51"/>
        <v>NO EXISTE</v>
      </c>
      <c r="K300" s="143" t="str">
        <f t="shared" si="52"/>
        <v>NO EXISTE</v>
      </c>
      <c r="L300" s="143" t="str">
        <f t="shared" si="53"/>
        <v>NO EXISTE</v>
      </c>
      <c r="M300" s="143" t="str">
        <f t="shared" si="54"/>
        <v>NO EXISTE</v>
      </c>
      <c r="N300" s="143" t="str">
        <f t="shared" si="55"/>
        <v>NO EXISTE</v>
      </c>
      <c r="O300" s="143" t="str">
        <f t="shared" si="56"/>
        <v>NO EXISTE</v>
      </c>
      <c r="P300" s="143" t="str">
        <f t="shared" si="57"/>
        <v>NO EXISTE</v>
      </c>
      <c r="Q300" s="302" t="s">
        <v>791</v>
      </c>
      <c r="R300" s="148" t="s">
        <v>589</v>
      </c>
      <c r="S300" s="148" t="s">
        <v>590</v>
      </c>
      <c r="T300" s="149">
        <v>0.95</v>
      </c>
      <c r="U300" s="148" t="s">
        <v>596</v>
      </c>
      <c r="V300" s="150">
        <v>51.56</v>
      </c>
      <c r="W300" s="151">
        <f>V300*24</f>
        <v>1237.44</v>
      </c>
    </row>
    <row r="301" spans="1:23" ht="15" customHeight="1" x14ac:dyDescent="0.25">
      <c r="A301" s="148">
        <v>414</v>
      </c>
      <c r="B301" s="148" t="s">
        <v>792</v>
      </c>
      <c r="C301" s="143" t="s">
        <v>2504</v>
      </c>
      <c r="D301" s="143" t="s">
        <v>2504</v>
      </c>
      <c r="E301" s="143" t="s">
        <v>2504</v>
      </c>
      <c r="F301" s="143" t="s">
        <v>2504</v>
      </c>
      <c r="G301" s="143" t="s">
        <v>2504</v>
      </c>
      <c r="H301" s="143" t="s">
        <v>2504</v>
      </c>
      <c r="I301" s="143" t="str">
        <f t="shared" si="50"/>
        <v>NO EXISTE</v>
      </c>
      <c r="J301" s="143" t="str">
        <f t="shared" si="51"/>
        <v>NO EXISTE</v>
      </c>
      <c r="K301" s="143" t="str">
        <f t="shared" si="52"/>
        <v>NO EXISTE</v>
      </c>
      <c r="L301" s="143" t="str">
        <f t="shared" si="53"/>
        <v>NO EXISTE</v>
      </c>
      <c r="M301" s="143" t="str">
        <f t="shared" si="54"/>
        <v>NO EXISTE</v>
      </c>
      <c r="N301" s="143" t="str">
        <f t="shared" si="55"/>
        <v>NO EXISTE</v>
      </c>
      <c r="O301" s="143" t="str">
        <f t="shared" si="56"/>
        <v>NO EXISTE</v>
      </c>
      <c r="P301" s="143" t="str">
        <f t="shared" si="57"/>
        <v>NO EXISTE</v>
      </c>
      <c r="Q301" s="302" t="s">
        <v>793</v>
      </c>
      <c r="R301" s="148" t="s">
        <v>589</v>
      </c>
      <c r="S301" s="148" t="s">
        <v>794</v>
      </c>
      <c r="T301" s="149">
        <v>1</v>
      </c>
      <c r="U301" s="148" t="s">
        <v>596</v>
      </c>
      <c r="V301" s="150">
        <v>40.28</v>
      </c>
      <c r="W301" s="151">
        <v>18157.86</v>
      </c>
    </row>
    <row r="302" spans="1:23" ht="15" customHeight="1" x14ac:dyDescent="0.25">
      <c r="A302" s="148">
        <v>425</v>
      </c>
      <c r="B302" s="148" t="s">
        <v>801</v>
      </c>
      <c r="C302" s="143" t="s">
        <v>2504</v>
      </c>
      <c r="D302" s="143" t="s">
        <v>2504</v>
      </c>
      <c r="E302" s="143" t="s">
        <v>2504</v>
      </c>
      <c r="F302" s="143" t="s">
        <v>2504</v>
      </c>
      <c r="G302" s="143" t="s">
        <v>2504</v>
      </c>
      <c r="H302" s="143" t="s">
        <v>2504</v>
      </c>
      <c r="I302" s="143" t="str">
        <f t="shared" si="50"/>
        <v>NO EXISTE</v>
      </c>
      <c r="J302" s="143" t="str">
        <f t="shared" si="51"/>
        <v>NO EXISTE</v>
      </c>
      <c r="K302" s="143" t="str">
        <f t="shared" si="52"/>
        <v>NO EXISTE</v>
      </c>
      <c r="L302" s="143" t="str">
        <f t="shared" si="53"/>
        <v>NO EXISTE</v>
      </c>
      <c r="M302" s="143" t="str">
        <f t="shared" si="54"/>
        <v>NO EXISTE</v>
      </c>
      <c r="N302" s="143" t="str">
        <f t="shared" si="55"/>
        <v>NO EXISTE</v>
      </c>
      <c r="O302" s="143" t="str">
        <f t="shared" si="56"/>
        <v>NO EXISTE</v>
      </c>
      <c r="P302" s="143" t="str">
        <f t="shared" si="57"/>
        <v>NO EXISTE</v>
      </c>
      <c r="Q302" s="302" t="s">
        <v>802</v>
      </c>
      <c r="R302" s="148" t="s">
        <v>594</v>
      </c>
      <c r="S302" s="148" t="s">
        <v>759</v>
      </c>
      <c r="T302" s="149">
        <v>0.95</v>
      </c>
      <c r="U302" s="148" t="s">
        <v>596</v>
      </c>
      <c r="V302" s="150">
        <v>171.7</v>
      </c>
      <c r="W302" s="151">
        <v>23035.22</v>
      </c>
    </row>
    <row r="303" spans="1:23" ht="15" customHeight="1" x14ac:dyDescent="0.25">
      <c r="A303" s="148">
        <v>426</v>
      </c>
      <c r="B303" s="148" t="s">
        <v>803</v>
      </c>
      <c r="C303" s="143" t="s">
        <v>2504</v>
      </c>
      <c r="D303" s="143" t="s">
        <v>2504</v>
      </c>
      <c r="E303" s="143" t="s">
        <v>2504</v>
      </c>
      <c r="F303" s="143" t="s">
        <v>2504</v>
      </c>
      <c r="G303" s="143" t="s">
        <v>2504</v>
      </c>
      <c r="H303" s="143" t="s">
        <v>2504</v>
      </c>
      <c r="I303" s="143" t="str">
        <f t="shared" si="50"/>
        <v>NO EXISTE</v>
      </c>
      <c r="J303" s="143" t="str">
        <f t="shared" si="51"/>
        <v>NO EXISTE</v>
      </c>
      <c r="K303" s="143" t="str">
        <f t="shared" si="52"/>
        <v>NO EXISTE</v>
      </c>
      <c r="L303" s="143" t="str">
        <f t="shared" si="53"/>
        <v>NO EXISTE</v>
      </c>
      <c r="M303" s="143" t="str">
        <f t="shared" si="54"/>
        <v>NO EXISTE</v>
      </c>
      <c r="N303" s="143" t="str">
        <f t="shared" si="55"/>
        <v>NO EXISTE</v>
      </c>
      <c r="O303" s="143" t="str">
        <f t="shared" si="56"/>
        <v>NO EXISTE</v>
      </c>
      <c r="P303" s="143" t="str">
        <f t="shared" si="57"/>
        <v>NO EXISTE</v>
      </c>
      <c r="Q303" s="302" t="s">
        <v>804</v>
      </c>
      <c r="R303" s="148" t="s">
        <v>589</v>
      </c>
      <c r="S303" s="148" t="s">
        <v>627</v>
      </c>
      <c r="T303" s="149">
        <v>200</v>
      </c>
      <c r="U303" s="148" t="s">
        <v>596</v>
      </c>
      <c r="V303" s="150">
        <v>17313.86</v>
      </c>
      <c r="W303" s="151">
        <v>2181.56</v>
      </c>
    </row>
    <row r="304" spans="1:23" ht="15" customHeight="1" x14ac:dyDescent="0.25">
      <c r="A304" s="148">
        <v>427</v>
      </c>
      <c r="B304" s="148" t="s">
        <v>805</v>
      </c>
      <c r="C304" s="143" t="s">
        <v>2504</v>
      </c>
      <c r="D304" s="143" t="s">
        <v>2504</v>
      </c>
      <c r="E304" s="143" t="s">
        <v>2504</v>
      </c>
      <c r="F304" s="143" t="s">
        <v>2504</v>
      </c>
      <c r="G304" s="143" t="s">
        <v>2504</v>
      </c>
      <c r="H304" s="143" t="s">
        <v>2504</v>
      </c>
      <c r="I304" s="143" t="str">
        <f t="shared" si="50"/>
        <v>NO EXISTE</v>
      </c>
      <c r="J304" s="143" t="str">
        <f t="shared" si="51"/>
        <v>NO EXISTE</v>
      </c>
      <c r="K304" s="143" t="str">
        <f t="shared" si="52"/>
        <v>NO EXISTE</v>
      </c>
      <c r="L304" s="143" t="str">
        <f t="shared" si="53"/>
        <v>NO EXISTE</v>
      </c>
      <c r="M304" s="143" t="str">
        <f t="shared" si="54"/>
        <v>NO EXISTE</v>
      </c>
      <c r="N304" s="143" t="str">
        <f t="shared" si="55"/>
        <v>NO EXISTE</v>
      </c>
      <c r="O304" s="143" t="str">
        <f t="shared" si="56"/>
        <v>NO EXISTE</v>
      </c>
      <c r="P304" s="143" t="str">
        <f t="shared" si="57"/>
        <v>NO EXISTE</v>
      </c>
      <c r="Q304" s="302" t="s">
        <v>806</v>
      </c>
      <c r="R304" s="148" t="s">
        <v>589</v>
      </c>
      <c r="S304" s="148" t="s">
        <v>627</v>
      </c>
      <c r="T304" s="149">
        <v>3.7850000000000001</v>
      </c>
      <c r="U304" s="148" t="s">
        <v>596</v>
      </c>
      <c r="V304" s="150">
        <v>352.53</v>
      </c>
      <c r="W304" s="151">
        <f>V304*6</f>
        <v>2115.1799999999998</v>
      </c>
    </row>
    <row r="305" spans="1:23" ht="15" customHeight="1" x14ac:dyDescent="0.25">
      <c r="A305" s="148">
        <v>439</v>
      </c>
      <c r="B305" s="148" t="s">
        <v>815</v>
      </c>
      <c r="C305" s="143" t="s">
        <v>2504</v>
      </c>
      <c r="D305" s="143" t="s">
        <v>2504</v>
      </c>
      <c r="E305" s="143" t="s">
        <v>2504</v>
      </c>
      <c r="F305" s="143" t="s">
        <v>2504</v>
      </c>
      <c r="G305" s="143" t="s">
        <v>2504</v>
      </c>
      <c r="H305" s="143" t="s">
        <v>2504</v>
      </c>
      <c r="I305" s="143" t="str">
        <f t="shared" si="50"/>
        <v>NO EXISTE</v>
      </c>
      <c r="J305" s="143" t="str">
        <f t="shared" si="51"/>
        <v>NO EXISTE</v>
      </c>
      <c r="K305" s="143" t="str">
        <f t="shared" si="52"/>
        <v>NO EXISTE</v>
      </c>
      <c r="L305" s="143" t="str">
        <f t="shared" si="53"/>
        <v>NO EXISTE</v>
      </c>
      <c r="M305" s="143" t="str">
        <f t="shared" si="54"/>
        <v>NO EXISTE</v>
      </c>
      <c r="N305" s="143" t="str">
        <f t="shared" si="55"/>
        <v>NO EXISTE</v>
      </c>
      <c r="O305" s="143" t="str">
        <f t="shared" si="56"/>
        <v>NO EXISTE</v>
      </c>
      <c r="P305" s="143" t="str">
        <f t="shared" si="57"/>
        <v>NO EXISTE</v>
      </c>
      <c r="Q305" s="302" t="s">
        <v>816</v>
      </c>
      <c r="R305" s="148" t="s">
        <v>630</v>
      </c>
      <c r="S305" s="148" t="s">
        <v>817</v>
      </c>
      <c r="T305" s="149">
        <v>1</v>
      </c>
      <c r="U305" s="148" t="s">
        <v>596</v>
      </c>
      <c r="V305" s="150">
        <v>201.44</v>
      </c>
      <c r="W305" s="151">
        <f>V305*6</f>
        <v>1208.6399999999999</v>
      </c>
    </row>
    <row r="306" spans="1:23" ht="15" customHeight="1" x14ac:dyDescent="0.25">
      <c r="A306" s="148">
        <v>440</v>
      </c>
      <c r="B306" s="148" t="s">
        <v>818</v>
      </c>
      <c r="C306" s="143" t="s">
        <v>2504</v>
      </c>
      <c r="D306" s="143" t="s">
        <v>2504</v>
      </c>
      <c r="E306" s="143" t="s">
        <v>2504</v>
      </c>
      <c r="F306" s="143" t="s">
        <v>2504</v>
      </c>
      <c r="G306" s="143" t="s">
        <v>2504</v>
      </c>
      <c r="H306" s="143" t="s">
        <v>2504</v>
      </c>
      <c r="I306" s="143" t="str">
        <f t="shared" si="50"/>
        <v>NO EXISTE</v>
      </c>
      <c r="J306" s="143" t="str">
        <f t="shared" si="51"/>
        <v>NO EXISTE</v>
      </c>
      <c r="K306" s="143" t="str">
        <f t="shared" si="52"/>
        <v>NO EXISTE</v>
      </c>
      <c r="L306" s="143" t="str">
        <f t="shared" si="53"/>
        <v>NO EXISTE</v>
      </c>
      <c r="M306" s="143" t="str">
        <f t="shared" si="54"/>
        <v>NO EXISTE</v>
      </c>
      <c r="N306" s="143" t="str">
        <f t="shared" si="55"/>
        <v>NO EXISTE</v>
      </c>
      <c r="O306" s="143" t="str">
        <f t="shared" si="56"/>
        <v>NO EXISTE</v>
      </c>
      <c r="P306" s="143" t="str">
        <f t="shared" si="57"/>
        <v>NO EXISTE</v>
      </c>
      <c r="Q306" s="302" t="s">
        <v>819</v>
      </c>
      <c r="R306" s="148" t="s">
        <v>630</v>
      </c>
      <c r="S306" s="148" t="s">
        <v>817</v>
      </c>
      <c r="T306" s="149">
        <v>19</v>
      </c>
      <c r="U306" s="148" t="s">
        <v>596</v>
      </c>
      <c r="V306" s="150">
        <v>3926.95</v>
      </c>
      <c r="W306" s="151">
        <f>V306*6</f>
        <v>23561.699999999997</v>
      </c>
    </row>
    <row r="307" spans="1:23" ht="15" customHeight="1" x14ac:dyDescent="0.25">
      <c r="A307" s="148">
        <v>441</v>
      </c>
      <c r="B307" s="148" t="s">
        <v>820</v>
      </c>
      <c r="C307" s="143" t="s">
        <v>2504</v>
      </c>
      <c r="D307" s="143" t="s">
        <v>2504</v>
      </c>
      <c r="E307" s="143" t="s">
        <v>2504</v>
      </c>
      <c r="F307" s="143" t="s">
        <v>2504</v>
      </c>
      <c r="G307" s="143" t="s">
        <v>2504</v>
      </c>
      <c r="H307" s="143" t="s">
        <v>2504</v>
      </c>
      <c r="I307" s="143" t="str">
        <f t="shared" si="50"/>
        <v>NO EXISTE</v>
      </c>
      <c r="J307" s="143" t="str">
        <f t="shared" si="51"/>
        <v>NO EXISTE</v>
      </c>
      <c r="K307" s="143" t="str">
        <f t="shared" si="52"/>
        <v>NO EXISTE</v>
      </c>
      <c r="L307" s="143" t="str">
        <f t="shared" si="53"/>
        <v>NO EXISTE</v>
      </c>
      <c r="M307" s="143" t="str">
        <f t="shared" si="54"/>
        <v>NO EXISTE</v>
      </c>
      <c r="N307" s="143" t="str">
        <f t="shared" si="55"/>
        <v>NO EXISTE</v>
      </c>
      <c r="O307" s="143" t="str">
        <f t="shared" si="56"/>
        <v>NO EXISTE</v>
      </c>
      <c r="P307" s="143" t="str">
        <f t="shared" si="57"/>
        <v>NO EXISTE</v>
      </c>
      <c r="Q307" s="302" t="s">
        <v>821</v>
      </c>
      <c r="R307" s="148" t="s">
        <v>630</v>
      </c>
      <c r="S307" s="148" t="s">
        <v>817</v>
      </c>
      <c r="T307" s="149">
        <v>200</v>
      </c>
      <c r="U307" s="148" t="s">
        <v>596</v>
      </c>
      <c r="V307" s="150">
        <v>41239.230000000003</v>
      </c>
      <c r="W307" s="151">
        <f>V307*6</f>
        <v>247435.38</v>
      </c>
    </row>
    <row r="308" spans="1:23" ht="15" customHeight="1" x14ac:dyDescent="0.25">
      <c r="A308" s="148">
        <v>448</v>
      </c>
      <c r="B308" s="148" t="s">
        <v>828</v>
      </c>
      <c r="C308" s="143" t="s">
        <v>2504</v>
      </c>
      <c r="D308" s="143" t="s">
        <v>2504</v>
      </c>
      <c r="E308" s="143" t="s">
        <v>2504</v>
      </c>
      <c r="F308" s="143" t="s">
        <v>2504</v>
      </c>
      <c r="G308" s="143" t="s">
        <v>2504</v>
      </c>
      <c r="H308" s="143" t="s">
        <v>2504</v>
      </c>
      <c r="I308" s="143" t="str">
        <f t="shared" si="50"/>
        <v>NO EXISTE</v>
      </c>
      <c r="J308" s="143" t="str">
        <f t="shared" si="51"/>
        <v>NO EXISTE</v>
      </c>
      <c r="K308" s="143" t="str">
        <f t="shared" si="52"/>
        <v>NO EXISTE</v>
      </c>
      <c r="L308" s="143" t="str">
        <f t="shared" si="53"/>
        <v>NO EXISTE</v>
      </c>
      <c r="M308" s="143" t="str">
        <f t="shared" si="54"/>
        <v>NO EXISTE</v>
      </c>
      <c r="N308" s="143" t="str">
        <f t="shared" si="55"/>
        <v>NO EXISTE</v>
      </c>
      <c r="O308" s="143" t="str">
        <f t="shared" si="56"/>
        <v>NO EXISTE</v>
      </c>
      <c r="P308" s="143" t="str">
        <f t="shared" si="57"/>
        <v>NO EXISTE</v>
      </c>
      <c r="Q308" s="302" t="s">
        <v>829</v>
      </c>
      <c r="R308" s="148" t="s">
        <v>630</v>
      </c>
      <c r="S308" s="148" t="s">
        <v>830</v>
      </c>
      <c r="T308" s="149">
        <v>5</v>
      </c>
      <c r="U308" s="148" t="s">
        <v>596</v>
      </c>
      <c r="V308" s="150">
        <v>494.39</v>
      </c>
      <c r="W308" s="151">
        <f>V308*24</f>
        <v>11865.36</v>
      </c>
    </row>
    <row r="309" spans="1:23" ht="15" customHeight="1" x14ac:dyDescent="0.25">
      <c r="A309" s="148">
        <v>455</v>
      </c>
      <c r="B309" s="148" t="s">
        <v>831</v>
      </c>
      <c r="C309" s="143" t="s">
        <v>2504</v>
      </c>
      <c r="D309" s="143" t="s">
        <v>2504</v>
      </c>
      <c r="E309" s="143" t="s">
        <v>2504</v>
      </c>
      <c r="F309" s="143" t="s">
        <v>2504</v>
      </c>
      <c r="G309" s="143" t="s">
        <v>2504</v>
      </c>
      <c r="H309" s="143" t="s">
        <v>2504</v>
      </c>
      <c r="I309" s="143" t="str">
        <f t="shared" si="50"/>
        <v>NO EXISTE</v>
      </c>
      <c r="J309" s="143" t="str">
        <f t="shared" si="51"/>
        <v>NO EXISTE</v>
      </c>
      <c r="K309" s="143" t="str">
        <f t="shared" si="52"/>
        <v>NO EXISTE</v>
      </c>
      <c r="L309" s="143" t="str">
        <f t="shared" si="53"/>
        <v>NO EXISTE</v>
      </c>
      <c r="M309" s="143" t="str">
        <f t="shared" si="54"/>
        <v>NO EXISTE</v>
      </c>
      <c r="N309" s="143" t="str">
        <f t="shared" si="55"/>
        <v>NO EXISTE</v>
      </c>
      <c r="O309" s="143" t="str">
        <f t="shared" si="56"/>
        <v>NO EXISTE</v>
      </c>
      <c r="P309" s="143" t="str">
        <f t="shared" si="57"/>
        <v>NO EXISTE</v>
      </c>
      <c r="Q309" s="302" t="s">
        <v>832</v>
      </c>
      <c r="R309" s="148" t="s">
        <v>630</v>
      </c>
      <c r="S309" s="148" t="s">
        <v>830</v>
      </c>
      <c r="T309" s="149">
        <v>200</v>
      </c>
      <c r="U309" s="148" t="s">
        <v>596</v>
      </c>
      <c r="V309" s="150">
        <v>18085.96</v>
      </c>
      <c r="W309" s="151">
        <f>V309*12</f>
        <v>217031.52</v>
      </c>
    </row>
    <row r="310" spans="1:23" ht="15" customHeight="1" x14ac:dyDescent="0.25">
      <c r="A310" s="148">
        <v>458</v>
      </c>
      <c r="B310" s="148" t="s">
        <v>836</v>
      </c>
      <c r="C310" s="143" t="s">
        <v>2504</v>
      </c>
      <c r="D310" s="143" t="s">
        <v>2504</v>
      </c>
      <c r="E310" s="143" t="s">
        <v>2504</v>
      </c>
      <c r="F310" s="143" t="s">
        <v>2504</v>
      </c>
      <c r="G310" s="143" t="s">
        <v>2504</v>
      </c>
      <c r="H310" s="143" t="s">
        <v>2504</v>
      </c>
      <c r="I310" s="143" t="str">
        <f t="shared" si="50"/>
        <v>NO EXISTE</v>
      </c>
      <c r="J310" s="143" t="str">
        <f t="shared" si="51"/>
        <v>NO EXISTE</v>
      </c>
      <c r="K310" s="143" t="str">
        <f t="shared" si="52"/>
        <v>NO EXISTE</v>
      </c>
      <c r="L310" s="143" t="str">
        <f t="shared" si="53"/>
        <v>NO EXISTE</v>
      </c>
      <c r="M310" s="143" t="str">
        <f t="shared" si="54"/>
        <v>NO EXISTE</v>
      </c>
      <c r="N310" s="143" t="str">
        <f t="shared" si="55"/>
        <v>NO EXISTE</v>
      </c>
      <c r="O310" s="143" t="str">
        <f t="shared" si="56"/>
        <v>NO EXISTE</v>
      </c>
      <c r="P310" s="143" t="str">
        <f t="shared" si="57"/>
        <v>NO EXISTE</v>
      </c>
      <c r="Q310" s="302" t="s">
        <v>837</v>
      </c>
      <c r="R310" s="148" t="s">
        <v>630</v>
      </c>
      <c r="S310" s="148" t="s">
        <v>835</v>
      </c>
      <c r="T310" s="149">
        <v>200</v>
      </c>
      <c r="U310" s="148" t="s">
        <v>596</v>
      </c>
      <c r="V310" s="150">
        <v>18786.150000000001</v>
      </c>
      <c r="W310" s="151">
        <f>V310*6</f>
        <v>112716.90000000001</v>
      </c>
    </row>
    <row r="311" spans="1:23" ht="15" customHeight="1" x14ac:dyDescent="0.25">
      <c r="A311" s="148">
        <v>461</v>
      </c>
      <c r="B311" s="148" t="s">
        <v>838</v>
      </c>
      <c r="C311" s="143" t="s">
        <v>2504</v>
      </c>
      <c r="D311" s="143" t="s">
        <v>2504</v>
      </c>
      <c r="E311" s="143" t="s">
        <v>2504</v>
      </c>
      <c r="F311" s="143" t="s">
        <v>2504</v>
      </c>
      <c r="G311" s="143" t="s">
        <v>2504</v>
      </c>
      <c r="H311" s="143" t="s">
        <v>2504</v>
      </c>
      <c r="I311" s="143" t="str">
        <f t="shared" si="50"/>
        <v>NO EXISTE</v>
      </c>
      <c r="J311" s="143" t="str">
        <f t="shared" si="51"/>
        <v>NO EXISTE</v>
      </c>
      <c r="K311" s="143" t="str">
        <f t="shared" si="52"/>
        <v>NO EXISTE</v>
      </c>
      <c r="L311" s="143" t="str">
        <f t="shared" si="53"/>
        <v>NO EXISTE</v>
      </c>
      <c r="M311" s="143" t="str">
        <f t="shared" si="54"/>
        <v>NO EXISTE</v>
      </c>
      <c r="N311" s="143" t="str">
        <f t="shared" si="55"/>
        <v>NO EXISTE</v>
      </c>
      <c r="O311" s="143" t="str">
        <f t="shared" si="56"/>
        <v>NO EXISTE</v>
      </c>
      <c r="P311" s="143" t="str">
        <f t="shared" si="57"/>
        <v>NO EXISTE</v>
      </c>
      <c r="Q311" s="302" t="s">
        <v>839</v>
      </c>
      <c r="R311" s="148" t="s">
        <v>630</v>
      </c>
      <c r="S311" s="148" t="s">
        <v>840</v>
      </c>
      <c r="T311" s="149">
        <v>200</v>
      </c>
      <c r="U311" s="148" t="s">
        <v>596</v>
      </c>
      <c r="V311" s="150">
        <v>25205.42</v>
      </c>
      <c r="W311" s="151">
        <f>V311*6</f>
        <v>151232.51999999999</v>
      </c>
    </row>
    <row r="312" spans="1:23" ht="15" customHeight="1" x14ac:dyDescent="0.25">
      <c r="A312" s="148">
        <v>480</v>
      </c>
      <c r="B312" s="148" t="s">
        <v>843</v>
      </c>
      <c r="C312" s="143" t="s">
        <v>2504</v>
      </c>
      <c r="D312" s="143" t="s">
        <v>2504</v>
      </c>
      <c r="E312" s="143" t="s">
        <v>2504</v>
      </c>
      <c r="F312" s="143" t="s">
        <v>2504</v>
      </c>
      <c r="G312" s="143" t="s">
        <v>2504</v>
      </c>
      <c r="H312" s="143" t="s">
        <v>2504</v>
      </c>
      <c r="I312" s="143" t="str">
        <f t="shared" si="50"/>
        <v>NO EXISTE</v>
      </c>
      <c r="J312" s="143" t="str">
        <f t="shared" si="51"/>
        <v>NO EXISTE</v>
      </c>
      <c r="K312" s="143" t="str">
        <f t="shared" si="52"/>
        <v>NO EXISTE</v>
      </c>
      <c r="L312" s="143" t="str">
        <f t="shared" si="53"/>
        <v>NO EXISTE</v>
      </c>
      <c r="M312" s="143" t="str">
        <f t="shared" si="54"/>
        <v>NO EXISTE</v>
      </c>
      <c r="N312" s="143" t="str">
        <f t="shared" si="55"/>
        <v>NO EXISTE</v>
      </c>
      <c r="O312" s="143" t="str">
        <f t="shared" si="56"/>
        <v>NO EXISTE</v>
      </c>
      <c r="P312" s="143" t="str">
        <f t="shared" si="57"/>
        <v>NO EXISTE</v>
      </c>
      <c r="Q312" s="302" t="s">
        <v>844</v>
      </c>
      <c r="R312" s="148" t="s">
        <v>594</v>
      </c>
      <c r="S312" s="148" t="s">
        <v>759</v>
      </c>
      <c r="T312" s="149">
        <v>19</v>
      </c>
      <c r="U312" s="148" t="s">
        <v>596</v>
      </c>
      <c r="V312" s="150">
        <v>3306.87</v>
      </c>
      <c r="W312" s="151">
        <f>V312*6</f>
        <v>19841.22</v>
      </c>
    </row>
    <row r="313" spans="1:23" ht="15" customHeight="1" x14ac:dyDescent="0.25">
      <c r="A313" s="148">
        <v>484</v>
      </c>
      <c r="B313" s="148" t="s">
        <v>845</v>
      </c>
      <c r="C313" s="143" t="s">
        <v>2504</v>
      </c>
      <c r="D313" s="143" t="s">
        <v>2504</v>
      </c>
      <c r="E313" s="143" t="s">
        <v>2504</v>
      </c>
      <c r="F313" s="143" t="s">
        <v>2504</v>
      </c>
      <c r="G313" s="143" t="s">
        <v>2504</v>
      </c>
      <c r="H313" s="143" t="s">
        <v>2504</v>
      </c>
      <c r="I313" s="143" t="str">
        <f t="shared" si="50"/>
        <v>NO EXISTE</v>
      </c>
      <c r="J313" s="143" t="str">
        <f t="shared" si="51"/>
        <v>NO EXISTE</v>
      </c>
      <c r="K313" s="143" t="str">
        <f t="shared" si="52"/>
        <v>NO EXISTE</v>
      </c>
      <c r="L313" s="143" t="str">
        <f t="shared" si="53"/>
        <v>NO EXISTE</v>
      </c>
      <c r="M313" s="143" t="str">
        <f t="shared" si="54"/>
        <v>NO EXISTE</v>
      </c>
      <c r="N313" s="143" t="str">
        <f t="shared" si="55"/>
        <v>NO EXISTE</v>
      </c>
      <c r="O313" s="143" t="str">
        <f t="shared" si="56"/>
        <v>NO EXISTE</v>
      </c>
      <c r="P313" s="143" t="str">
        <f t="shared" si="57"/>
        <v>NO EXISTE</v>
      </c>
      <c r="Q313" s="302" t="s">
        <v>846</v>
      </c>
      <c r="R313" s="148" t="s">
        <v>630</v>
      </c>
      <c r="S313" s="148" t="s">
        <v>835</v>
      </c>
      <c r="T313" s="149">
        <v>200</v>
      </c>
      <c r="U313" s="148" t="s">
        <v>596</v>
      </c>
      <c r="V313" s="150">
        <v>19381.71</v>
      </c>
      <c r="W313" s="151">
        <f>V313*6</f>
        <v>116290.26</v>
      </c>
    </row>
    <row r="314" spans="1:23" ht="15" customHeight="1" x14ac:dyDescent="0.25">
      <c r="A314" s="148">
        <v>489</v>
      </c>
      <c r="B314" s="148" t="s">
        <v>849</v>
      </c>
      <c r="C314" s="143" t="s">
        <v>2504</v>
      </c>
      <c r="D314" s="143" t="s">
        <v>2504</v>
      </c>
      <c r="E314" s="143" t="s">
        <v>2504</v>
      </c>
      <c r="F314" s="143" t="s">
        <v>2504</v>
      </c>
      <c r="G314" s="143" t="s">
        <v>2504</v>
      </c>
      <c r="H314" s="143" t="s">
        <v>2504</v>
      </c>
      <c r="I314" s="143" t="str">
        <f t="shared" si="50"/>
        <v>NO EXISTE</v>
      </c>
      <c r="J314" s="143" t="str">
        <f t="shared" si="51"/>
        <v>NO EXISTE</v>
      </c>
      <c r="K314" s="143" t="str">
        <f t="shared" si="52"/>
        <v>NO EXISTE</v>
      </c>
      <c r="L314" s="143" t="str">
        <f t="shared" si="53"/>
        <v>NO EXISTE</v>
      </c>
      <c r="M314" s="143" t="str">
        <f t="shared" si="54"/>
        <v>NO EXISTE</v>
      </c>
      <c r="N314" s="143" t="str">
        <f t="shared" si="55"/>
        <v>NO EXISTE</v>
      </c>
      <c r="O314" s="143" t="str">
        <f t="shared" si="56"/>
        <v>NO EXISTE</v>
      </c>
      <c r="P314" s="143" t="str">
        <f t="shared" si="57"/>
        <v>NO EXISTE</v>
      </c>
      <c r="Q314" s="302" t="s">
        <v>850</v>
      </c>
      <c r="R314" s="148" t="s">
        <v>606</v>
      </c>
      <c r="S314" s="148" t="s">
        <v>618</v>
      </c>
      <c r="T314" s="149">
        <v>0.95</v>
      </c>
      <c r="U314" s="148" t="s">
        <v>596</v>
      </c>
      <c r="V314" s="150">
        <v>87.54</v>
      </c>
      <c r="W314" s="151">
        <v>12303.7</v>
      </c>
    </row>
    <row r="315" spans="1:23" ht="15" customHeight="1" x14ac:dyDescent="0.25">
      <c r="A315" s="148">
        <v>496</v>
      </c>
      <c r="B315" s="148" t="s">
        <v>856</v>
      </c>
      <c r="C315" s="143" t="s">
        <v>2504</v>
      </c>
      <c r="D315" s="143" t="s">
        <v>2504</v>
      </c>
      <c r="E315" s="143" t="s">
        <v>2504</v>
      </c>
      <c r="F315" s="143" t="s">
        <v>2504</v>
      </c>
      <c r="G315" s="143" t="s">
        <v>2504</v>
      </c>
      <c r="H315" s="143" t="s">
        <v>2504</v>
      </c>
      <c r="I315" s="143" t="str">
        <f t="shared" si="50"/>
        <v>NO EXISTE</v>
      </c>
      <c r="J315" s="143" t="str">
        <f t="shared" si="51"/>
        <v>NO EXISTE</v>
      </c>
      <c r="K315" s="143" t="str">
        <f t="shared" si="52"/>
        <v>NO EXISTE</v>
      </c>
      <c r="L315" s="143" t="str">
        <f t="shared" si="53"/>
        <v>NO EXISTE</v>
      </c>
      <c r="M315" s="143" t="str">
        <f t="shared" si="54"/>
        <v>NO EXISTE</v>
      </c>
      <c r="N315" s="143" t="str">
        <f t="shared" si="55"/>
        <v>NO EXISTE</v>
      </c>
      <c r="O315" s="143" t="str">
        <f t="shared" si="56"/>
        <v>NO EXISTE</v>
      </c>
      <c r="P315" s="143" t="str">
        <f t="shared" si="57"/>
        <v>NO EXISTE</v>
      </c>
      <c r="Q315" s="302" t="s">
        <v>857</v>
      </c>
      <c r="R315" s="148" t="s">
        <v>594</v>
      </c>
      <c r="S315" s="148" t="s">
        <v>858</v>
      </c>
      <c r="T315" s="149">
        <v>0.95</v>
      </c>
      <c r="U315" s="148" t="s">
        <v>596</v>
      </c>
      <c r="V315" s="150">
        <v>148.61000000000001</v>
      </c>
      <c r="W315" s="151">
        <v>1651.4</v>
      </c>
    </row>
    <row r="316" spans="1:23" ht="15" customHeight="1" x14ac:dyDescent="0.25">
      <c r="A316" s="148">
        <v>527</v>
      </c>
      <c r="B316" s="148" t="s">
        <v>864</v>
      </c>
      <c r="C316" s="143" t="s">
        <v>2504</v>
      </c>
      <c r="D316" s="143" t="s">
        <v>2504</v>
      </c>
      <c r="E316" s="143" t="s">
        <v>2504</v>
      </c>
      <c r="F316" s="143" t="s">
        <v>2504</v>
      </c>
      <c r="G316" s="143" t="s">
        <v>2504</v>
      </c>
      <c r="H316" s="143" t="s">
        <v>2504</v>
      </c>
      <c r="I316" s="143" t="str">
        <f t="shared" si="50"/>
        <v>NO EXISTE</v>
      </c>
      <c r="J316" s="143" t="str">
        <f t="shared" si="51"/>
        <v>NO EXISTE</v>
      </c>
      <c r="K316" s="143" t="str">
        <f t="shared" si="52"/>
        <v>NO EXISTE</v>
      </c>
      <c r="L316" s="143" t="str">
        <f t="shared" si="53"/>
        <v>NO EXISTE</v>
      </c>
      <c r="M316" s="143" t="str">
        <f t="shared" si="54"/>
        <v>NO EXISTE</v>
      </c>
      <c r="N316" s="143" t="str">
        <f t="shared" si="55"/>
        <v>NO EXISTE</v>
      </c>
      <c r="O316" s="143" t="str">
        <f t="shared" si="56"/>
        <v>NO EXISTE</v>
      </c>
      <c r="P316" s="143" t="str">
        <f t="shared" si="57"/>
        <v>NO EXISTE</v>
      </c>
      <c r="Q316" s="302" t="s">
        <v>865</v>
      </c>
      <c r="R316" s="148" t="s">
        <v>594</v>
      </c>
      <c r="S316" s="148" t="s">
        <v>595</v>
      </c>
      <c r="T316" s="149">
        <v>4</v>
      </c>
      <c r="U316" s="148" t="s">
        <v>596</v>
      </c>
      <c r="V316" s="150">
        <v>426.04</v>
      </c>
      <c r="W316" s="151">
        <v>1931.92</v>
      </c>
    </row>
    <row r="317" spans="1:23" ht="15" customHeight="1" x14ac:dyDescent="0.25">
      <c r="A317" s="148">
        <v>535</v>
      </c>
      <c r="B317" s="148" t="s">
        <v>870</v>
      </c>
      <c r="C317" s="143" t="s">
        <v>2504</v>
      </c>
      <c r="D317" s="143" t="s">
        <v>2504</v>
      </c>
      <c r="E317" s="143" t="s">
        <v>2504</v>
      </c>
      <c r="F317" s="143" t="s">
        <v>2504</v>
      </c>
      <c r="G317" s="143" t="s">
        <v>2504</v>
      </c>
      <c r="H317" s="143" t="s">
        <v>2504</v>
      </c>
      <c r="I317" s="143" t="str">
        <f t="shared" si="50"/>
        <v>NO EXISTE</v>
      </c>
      <c r="J317" s="143" t="str">
        <f t="shared" si="51"/>
        <v>NO EXISTE</v>
      </c>
      <c r="K317" s="143" t="str">
        <f t="shared" si="52"/>
        <v>NO EXISTE</v>
      </c>
      <c r="L317" s="143" t="str">
        <f t="shared" si="53"/>
        <v>NO EXISTE</v>
      </c>
      <c r="M317" s="143" t="str">
        <f t="shared" si="54"/>
        <v>NO EXISTE</v>
      </c>
      <c r="N317" s="143" t="str">
        <f t="shared" si="55"/>
        <v>NO EXISTE</v>
      </c>
      <c r="O317" s="143" t="str">
        <f t="shared" si="56"/>
        <v>NO EXISTE</v>
      </c>
      <c r="P317" s="143" t="str">
        <f t="shared" si="57"/>
        <v>NO EXISTE</v>
      </c>
      <c r="Q317" s="302" t="s">
        <v>871</v>
      </c>
      <c r="R317" s="148" t="s">
        <v>606</v>
      </c>
      <c r="S317" s="148" t="s">
        <v>618</v>
      </c>
      <c r="T317" s="149">
        <v>5</v>
      </c>
      <c r="U317" s="148" t="s">
        <v>596</v>
      </c>
      <c r="V317" s="150">
        <v>444.84</v>
      </c>
      <c r="W317" s="151">
        <v>1189.6099999999999</v>
      </c>
    </row>
    <row r="318" spans="1:23" ht="15" customHeight="1" x14ac:dyDescent="0.25">
      <c r="A318" s="148">
        <v>538</v>
      </c>
      <c r="B318" s="148" t="s">
        <v>874</v>
      </c>
      <c r="C318" s="143" t="s">
        <v>2504</v>
      </c>
      <c r="D318" s="143" t="s">
        <v>2504</v>
      </c>
      <c r="E318" s="143" t="s">
        <v>2504</v>
      </c>
      <c r="F318" s="143" t="s">
        <v>2504</v>
      </c>
      <c r="G318" s="143" t="s">
        <v>2504</v>
      </c>
      <c r="H318" s="143" t="s">
        <v>2504</v>
      </c>
      <c r="I318" s="143" t="str">
        <f t="shared" si="50"/>
        <v>NO EXISTE</v>
      </c>
      <c r="J318" s="143" t="str">
        <f t="shared" si="51"/>
        <v>NO EXISTE</v>
      </c>
      <c r="K318" s="143" t="str">
        <f t="shared" si="52"/>
        <v>NO EXISTE</v>
      </c>
      <c r="L318" s="143" t="str">
        <f t="shared" si="53"/>
        <v>NO EXISTE</v>
      </c>
      <c r="M318" s="143" t="str">
        <f t="shared" si="54"/>
        <v>NO EXISTE</v>
      </c>
      <c r="N318" s="143" t="str">
        <f t="shared" si="55"/>
        <v>NO EXISTE</v>
      </c>
      <c r="O318" s="143" t="str">
        <f t="shared" si="56"/>
        <v>NO EXISTE</v>
      </c>
      <c r="P318" s="143" t="str">
        <f t="shared" si="57"/>
        <v>NO EXISTE</v>
      </c>
      <c r="Q318" s="302" t="s">
        <v>875</v>
      </c>
      <c r="R318" s="148" t="s">
        <v>606</v>
      </c>
      <c r="S318" s="148" t="s">
        <v>645</v>
      </c>
      <c r="T318" s="149">
        <v>5</v>
      </c>
      <c r="U318" s="148" t="s">
        <v>596</v>
      </c>
      <c r="V318" s="150">
        <v>501.3</v>
      </c>
      <c r="W318" s="151">
        <v>2417.38</v>
      </c>
    </row>
    <row r="319" spans="1:23" ht="15" customHeight="1" x14ac:dyDescent="0.25">
      <c r="A319" s="148">
        <v>558</v>
      </c>
      <c r="B319" s="148" t="s">
        <v>882</v>
      </c>
      <c r="C319" s="143" t="s">
        <v>2504</v>
      </c>
      <c r="D319" s="143" t="s">
        <v>2504</v>
      </c>
      <c r="E319" s="143" t="s">
        <v>2504</v>
      </c>
      <c r="F319" s="143" t="s">
        <v>2504</v>
      </c>
      <c r="G319" s="143" t="s">
        <v>2504</v>
      </c>
      <c r="H319" s="143" t="s">
        <v>2504</v>
      </c>
      <c r="I319" s="143" t="str">
        <f t="shared" si="50"/>
        <v>NO EXISTE</v>
      </c>
      <c r="J319" s="143" t="str">
        <f t="shared" si="51"/>
        <v>NO EXISTE</v>
      </c>
      <c r="K319" s="143" t="str">
        <f t="shared" si="52"/>
        <v>NO EXISTE</v>
      </c>
      <c r="L319" s="143" t="str">
        <f t="shared" si="53"/>
        <v>NO EXISTE</v>
      </c>
      <c r="M319" s="143" t="str">
        <f t="shared" si="54"/>
        <v>NO EXISTE</v>
      </c>
      <c r="N319" s="143" t="str">
        <f t="shared" si="55"/>
        <v>NO EXISTE</v>
      </c>
      <c r="O319" s="143" t="str">
        <f t="shared" si="56"/>
        <v>NO EXISTE</v>
      </c>
      <c r="P319" s="143" t="str">
        <f t="shared" si="57"/>
        <v>NO EXISTE</v>
      </c>
      <c r="Q319" s="302" t="s">
        <v>883</v>
      </c>
      <c r="R319" s="148" t="s">
        <v>594</v>
      </c>
      <c r="S319" s="148" t="s">
        <v>669</v>
      </c>
      <c r="T319" s="149">
        <v>19</v>
      </c>
      <c r="U319" s="148" t="s">
        <v>596</v>
      </c>
      <c r="V319" s="150">
        <v>2723.76</v>
      </c>
      <c r="W319" s="151">
        <f t="shared" ref="W319:W366" si="58">V319*1000</f>
        <v>2723760</v>
      </c>
    </row>
    <row r="320" spans="1:23" ht="15" customHeight="1" x14ac:dyDescent="0.25">
      <c r="A320" s="148">
        <v>604</v>
      </c>
      <c r="B320" s="148" t="s">
        <v>897</v>
      </c>
      <c r="C320" s="143" t="s">
        <v>2504</v>
      </c>
      <c r="D320" s="143" t="s">
        <v>2504</v>
      </c>
      <c r="E320" s="143" t="s">
        <v>2504</v>
      </c>
      <c r="F320" s="143" t="s">
        <v>2504</v>
      </c>
      <c r="G320" s="143" t="s">
        <v>2504</v>
      </c>
      <c r="H320" s="143" t="s">
        <v>2504</v>
      </c>
      <c r="I320" s="143" t="str">
        <f t="shared" si="50"/>
        <v>NO EXISTE</v>
      </c>
      <c r="J320" s="143" t="str">
        <f t="shared" si="51"/>
        <v>NO EXISTE</v>
      </c>
      <c r="K320" s="143" t="str">
        <f t="shared" si="52"/>
        <v>NO EXISTE</v>
      </c>
      <c r="L320" s="143" t="str">
        <f t="shared" si="53"/>
        <v>NO EXISTE</v>
      </c>
      <c r="M320" s="143" t="str">
        <f t="shared" si="54"/>
        <v>NO EXISTE</v>
      </c>
      <c r="N320" s="143" t="str">
        <f t="shared" si="55"/>
        <v>NO EXISTE</v>
      </c>
      <c r="O320" s="143" t="str">
        <f t="shared" si="56"/>
        <v>NO EXISTE</v>
      </c>
      <c r="P320" s="143" t="str">
        <f t="shared" si="57"/>
        <v>NO EXISTE</v>
      </c>
      <c r="Q320" s="302" t="s">
        <v>898</v>
      </c>
      <c r="R320" s="148" t="s">
        <v>589</v>
      </c>
      <c r="S320" s="148" t="s">
        <v>627</v>
      </c>
      <c r="T320" s="149">
        <v>0.95</v>
      </c>
      <c r="U320" s="148" t="s">
        <v>596</v>
      </c>
      <c r="V320" s="150">
        <v>88.53</v>
      </c>
      <c r="W320" s="151">
        <f t="shared" si="58"/>
        <v>88530</v>
      </c>
    </row>
    <row r="321" spans="1:23" ht="15" customHeight="1" x14ac:dyDescent="0.25">
      <c r="A321" s="148">
        <v>654</v>
      </c>
      <c r="B321" s="148" t="s">
        <v>928</v>
      </c>
      <c r="C321" s="143" t="s">
        <v>2504</v>
      </c>
      <c r="D321" s="143" t="s">
        <v>2504</v>
      </c>
      <c r="E321" s="143" t="s">
        <v>2504</v>
      </c>
      <c r="F321" s="143" t="s">
        <v>2504</v>
      </c>
      <c r="G321" s="143" t="s">
        <v>2504</v>
      </c>
      <c r="H321" s="143" t="s">
        <v>2504</v>
      </c>
      <c r="I321" s="143" t="str">
        <f t="shared" si="50"/>
        <v>NO EXISTE</v>
      </c>
      <c r="J321" s="143" t="str">
        <f t="shared" si="51"/>
        <v>NO EXISTE</v>
      </c>
      <c r="K321" s="143" t="str">
        <f t="shared" si="52"/>
        <v>NO EXISTE</v>
      </c>
      <c r="L321" s="143" t="str">
        <f t="shared" si="53"/>
        <v>NO EXISTE</v>
      </c>
      <c r="M321" s="143" t="str">
        <f t="shared" si="54"/>
        <v>NO EXISTE</v>
      </c>
      <c r="N321" s="143" t="str">
        <f t="shared" si="55"/>
        <v>NO EXISTE</v>
      </c>
      <c r="O321" s="143" t="str">
        <f t="shared" si="56"/>
        <v>NO EXISTE</v>
      </c>
      <c r="P321" s="143" t="str">
        <f t="shared" si="57"/>
        <v>NO EXISTE</v>
      </c>
      <c r="Q321" s="302" t="s">
        <v>929</v>
      </c>
      <c r="R321" s="148" t="s">
        <v>694</v>
      </c>
      <c r="S321" s="148" t="s">
        <v>698</v>
      </c>
      <c r="T321" s="149">
        <v>0.95</v>
      </c>
      <c r="U321" s="148" t="s">
        <v>596</v>
      </c>
      <c r="V321" s="150">
        <v>115.47</v>
      </c>
      <c r="W321" s="151">
        <f t="shared" si="58"/>
        <v>115470</v>
      </c>
    </row>
    <row r="322" spans="1:23" ht="15" customHeight="1" x14ac:dyDescent="0.25">
      <c r="A322" s="148">
        <v>758</v>
      </c>
      <c r="B322" s="148" t="s">
        <v>953</v>
      </c>
      <c r="C322" s="143" t="s">
        <v>2504</v>
      </c>
      <c r="D322" s="143" t="s">
        <v>2504</v>
      </c>
      <c r="E322" s="143" t="s">
        <v>2504</v>
      </c>
      <c r="F322" s="143" t="s">
        <v>2504</v>
      </c>
      <c r="G322" s="143" t="s">
        <v>2504</v>
      </c>
      <c r="H322" s="143" t="s">
        <v>2504</v>
      </c>
      <c r="I322" s="143" t="str">
        <f t="shared" si="50"/>
        <v>NO EXISTE</v>
      </c>
      <c r="J322" s="143" t="str">
        <f t="shared" si="51"/>
        <v>NO EXISTE</v>
      </c>
      <c r="K322" s="143" t="str">
        <f t="shared" si="52"/>
        <v>NO EXISTE</v>
      </c>
      <c r="L322" s="143" t="str">
        <f t="shared" si="53"/>
        <v>NO EXISTE</v>
      </c>
      <c r="M322" s="143" t="str">
        <f t="shared" si="54"/>
        <v>NO EXISTE</v>
      </c>
      <c r="N322" s="143" t="str">
        <f t="shared" si="55"/>
        <v>NO EXISTE</v>
      </c>
      <c r="O322" s="143" t="str">
        <f t="shared" si="56"/>
        <v>NO EXISTE</v>
      </c>
      <c r="P322" s="143" t="str">
        <f t="shared" si="57"/>
        <v>NO EXISTE</v>
      </c>
      <c r="Q322" s="302" t="s">
        <v>954</v>
      </c>
      <c r="R322" s="148" t="s">
        <v>705</v>
      </c>
      <c r="S322" s="148" t="s">
        <v>727</v>
      </c>
      <c r="T322" s="149">
        <v>7</v>
      </c>
      <c r="U322" s="148" t="s">
        <v>596</v>
      </c>
      <c r="V322" s="150">
        <v>882.56</v>
      </c>
      <c r="W322" s="151">
        <f t="shared" si="58"/>
        <v>882560</v>
      </c>
    </row>
    <row r="323" spans="1:23" ht="15" customHeight="1" x14ac:dyDescent="0.25">
      <c r="A323" s="148">
        <v>759</v>
      </c>
      <c r="B323" s="148" t="s">
        <v>955</v>
      </c>
      <c r="C323" s="143" t="s">
        <v>2504</v>
      </c>
      <c r="D323" s="143" t="s">
        <v>2504</v>
      </c>
      <c r="E323" s="143" t="s">
        <v>2504</v>
      </c>
      <c r="F323" s="143" t="s">
        <v>2504</v>
      </c>
      <c r="G323" s="143" t="s">
        <v>2504</v>
      </c>
      <c r="H323" s="143" t="s">
        <v>2504</v>
      </c>
      <c r="I323" s="143" t="str">
        <f t="shared" si="50"/>
        <v>NO EXISTE</v>
      </c>
      <c r="J323" s="143" t="str">
        <f t="shared" si="51"/>
        <v>NO EXISTE</v>
      </c>
      <c r="K323" s="143" t="str">
        <f t="shared" si="52"/>
        <v>NO EXISTE</v>
      </c>
      <c r="L323" s="143" t="str">
        <f t="shared" si="53"/>
        <v>NO EXISTE</v>
      </c>
      <c r="M323" s="143" t="str">
        <f t="shared" si="54"/>
        <v>NO EXISTE</v>
      </c>
      <c r="N323" s="143" t="str">
        <f t="shared" si="55"/>
        <v>NO EXISTE</v>
      </c>
      <c r="O323" s="143" t="str">
        <f t="shared" si="56"/>
        <v>NO EXISTE</v>
      </c>
      <c r="P323" s="143" t="str">
        <f t="shared" si="57"/>
        <v>NO EXISTE</v>
      </c>
      <c r="Q323" s="302" t="s">
        <v>956</v>
      </c>
      <c r="R323" s="148" t="s">
        <v>705</v>
      </c>
      <c r="S323" s="148" t="s">
        <v>727</v>
      </c>
      <c r="T323" s="149">
        <v>16</v>
      </c>
      <c r="U323" s="148" t="s">
        <v>596</v>
      </c>
      <c r="V323" s="150">
        <v>1960.16</v>
      </c>
      <c r="W323" s="151">
        <f t="shared" si="58"/>
        <v>1960160</v>
      </c>
    </row>
    <row r="324" spans="1:23" ht="15" customHeight="1" x14ac:dyDescent="0.25">
      <c r="A324" s="148">
        <v>765</v>
      </c>
      <c r="B324" s="148" t="s">
        <v>957</v>
      </c>
      <c r="C324" s="143" t="s">
        <v>2504</v>
      </c>
      <c r="D324" s="143" t="s">
        <v>2504</v>
      </c>
      <c r="E324" s="143" t="s">
        <v>2504</v>
      </c>
      <c r="F324" s="143" t="s">
        <v>2504</v>
      </c>
      <c r="G324" s="143" t="s">
        <v>2504</v>
      </c>
      <c r="H324" s="143" t="s">
        <v>2504</v>
      </c>
      <c r="I324" s="143" t="str">
        <f t="shared" si="50"/>
        <v>NO EXISTE</v>
      </c>
      <c r="J324" s="143" t="str">
        <f t="shared" si="51"/>
        <v>NO EXISTE</v>
      </c>
      <c r="K324" s="143" t="str">
        <f t="shared" si="52"/>
        <v>NO EXISTE</v>
      </c>
      <c r="L324" s="143" t="str">
        <f t="shared" si="53"/>
        <v>NO EXISTE</v>
      </c>
      <c r="M324" s="143" t="str">
        <f t="shared" si="54"/>
        <v>NO EXISTE</v>
      </c>
      <c r="N324" s="143" t="str">
        <f t="shared" si="55"/>
        <v>NO EXISTE</v>
      </c>
      <c r="O324" s="143" t="str">
        <f t="shared" si="56"/>
        <v>NO EXISTE</v>
      </c>
      <c r="P324" s="143" t="str">
        <f t="shared" si="57"/>
        <v>NO EXISTE</v>
      </c>
      <c r="Q324" s="302" t="s">
        <v>958</v>
      </c>
      <c r="R324" s="148" t="s">
        <v>606</v>
      </c>
      <c r="S324" s="148" t="s">
        <v>497</v>
      </c>
      <c r="T324" s="149">
        <v>200</v>
      </c>
      <c r="U324" s="148" t="s">
        <v>596</v>
      </c>
      <c r="V324" s="150">
        <v>55672.01</v>
      </c>
      <c r="W324" s="151">
        <f t="shared" si="58"/>
        <v>55672010</v>
      </c>
    </row>
    <row r="325" spans="1:23" ht="15" customHeight="1" x14ac:dyDescent="0.25">
      <c r="A325" s="148">
        <v>809</v>
      </c>
      <c r="B325" s="148" t="s">
        <v>970</v>
      </c>
      <c r="C325" s="143" t="s">
        <v>2504</v>
      </c>
      <c r="D325" s="143" t="s">
        <v>2504</v>
      </c>
      <c r="E325" s="143" t="s">
        <v>2504</v>
      </c>
      <c r="F325" s="143" t="s">
        <v>2504</v>
      </c>
      <c r="G325" s="143" t="s">
        <v>2504</v>
      </c>
      <c r="H325" s="143" t="s">
        <v>2504</v>
      </c>
      <c r="I325" s="143" t="str">
        <f t="shared" si="50"/>
        <v>NO EXISTE</v>
      </c>
      <c r="J325" s="143" t="str">
        <f t="shared" si="51"/>
        <v>NO EXISTE</v>
      </c>
      <c r="K325" s="143" t="str">
        <f t="shared" si="52"/>
        <v>NO EXISTE</v>
      </c>
      <c r="L325" s="143" t="str">
        <f t="shared" si="53"/>
        <v>NO EXISTE</v>
      </c>
      <c r="M325" s="143" t="str">
        <f t="shared" si="54"/>
        <v>NO EXISTE</v>
      </c>
      <c r="N325" s="143" t="str">
        <f t="shared" si="55"/>
        <v>NO EXISTE</v>
      </c>
      <c r="O325" s="143" t="str">
        <f t="shared" si="56"/>
        <v>NO EXISTE</v>
      </c>
      <c r="P325" s="143" t="str">
        <f t="shared" si="57"/>
        <v>NO EXISTE</v>
      </c>
      <c r="Q325" s="302" t="s">
        <v>971</v>
      </c>
      <c r="R325" s="148" t="s">
        <v>594</v>
      </c>
      <c r="S325" s="148" t="s">
        <v>604</v>
      </c>
      <c r="T325" s="149">
        <v>0.95</v>
      </c>
      <c r="U325" s="148" t="s">
        <v>596</v>
      </c>
      <c r="V325" s="150">
        <v>106.1</v>
      </c>
      <c r="W325" s="151">
        <f t="shared" si="58"/>
        <v>106100</v>
      </c>
    </row>
    <row r="326" spans="1:23" ht="15" customHeight="1" x14ac:dyDescent="0.25">
      <c r="A326" s="148">
        <v>810</v>
      </c>
      <c r="B326" s="148" t="s">
        <v>972</v>
      </c>
      <c r="C326" s="143" t="s">
        <v>2504</v>
      </c>
      <c r="D326" s="143" t="s">
        <v>2504</v>
      </c>
      <c r="E326" s="143" t="s">
        <v>2504</v>
      </c>
      <c r="F326" s="143" t="s">
        <v>2504</v>
      </c>
      <c r="G326" s="143" t="s">
        <v>2504</v>
      </c>
      <c r="H326" s="143" t="s">
        <v>2504</v>
      </c>
      <c r="I326" s="143" t="str">
        <f t="shared" si="50"/>
        <v>NO EXISTE</v>
      </c>
      <c r="J326" s="143" t="str">
        <f t="shared" si="51"/>
        <v>NO EXISTE</v>
      </c>
      <c r="K326" s="143" t="str">
        <f t="shared" si="52"/>
        <v>NO EXISTE</v>
      </c>
      <c r="L326" s="143" t="str">
        <f t="shared" si="53"/>
        <v>NO EXISTE</v>
      </c>
      <c r="M326" s="143" t="str">
        <f t="shared" si="54"/>
        <v>NO EXISTE</v>
      </c>
      <c r="N326" s="143" t="str">
        <f t="shared" si="55"/>
        <v>NO EXISTE</v>
      </c>
      <c r="O326" s="143" t="str">
        <f t="shared" si="56"/>
        <v>NO EXISTE</v>
      </c>
      <c r="P326" s="143" t="str">
        <f t="shared" si="57"/>
        <v>NO EXISTE</v>
      </c>
      <c r="Q326" s="302" t="s">
        <v>973</v>
      </c>
      <c r="R326" s="148" t="s">
        <v>594</v>
      </c>
      <c r="S326" s="148" t="s">
        <v>604</v>
      </c>
      <c r="T326" s="149">
        <v>5</v>
      </c>
      <c r="U326" s="148" t="s">
        <v>596</v>
      </c>
      <c r="V326" s="150">
        <v>556.6</v>
      </c>
      <c r="W326" s="151">
        <f t="shared" si="58"/>
        <v>556600</v>
      </c>
    </row>
    <row r="327" spans="1:23" ht="15" customHeight="1" x14ac:dyDescent="0.25">
      <c r="A327" s="148">
        <v>811</v>
      </c>
      <c r="B327" s="148" t="s">
        <v>974</v>
      </c>
      <c r="C327" s="143" t="s">
        <v>2504</v>
      </c>
      <c r="D327" s="143" t="s">
        <v>2504</v>
      </c>
      <c r="E327" s="143" t="s">
        <v>2504</v>
      </c>
      <c r="F327" s="143" t="s">
        <v>2504</v>
      </c>
      <c r="G327" s="143" t="s">
        <v>2504</v>
      </c>
      <c r="H327" s="143" t="s">
        <v>2504</v>
      </c>
      <c r="I327" s="143" t="str">
        <f t="shared" si="50"/>
        <v>NO EXISTE</v>
      </c>
      <c r="J327" s="143" t="str">
        <f t="shared" si="51"/>
        <v>NO EXISTE</v>
      </c>
      <c r="K327" s="143" t="str">
        <f t="shared" si="52"/>
        <v>NO EXISTE</v>
      </c>
      <c r="L327" s="143" t="str">
        <f t="shared" si="53"/>
        <v>NO EXISTE</v>
      </c>
      <c r="M327" s="143" t="str">
        <f t="shared" si="54"/>
        <v>NO EXISTE</v>
      </c>
      <c r="N327" s="143" t="str">
        <f t="shared" si="55"/>
        <v>NO EXISTE</v>
      </c>
      <c r="O327" s="143" t="str">
        <f t="shared" si="56"/>
        <v>NO EXISTE</v>
      </c>
      <c r="P327" s="143" t="str">
        <f t="shared" si="57"/>
        <v>NO EXISTE</v>
      </c>
      <c r="Q327" s="302" t="s">
        <v>975</v>
      </c>
      <c r="R327" s="148" t="s">
        <v>594</v>
      </c>
      <c r="S327" s="148" t="s">
        <v>604</v>
      </c>
      <c r="T327" s="149">
        <v>0.95</v>
      </c>
      <c r="U327" s="148" t="s">
        <v>596</v>
      </c>
      <c r="V327" s="150">
        <v>106.02</v>
      </c>
      <c r="W327" s="151">
        <f t="shared" si="58"/>
        <v>106020</v>
      </c>
    </row>
    <row r="328" spans="1:23" ht="15" customHeight="1" x14ac:dyDescent="0.25">
      <c r="A328" s="148">
        <v>813</v>
      </c>
      <c r="B328" s="148" t="s">
        <v>978</v>
      </c>
      <c r="C328" s="143" t="s">
        <v>2504</v>
      </c>
      <c r="D328" s="143" t="s">
        <v>2504</v>
      </c>
      <c r="E328" s="143" t="s">
        <v>2504</v>
      </c>
      <c r="F328" s="143" t="s">
        <v>2504</v>
      </c>
      <c r="G328" s="143" t="s">
        <v>2504</v>
      </c>
      <c r="H328" s="143" t="s">
        <v>2504</v>
      </c>
      <c r="I328" s="143" t="str">
        <f t="shared" si="50"/>
        <v>NO EXISTE</v>
      </c>
      <c r="J328" s="143" t="str">
        <f t="shared" si="51"/>
        <v>NO EXISTE</v>
      </c>
      <c r="K328" s="143" t="str">
        <f t="shared" si="52"/>
        <v>NO EXISTE</v>
      </c>
      <c r="L328" s="143" t="str">
        <f t="shared" si="53"/>
        <v>NO EXISTE</v>
      </c>
      <c r="M328" s="143" t="str">
        <f t="shared" si="54"/>
        <v>NO EXISTE</v>
      </c>
      <c r="N328" s="143" t="str">
        <f t="shared" si="55"/>
        <v>NO EXISTE</v>
      </c>
      <c r="O328" s="143" t="str">
        <f t="shared" si="56"/>
        <v>NO EXISTE</v>
      </c>
      <c r="P328" s="143" t="str">
        <f t="shared" si="57"/>
        <v>NO EXISTE</v>
      </c>
      <c r="Q328" s="302" t="s">
        <v>979</v>
      </c>
      <c r="R328" s="148" t="s">
        <v>594</v>
      </c>
      <c r="S328" s="148" t="s">
        <v>604</v>
      </c>
      <c r="T328" s="149">
        <v>19</v>
      </c>
      <c r="U328" s="148" t="s">
        <v>596</v>
      </c>
      <c r="V328" s="150">
        <v>2019.52</v>
      </c>
      <c r="W328" s="151">
        <f t="shared" si="58"/>
        <v>2019520</v>
      </c>
    </row>
    <row r="329" spans="1:23" ht="15" customHeight="1" x14ac:dyDescent="0.25">
      <c r="A329" s="148">
        <v>814</v>
      </c>
      <c r="B329" s="148" t="s">
        <v>980</v>
      </c>
      <c r="C329" s="143" t="s">
        <v>2504</v>
      </c>
      <c r="D329" s="143" t="s">
        <v>2504</v>
      </c>
      <c r="E329" s="143" t="s">
        <v>2504</v>
      </c>
      <c r="F329" s="143" t="s">
        <v>2504</v>
      </c>
      <c r="G329" s="143" t="s">
        <v>2504</v>
      </c>
      <c r="H329" s="143" t="s">
        <v>2504</v>
      </c>
      <c r="I329" s="143" t="str">
        <f t="shared" si="50"/>
        <v>NO EXISTE</v>
      </c>
      <c r="J329" s="143" t="str">
        <f t="shared" si="51"/>
        <v>NO EXISTE</v>
      </c>
      <c r="K329" s="143" t="str">
        <f t="shared" si="52"/>
        <v>NO EXISTE</v>
      </c>
      <c r="L329" s="143" t="str">
        <f t="shared" si="53"/>
        <v>NO EXISTE</v>
      </c>
      <c r="M329" s="143" t="str">
        <f t="shared" si="54"/>
        <v>NO EXISTE</v>
      </c>
      <c r="N329" s="143" t="str">
        <f t="shared" si="55"/>
        <v>NO EXISTE</v>
      </c>
      <c r="O329" s="143" t="str">
        <f t="shared" si="56"/>
        <v>NO EXISTE</v>
      </c>
      <c r="P329" s="143" t="str">
        <f t="shared" si="57"/>
        <v>NO EXISTE</v>
      </c>
      <c r="Q329" s="302" t="s">
        <v>981</v>
      </c>
      <c r="R329" s="148" t="s">
        <v>594</v>
      </c>
      <c r="S329" s="148" t="s">
        <v>604</v>
      </c>
      <c r="T329" s="149">
        <v>200</v>
      </c>
      <c r="U329" s="148" t="s">
        <v>596</v>
      </c>
      <c r="V329" s="150">
        <v>20975.48</v>
      </c>
      <c r="W329" s="151">
        <f t="shared" si="58"/>
        <v>20975480</v>
      </c>
    </row>
    <row r="330" spans="1:23" ht="15" customHeight="1" x14ac:dyDescent="0.25">
      <c r="A330" s="148">
        <v>816</v>
      </c>
      <c r="B330" s="148" t="s">
        <v>982</v>
      </c>
      <c r="C330" s="143" t="s">
        <v>2504</v>
      </c>
      <c r="D330" s="143" t="s">
        <v>2504</v>
      </c>
      <c r="E330" s="143" t="s">
        <v>2504</v>
      </c>
      <c r="F330" s="143" t="s">
        <v>2504</v>
      </c>
      <c r="G330" s="143" t="s">
        <v>2504</v>
      </c>
      <c r="H330" s="143" t="s">
        <v>2504</v>
      </c>
      <c r="I330" s="143" t="str">
        <f t="shared" si="50"/>
        <v>NO EXISTE</v>
      </c>
      <c r="J330" s="143" t="str">
        <f t="shared" si="51"/>
        <v>NO EXISTE</v>
      </c>
      <c r="K330" s="143" t="str">
        <f t="shared" si="52"/>
        <v>NO EXISTE</v>
      </c>
      <c r="L330" s="143" t="str">
        <f t="shared" si="53"/>
        <v>NO EXISTE</v>
      </c>
      <c r="M330" s="143" t="str">
        <f t="shared" si="54"/>
        <v>NO EXISTE</v>
      </c>
      <c r="N330" s="143" t="str">
        <f t="shared" si="55"/>
        <v>NO EXISTE</v>
      </c>
      <c r="O330" s="143" t="str">
        <f t="shared" si="56"/>
        <v>NO EXISTE</v>
      </c>
      <c r="P330" s="143" t="str">
        <f t="shared" si="57"/>
        <v>NO EXISTE</v>
      </c>
      <c r="Q330" s="302" t="s">
        <v>983</v>
      </c>
      <c r="R330" s="148" t="s">
        <v>594</v>
      </c>
      <c r="S330" s="148" t="s">
        <v>604</v>
      </c>
      <c r="T330" s="149">
        <v>19</v>
      </c>
      <c r="U330" s="148" t="s">
        <v>596</v>
      </c>
      <c r="V330" s="150">
        <v>2017.98</v>
      </c>
      <c r="W330" s="151">
        <f t="shared" si="58"/>
        <v>2017980</v>
      </c>
    </row>
    <row r="331" spans="1:23" ht="15" customHeight="1" x14ac:dyDescent="0.25">
      <c r="A331" s="148">
        <v>822</v>
      </c>
      <c r="B331" s="148" t="s">
        <v>984</v>
      </c>
      <c r="C331" s="143" t="s">
        <v>2504</v>
      </c>
      <c r="D331" s="143" t="s">
        <v>2504</v>
      </c>
      <c r="E331" s="143" t="s">
        <v>2504</v>
      </c>
      <c r="F331" s="143" t="s">
        <v>2504</v>
      </c>
      <c r="G331" s="143" t="s">
        <v>2504</v>
      </c>
      <c r="H331" s="143" t="s">
        <v>2504</v>
      </c>
      <c r="I331" s="143" t="str">
        <f t="shared" si="50"/>
        <v>NO EXISTE</v>
      </c>
      <c r="J331" s="143" t="str">
        <f t="shared" si="51"/>
        <v>NO EXISTE</v>
      </c>
      <c r="K331" s="143" t="str">
        <f t="shared" si="52"/>
        <v>NO EXISTE</v>
      </c>
      <c r="L331" s="143" t="str">
        <f t="shared" si="53"/>
        <v>NO EXISTE</v>
      </c>
      <c r="M331" s="143" t="str">
        <f t="shared" si="54"/>
        <v>NO EXISTE</v>
      </c>
      <c r="N331" s="143" t="str">
        <f t="shared" si="55"/>
        <v>NO EXISTE</v>
      </c>
      <c r="O331" s="143" t="str">
        <f t="shared" si="56"/>
        <v>NO EXISTE</v>
      </c>
      <c r="P331" s="143" t="str">
        <f t="shared" si="57"/>
        <v>NO EXISTE</v>
      </c>
      <c r="Q331" s="302" t="s">
        <v>985</v>
      </c>
      <c r="R331" s="148" t="s">
        <v>594</v>
      </c>
      <c r="S331" s="148" t="s">
        <v>986</v>
      </c>
      <c r="T331" s="149">
        <v>200</v>
      </c>
      <c r="U331" s="148" t="s">
        <v>596</v>
      </c>
      <c r="V331" s="150">
        <v>21028.12</v>
      </c>
      <c r="W331" s="151">
        <f t="shared" si="58"/>
        <v>21028120</v>
      </c>
    </row>
    <row r="332" spans="1:23" ht="15" customHeight="1" x14ac:dyDescent="0.25">
      <c r="A332" s="148">
        <v>824</v>
      </c>
      <c r="B332" s="148" t="s">
        <v>988</v>
      </c>
      <c r="C332" s="143" t="s">
        <v>2504</v>
      </c>
      <c r="D332" s="143" t="s">
        <v>2504</v>
      </c>
      <c r="E332" s="143" t="s">
        <v>2504</v>
      </c>
      <c r="F332" s="143" t="s">
        <v>2504</v>
      </c>
      <c r="G332" s="143" t="s">
        <v>2504</v>
      </c>
      <c r="H332" s="143" t="s">
        <v>2504</v>
      </c>
      <c r="I332" s="143" t="str">
        <f t="shared" si="50"/>
        <v>NO EXISTE</v>
      </c>
      <c r="J332" s="143" t="str">
        <f t="shared" si="51"/>
        <v>NO EXISTE</v>
      </c>
      <c r="K332" s="143" t="str">
        <f t="shared" si="52"/>
        <v>NO EXISTE</v>
      </c>
      <c r="L332" s="143" t="str">
        <f t="shared" si="53"/>
        <v>NO EXISTE</v>
      </c>
      <c r="M332" s="143" t="str">
        <f t="shared" si="54"/>
        <v>NO EXISTE</v>
      </c>
      <c r="N332" s="143" t="str">
        <f t="shared" si="55"/>
        <v>NO EXISTE</v>
      </c>
      <c r="O332" s="143" t="str">
        <f t="shared" si="56"/>
        <v>NO EXISTE</v>
      </c>
      <c r="P332" s="143" t="str">
        <f t="shared" si="57"/>
        <v>NO EXISTE</v>
      </c>
      <c r="Q332" s="302" t="s">
        <v>989</v>
      </c>
      <c r="R332" s="148" t="s">
        <v>594</v>
      </c>
      <c r="S332" s="148" t="s">
        <v>604</v>
      </c>
      <c r="T332" s="149">
        <v>5</v>
      </c>
      <c r="U332" s="148" t="s">
        <v>596</v>
      </c>
      <c r="V332" s="150">
        <v>555.33000000000004</v>
      </c>
      <c r="W332" s="151">
        <f t="shared" si="58"/>
        <v>555330</v>
      </c>
    </row>
    <row r="333" spans="1:23" ht="15" customHeight="1" x14ac:dyDescent="0.25">
      <c r="A333" s="148">
        <v>825</v>
      </c>
      <c r="B333" s="148" t="s">
        <v>990</v>
      </c>
      <c r="C333" s="143" t="s">
        <v>2504</v>
      </c>
      <c r="D333" s="143" t="s">
        <v>2504</v>
      </c>
      <c r="E333" s="143" t="s">
        <v>2504</v>
      </c>
      <c r="F333" s="143" t="s">
        <v>2504</v>
      </c>
      <c r="G333" s="143" t="s">
        <v>2504</v>
      </c>
      <c r="H333" s="143" t="s">
        <v>2504</v>
      </c>
      <c r="I333" s="143" t="str">
        <f t="shared" si="50"/>
        <v>NO EXISTE</v>
      </c>
      <c r="J333" s="143" t="str">
        <f t="shared" si="51"/>
        <v>NO EXISTE</v>
      </c>
      <c r="K333" s="143" t="str">
        <f t="shared" si="52"/>
        <v>NO EXISTE</v>
      </c>
      <c r="L333" s="143" t="str">
        <f t="shared" si="53"/>
        <v>NO EXISTE</v>
      </c>
      <c r="M333" s="143" t="str">
        <f t="shared" si="54"/>
        <v>NO EXISTE</v>
      </c>
      <c r="N333" s="143" t="str">
        <f t="shared" si="55"/>
        <v>NO EXISTE</v>
      </c>
      <c r="O333" s="143" t="str">
        <f t="shared" si="56"/>
        <v>NO EXISTE</v>
      </c>
      <c r="P333" s="143" t="str">
        <f t="shared" si="57"/>
        <v>NO EXISTE</v>
      </c>
      <c r="Q333" s="302" t="s">
        <v>991</v>
      </c>
      <c r="R333" s="148" t="s">
        <v>594</v>
      </c>
      <c r="S333" s="148" t="s">
        <v>604</v>
      </c>
      <c r="T333" s="149">
        <v>0.95</v>
      </c>
      <c r="U333" s="148" t="s">
        <v>596</v>
      </c>
      <c r="V333" s="150">
        <v>105.93</v>
      </c>
      <c r="W333" s="151">
        <f t="shared" si="58"/>
        <v>105930</v>
      </c>
    </row>
    <row r="334" spans="1:23" ht="15" customHeight="1" x14ac:dyDescent="0.25">
      <c r="A334" s="148">
        <v>827</v>
      </c>
      <c r="B334" s="148" t="s">
        <v>992</v>
      </c>
      <c r="C334" s="143" t="s">
        <v>2504</v>
      </c>
      <c r="D334" s="143" t="s">
        <v>2504</v>
      </c>
      <c r="E334" s="143" t="s">
        <v>2504</v>
      </c>
      <c r="F334" s="143" t="s">
        <v>2504</v>
      </c>
      <c r="G334" s="143" t="s">
        <v>2504</v>
      </c>
      <c r="H334" s="143" t="s">
        <v>2504</v>
      </c>
      <c r="I334" s="143" t="str">
        <f t="shared" si="50"/>
        <v>NO EXISTE</v>
      </c>
      <c r="J334" s="143" t="str">
        <f t="shared" si="51"/>
        <v>NO EXISTE</v>
      </c>
      <c r="K334" s="143" t="str">
        <f t="shared" si="52"/>
        <v>NO EXISTE</v>
      </c>
      <c r="L334" s="143" t="str">
        <f t="shared" si="53"/>
        <v>NO EXISTE</v>
      </c>
      <c r="M334" s="143" t="str">
        <f t="shared" si="54"/>
        <v>NO EXISTE</v>
      </c>
      <c r="N334" s="143" t="str">
        <f t="shared" si="55"/>
        <v>NO EXISTE</v>
      </c>
      <c r="O334" s="143" t="str">
        <f t="shared" si="56"/>
        <v>NO EXISTE</v>
      </c>
      <c r="P334" s="143" t="str">
        <f t="shared" si="57"/>
        <v>NO EXISTE</v>
      </c>
      <c r="Q334" s="302" t="s">
        <v>993</v>
      </c>
      <c r="R334" s="148" t="s">
        <v>594</v>
      </c>
      <c r="S334" s="148" t="s">
        <v>986</v>
      </c>
      <c r="T334" s="149">
        <v>0.95</v>
      </c>
      <c r="U334" s="148" t="s">
        <v>596</v>
      </c>
      <c r="V334" s="150">
        <v>102.78</v>
      </c>
      <c r="W334" s="151">
        <f t="shared" si="58"/>
        <v>102780</v>
      </c>
    </row>
    <row r="335" spans="1:23" ht="15" customHeight="1" x14ac:dyDescent="0.25">
      <c r="A335" s="148">
        <v>831</v>
      </c>
      <c r="B335" s="148" t="s">
        <v>994</v>
      </c>
      <c r="C335" s="143" t="s">
        <v>2504</v>
      </c>
      <c r="D335" s="143" t="s">
        <v>2504</v>
      </c>
      <c r="E335" s="143" t="s">
        <v>2504</v>
      </c>
      <c r="F335" s="143" t="s">
        <v>2504</v>
      </c>
      <c r="G335" s="143" t="s">
        <v>2504</v>
      </c>
      <c r="H335" s="143" t="s">
        <v>2504</v>
      </c>
      <c r="I335" s="143" t="str">
        <f t="shared" si="50"/>
        <v>NO EXISTE</v>
      </c>
      <c r="J335" s="143" t="str">
        <f t="shared" si="51"/>
        <v>NO EXISTE</v>
      </c>
      <c r="K335" s="143" t="str">
        <f t="shared" si="52"/>
        <v>NO EXISTE</v>
      </c>
      <c r="L335" s="143" t="str">
        <f t="shared" si="53"/>
        <v>NO EXISTE</v>
      </c>
      <c r="M335" s="143" t="str">
        <f t="shared" si="54"/>
        <v>NO EXISTE</v>
      </c>
      <c r="N335" s="143" t="str">
        <f t="shared" si="55"/>
        <v>NO EXISTE</v>
      </c>
      <c r="O335" s="143" t="str">
        <f t="shared" si="56"/>
        <v>NO EXISTE</v>
      </c>
      <c r="P335" s="143" t="str">
        <f t="shared" si="57"/>
        <v>NO EXISTE</v>
      </c>
      <c r="Q335" s="302" t="s">
        <v>995</v>
      </c>
      <c r="R335" s="148" t="s">
        <v>600</v>
      </c>
      <c r="S335" s="148" t="s">
        <v>996</v>
      </c>
      <c r="T335" s="149">
        <v>0.25</v>
      </c>
      <c r="U335" s="148" t="s">
        <v>596</v>
      </c>
      <c r="V335" s="150">
        <v>41.26</v>
      </c>
      <c r="W335" s="151">
        <f t="shared" si="58"/>
        <v>41260</v>
      </c>
    </row>
    <row r="336" spans="1:23" ht="15" customHeight="1" x14ac:dyDescent="0.25">
      <c r="A336" s="148">
        <v>833</v>
      </c>
      <c r="B336" s="148" t="s">
        <v>997</v>
      </c>
      <c r="C336" s="143" t="s">
        <v>2504</v>
      </c>
      <c r="D336" s="143" t="s">
        <v>2504</v>
      </c>
      <c r="E336" s="143" t="s">
        <v>2504</v>
      </c>
      <c r="F336" s="143" t="s">
        <v>2504</v>
      </c>
      <c r="G336" s="143" t="s">
        <v>2504</v>
      </c>
      <c r="H336" s="143" t="s">
        <v>2504</v>
      </c>
      <c r="I336" s="143" t="str">
        <f t="shared" si="50"/>
        <v>NO EXISTE</v>
      </c>
      <c r="J336" s="143" t="str">
        <f t="shared" si="51"/>
        <v>NO EXISTE</v>
      </c>
      <c r="K336" s="143" t="str">
        <f t="shared" si="52"/>
        <v>NO EXISTE</v>
      </c>
      <c r="L336" s="143" t="str">
        <f t="shared" si="53"/>
        <v>NO EXISTE</v>
      </c>
      <c r="M336" s="143" t="str">
        <f t="shared" si="54"/>
        <v>NO EXISTE</v>
      </c>
      <c r="N336" s="143" t="str">
        <f t="shared" si="55"/>
        <v>NO EXISTE</v>
      </c>
      <c r="O336" s="143" t="str">
        <f t="shared" si="56"/>
        <v>NO EXISTE</v>
      </c>
      <c r="P336" s="143" t="str">
        <f t="shared" si="57"/>
        <v>NO EXISTE</v>
      </c>
      <c r="Q336" s="302" t="s">
        <v>998</v>
      </c>
      <c r="R336" s="148" t="s">
        <v>594</v>
      </c>
      <c r="S336" s="148" t="s">
        <v>604</v>
      </c>
      <c r="T336" s="149">
        <v>19</v>
      </c>
      <c r="U336" s="148" t="s">
        <v>596</v>
      </c>
      <c r="V336" s="150">
        <v>2014.73</v>
      </c>
      <c r="W336" s="151">
        <f t="shared" si="58"/>
        <v>2014730</v>
      </c>
    </row>
    <row r="337" spans="1:23" ht="15" customHeight="1" x14ac:dyDescent="0.25">
      <c r="A337" s="148">
        <v>835</v>
      </c>
      <c r="B337" s="148" t="s">
        <v>999</v>
      </c>
      <c r="C337" s="143" t="s">
        <v>2504</v>
      </c>
      <c r="D337" s="143" t="s">
        <v>2504</v>
      </c>
      <c r="E337" s="143" t="s">
        <v>2504</v>
      </c>
      <c r="F337" s="143" t="s">
        <v>2504</v>
      </c>
      <c r="G337" s="143" t="s">
        <v>2504</v>
      </c>
      <c r="H337" s="143" t="s">
        <v>2504</v>
      </c>
      <c r="I337" s="143" t="str">
        <f t="shared" si="50"/>
        <v>NO EXISTE</v>
      </c>
      <c r="J337" s="143" t="str">
        <f t="shared" si="51"/>
        <v>NO EXISTE</v>
      </c>
      <c r="K337" s="143" t="str">
        <f t="shared" si="52"/>
        <v>NO EXISTE</v>
      </c>
      <c r="L337" s="143" t="str">
        <f t="shared" si="53"/>
        <v>NO EXISTE</v>
      </c>
      <c r="M337" s="143" t="str">
        <f t="shared" si="54"/>
        <v>NO EXISTE</v>
      </c>
      <c r="N337" s="143" t="str">
        <f t="shared" si="55"/>
        <v>NO EXISTE</v>
      </c>
      <c r="O337" s="143" t="str">
        <f t="shared" si="56"/>
        <v>NO EXISTE</v>
      </c>
      <c r="P337" s="143" t="str">
        <f t="shared" si="57"/>
        <v>NO EXISTE</v>
      </c>
      <c r="Q337" s="302" t="s">
        <v>1000</v>
      </c>
      <c r="R337" s="148" t="s">
        <v>594</v>
      </c>
      <c r="S337" s="148" t="s">
        <v>986</v>
      </c>
      <c r="T337" s="149">
        <v>19</v>
      </c>
      <c r="U337" s="148" t="s">
        <v>596</v>
      </c>
      <c r="V337" s="150">
        <v>1962.24</v>
      </c>
      <c r="W337" s="151">
        <f t="shared" si="58"/>
        <v>1962240</v>
      </c>
    </row>
    <row r="338" spans="1:23" ht="15" customHeight="1" x14ac:dyDescent="0.25">
      <c r="A338" s="148">
        <v>837</v>
      </c>
      <c r="B338" s="148" t="s">
        <v>1001</v>
      </c>
      <c r="C338" s="143" t="s">
        <v>2504</v>
      </c>
      <c r="D338" s="143" t="s">
        <v>2504</v>
      </c>
      <c r="E338" s="143" t="s">
        <v>2504</v>
      </c>
      <c r="F338" s="143" t="s">
        <v>2504</v>
      </c>
      <c r="G338" s="143" t="s">
        <v>2504</v>
      </c>
      <c r="H338" s="143" t="s">
        <v>2504</v>
      </c>
      <c r="I338" s="143" t="str">
        <f t="shared" si="50"/>
        <v>NO EXISTE</v>
      </c>
      <c r="J338" s="143" t="str">
        <f t="shared" si="51"/>
        <v>NO EXISTE</v>
      </c>
      <c r="K338" s="143" t="str">
        <f t="shared" si="52"/>
        <v>NO EXISTE</v>
      </c>
      <c r="L338" s="143" t="str">
        <f t="shared" si="53"/>
        <v>NO EXISTE</v>
      </c>
      <c r="M338" s="143" t="str">
        <f t="shared" si="54"/>
        <v>NO EXISTE</v>
      </c>
      <c r="N338" s="143" t="str">
        <f t="shared" si="55"/>
        <v>NO EXISTE</v>
      </c>
      <c r="O338" s="143" t="str">
        <f t="shared" si="56"/>
        <v>NO EXISTE</v>
      </c>
      <c r="P338" s="143" t="str">
        <f t="shared" si="57"/>
        <v>NO EXISTE</v>
      </c>
      <c r="Q338" s="302" t="s">
        <v>1002</v>
      </c>
      <c r="R338" s="148" t="s">
        <v>594</v>
      </c>
      <c r="S338" s="148" t="s">
        <v>604</v>
      </c>
      <c r="T338" s="149">
        <v>19</v>
      </c>
      <c r="U338" s="148" t="s">
        <v>596</v>
      </c>
      <c r="V338" s="150">
        <v>2007.48</v>
      </c>
      <c r="W338" s="151">
        <f t="shared" si="58"/>
        <v>2007480</v>
      </c>
    </row>
    <row r="339" spans="1:23" ht="15" customHeight="1" x14ac:dyDescent="0.25">
      <c r="A339" s="148">
        <v>838</v>
      </c>
      <c r="B339" s="148" t="s">
        <v>1003</v>
      </c>
      <c r="C339" s="143" t="s">
        <v>2504</v>
      </c>
      <c r="D339" s="143" t="s">
        <v>2504</v>
      </c>
      <c r="E339" s="143" t="s">
        <v>2504</v>
      </c>
      <c r="F339" s="143" t="s">
        <v>2504</v>
      </c>
      <c r="G339" s="143" t="s">
        <v>2504</v>
      </c>
      <c r="H339" s="143" t="s">
        <v>2504</v>
      </c>
      <c r="I339" s="143" t="str">
        <f t="shared" si="50"/>
        <v>NO EXISTE</v>
      </c>
      <c r="J339" s="143" t="str">
        <f t="shared" si="51"/>
        <v>NO EXISTE</v>
      </c>
      <c r="K339" s="143" t="str">
        <f t="shared" si="52"/>
        <v>NO EXISTE</v>
      </c>
      <c r="L339" s="143" t="str">
        <f t="shared" si="53"/>
        <v>NO EXISTE</v>
      </c>
      <c r="M339" s="143" t="str">
        <f t="shared" si="54"/>
        <v>NO EXISTE</v>
      </c>
      <c r="N339" s="143" t="str">
        <f t="shared" si="55"/>
        <v>NO EXISTE</v>
      </c>
      <c r="O339" s="143" t="str">
        <f t="shared" si="56"/>
        <v>NO EXISTE</v>
      </c>
      <c r="P339" s="143" t="str">
        <f t="shared" si="57"/>
        <v>NO EXISTE</v>
      </c>
      <c r="Q339" s="302" t="s">
        <v>1004</v>
      </c>
      <c r="R339" s="148" t="s">
        <v>594</v>
      </c>
      <c r="S339" s="148" t="s">
        <v>604</v>
      </c>
      <c r="T339" s="149">
        <v>200</v>
      </c>
      <c r="U339" s="148" t="s">
        <v>596</v>
      </c>
      <c r="V339" s="150">
        <v>20848.95</v>
      </c>
      <c r="W339" s="151">
        <f t="shared" si="58"/>
        <v>20848950</v>
      </c>
    </row>
    <row r="340" spans="1:23" ht="15" customHeight="1" x14ac:dyDescent="0.25">
      <c r="A340" s="148">
        <v>858</v>
      </c>
      <c r="B340" s="148" t="s">
        <v>1005</v>
      </c>
      <c r="C340" s="143" t="s">
        <v>2504</v>
      </c>
      <c r="D340" s="143" t="s">
        <v>2504</v>
      </c>
      <c r="E340" s="143" t="s">
        <v>2504</v>
      </c>
      <c r="F340" s="143" t="s">
        <v>2504</v>
      </c>
      <c r="G340" s="143" t="s">
        <v>2504</v>
      </c>
      <c r="H340" s="143" t="s">
        <v>2504</v>
      </c>
      <c r="I340" s="143" t="str">
        <f t="shared" si="50"/>
        <v>NO EXISTE</v>
      </c>
      <c r="J340" s="143" t="str">
        <f t="shared" si="51"/>
        <v>NO EXISTE</v>
      </c>
      <c r="K340" s="143" t="str">
        <f t="shared" si="52"/>
        <v>NO EXISTE</v>
      </c>
      <c r="L340" s="143" t="str">
        <f t="shared" si="53"/>
        <v>NO EXISTE</v>
      </c>
      <c r="M340" s="143" t="str">
        <f t="shared" si="54"/>
        <v>NO EXISTE</v>
      </c>
      <c r="N340" s="143" t="str">
        <f t="shared" si="55"/>
        <v>NO EXISTE</v>
      </c>
      <c r="O340" s="143" t="str">
        <f t="shared" si="56"/>
        <v>NO EXISTE</v>
      </c>
      <c r="P340" s="143" t="str">
        <f t="shared" si="57"/>
        <v>NO EXISTE</v>
      </c>
      <c r="Q340" s="302" t="s">
        <v>1006</v>
      </c>
      <c r="R340" s="148" t="s">
        <v>630</v>
      </c>
      <c r="S340" s="148" t="s">
        <v>830</v>
      </c>
      <c r="T340" s="149">
        <v>0.95</v>
      </c>
      <c r="U340" s="148" t="s">
        <v>596</v>
      </c>
      <c r="V340" s="150">
        <v>88.26</v>
      </c>
      <c r="W340" s="151">
        <f t="shared" si="58"/>
        <v>88260</v>
      </c>
    </row>
    <row r="341" spans="1:23" ht="15" customHeight="1" x14ac:dyDescent="0.25">
      <c r="A341" s="148">
        <v>897</v>
      </c>
      <c r="B341" s="148" t="s">
        <v>1010</v>
      </c>
      <c r="C341" s="143" t="s">
        <v>2504</v>
      </c>
      <c r="D341" s="143" t="s">
        <v>2504</v>
      </c>
      <c r="E341" s="143" t="s">
        <v>2504</v>
      </c>
      <c r="F341" s="143" t="s">
        <v>2504</v>
      </c>
      <c r="G341" s="143" t="s">
        <v>2504</v>
      </c>
      <c r="H341" s="143" t="s">
        <v>2504</v>
      </c>
      <c r="I341" s="143" t="str">
        <f t="shared" si="50"/>
        <v>NO EXISTE</v>
      </c>
      <c r="J341" s="143" t="str">
        <f t="shared" si="51"/>
        <v>NO EXISTE</v>
      </c>
      <c r="K341" s="143" t="str">
        <f t="shared" si="52"/>
        <v>NO EXISTE</v>
      </c>
      <c r="L341" s="143" t="str">
        <f t="shared" si="53"/>
        <v>NO EXISTE</v>
      </c>
      <c r="M341" s="143" t="str">
        <f t="shared" si="54"/>
        <v>NO EXISTE</v>
      </c>
      <c r="N341" s="143" t="str">
        <f t="shared" si="55"/>
        <v>NO EXISTE</v>
      </c>
      <c r="O341" s="143" t="str">
        <f t="shared" si="56"/>
        <v>NO EXISTE</v>
      </c>
      <c r="P341" s="143" t="str">
        <f t="shared" si="57"/>
        <v>NO EXISTE</v>
      </c>
      <c r="Q341" s="302" t="s">
        <v>1011</v>
      </c>
      <c r="R341" s="148" t="s">
        <v>594</v>
      </c>
      <c r="S341" s="148" t="s">
        <v>1012</v>
      </c>
      <c r="T341" s="149">
        <v>0.95</v>
      </c>
      <c r="U341" s="148" t="s">
        <v>596</v>
      </c>
      <c r="V341" s="150">
        <v>136.91999999999999</v>
      </c>
      <c r="W341" s="151">
        <f t="shared" si="58"/>
        <v>136920</v>
      </c>
    </row>
    <row r="342" spans="1:23" ht="15" customHeight="1" x14ac:dyDescent="0.25">
      <c r="A342" s="148">
        <v>1012</v>
      </c>
      <c r="B342" s="148" t="s">
        <v>1023</v>
      </c>
      <c r="C342" s="143" t="s">
        <v>2504</v>
      </c>
      <c r="D342" s="143" t="s">
        <v>2504</v>
      </c>
      <c r="E342" s="143" t="s">
        <v>2504</v>
      </c>
      <c r="F342" s="143" t="s">
        <v>2504</v>
      </c>
      <c r="G342" s="143" t="s">
        <v>2504</v>
      </c>
      <c r="H342" s="143" t="s">
        <v>2504</v>
      </c>
      <c r="I342" s="143" t="str">
        <f t="shared" si="50"/>
        <v>NO EXISTE</v>
      </c>
      <c r="J342" s="143" t="str">
        <f t="shared" si="51"/>
        <v>NO EXISTE</v>
      </c>
      <c r="K342" s="143" t="str">
        <f t="shared" si="52"/>
        <v>NO EXISTE</v>
      </c>
      <c r="L342" s="143" t="str">
        <f t="shared" si="53"/>
        <v>NO EXISTE</v>
      </c>
      <c r="M342" s="143" t="str">
        <f t="shared" si="54"/>
        <v>NO EXISTE</v>
      </c>
      <c r="N342" s="143" t="str">
        <f t="shared" si="55"/>
        <v>NO EXISTE</v>
      </c>
      <c r="O342" s="143" t="str">
        <f t="shared" si="56"/>
        <v>NO EXISTE</v>
      </c>
      <c r="P342" s="143" t="str">
        <f t="shared" si="57"/>
        <v>NO EXISTE</v>
      </c>
      <c r="Q342" s="302" t="s">
        <v>1024</v>
      </c>
      <c r="R342" s="148" t="s">
        <v>1025</v>
      </c>
      <c r="S342" s="148" t="s">
        <v>1026</v>
      </c>
      <c r="T342" s="149">
        <v>19</v>
      </c>
      <c r="U342" s="148" t="s">
        <v>596</v>
      </c>
      <c r="V342" s="150">
        <v>1979.93</v>
      </c>
      <c r="W342" s="151">
        <f t="shared" si="58"/>
        <v>1979930</v>
      </c>
    </row>
    <row r="343" spans="1:23" ht="15" customHeight="1" x14ac:dyDescent="0.25">
      <c r="A343" s="148">
        <v>1197</v>
      </c>
      <c r="B343" s="148" t="s">
        <v>1046</v>
      </c>
      <c r="C343" s="143" t="s">
        <v>2504</v>
      </c>
      <c r="D343" s="143" t="s">
        <v>2504</v>
      </c>
      <c r="E343" s="143" t="s">
        <v>2504</v>
      </c>
      <c r="F343" s="143" t="s">
        <v>2504</v>
      </c>
      <c r="G343" s="143" t="s">
        <v>2504</v>
      </c>
      <c r="H343" s="143" t="s">
        <v>2504</v>
      </c>
      <c r="I343" s="143" t="str">
        <f t="shared" si="50"/>
        <v>NO EXISTE</v>
      </c>
      <c r="J343" s="143" t="str">
        <f t="shared" si="51"/>
        <v>NO EXISTE</v>
      </c>
      <c r="K343" s="143" t="str">
        <f t="shared" si="52"/>
        <v>NO EXISTE</v>
      </c>
      <c r="L343" s="143" t="str">
        <f t="shared" si="53"/>
        <v>NO EXISTE</v>
      </c>
      <c r="M343" s="143" t="str">
        <f t="shared" si="54"/>
        <v>NO EXISTE</v>
      </c>
      <c r="N343" s="143" t="str">
        <f t="shared" si="55"/>
        <v>NO EXISTE</v>
      </c>
      <c r="O343" s="143" t="str">
        <f t="shared" si="56"/>
        <v>NO EXISTE</v>
      </c>
      <c r="P343" s="143" t="str">
        <f t="shared" si="57"/>
        <v>NO EXISTE</v>
      </c>
      <c r="Q343" s="302" t="s">
        <v>1047</v>
      </c>
      <c r="R343" s="148" t="s">
        <v>594</v>
      </c>
      <c r="S343" s="148" t="s">
        <v>776</v>
      </c>
      <c r="T343" s="149">
        <v>200</v>
      </c>
      <c r="U343" s="148" t="s">
        <v>596</v>
      </c>
      <c r="V343" s="150">
        <v>21618.13</v>
      </c>
      <c r="W343" s="151">
        <f t="shared" si="58"/>
        <v>21618130</v>
      </c>
    </row>
    <row r="344" spans="1:23" ht="15" customHeight="1" x14ac:dyDescent="0.25">
      <c r="A344" s="148">
        <v>1212</v>
      </c>
      <c r="B344" s="148" t="s">
        <v>1052</v>
      </c>
      <c r="C344" s="143" t="s">
        <v>2504</v>
      </c>
      <c r="D344" s="143" t="s">
        <v>2504</v>
      </c>
      <c r="E344" s="143" t="s">
        <v>2504</v>
      </c>
      <c r="F344" s="143" t="s">
        <v>2504</v>
      </c>
      <c r="G344" s="143" t="s">
        <v>2504</v>
      </c>
      <c r="H344" s="143" t="s">
        <v>2504</v>
      </c>
      <c r="I344" s="143" t="str">
        <f t="shared" si="50"/>
        <v>NO EXISTE</v>
      </c>
      <c r="J344" s="143" t="str">
        <f t="shared" si="51"/>
        <v>NO EXISTE</v>
      </c>
      <c r="K344" s="143" t="str">
        <f t="shared" si="52"/>
        <v>NO EXISTE</v>
      </c>
      <c r="L344" s="143" t="str">
        <f t="shared" si="53"/>
        <v>NO EXISTE</v>
      </c>
      <c r="M344" s="143" t="str">
        <f t="shared" si="54"/>
        <v>NO EXISTE</v>
      </c>
      <c r="N344" s="143" t="str">
        <f t="shared" si="55"/>
        <v>NO EXISTE</v>
      </c>
      <c r="O344" s="143" t="str">
        <f t="shared" si="56"/>
        <v>NO EXISTE</v>
      </c>
      <c r="P344" s="143" t="str">
        <f t="shared" si="57"/>
        <v>NO EXISTE</v>
      </c>
      <c r="Q344" s="302" t="s">
        <v>1053</v>
      </c>
      <c r="R344" s="148" t="s">
        <v>589</v>
      </c>
      <c r="S344" s="148" t="s">
        <v>590</v>
      </c>
      <c r="T344" s="149">
        <v>3.7850000000000001</v>
      </c>
      <c r="U344" s="148" t="s">
        <v>596</v>
      </c>
      <c r="V344" s="150">
        <v>195.51</v>
      </c>
      <c r="W344" s="151">
        <f t="shared" si="58"/>
        <v>195510</v>
      </c>
    </row>
    <row r="345" spans="1:23" ht="15" customHeight="1" x14ac:dyDescent="0.25">
      <c r="A345" s="148">
        <v>1216</v>
      </c>
      <c r="B345" s="148" t="s">
        <v>1057</v>
      </c>
      <c r="C345" s="143" t="s">
        <v>2504</v>
      </c>
      <c r="D345" s="143" t="s">
        <v>2504</v>
      </c>
      <c r="E345" s="143" t="s">
        <v>2504</v>
      </c>
      <c r="F345" s="143" t="s">
        <v>2504</v>
      </c>
      <c r="G345" s="143" t="s">
        <v>2504</v>
      </c>
      <c r="H345" s="143" t="s">
        <v>2504</v>
      </c>
      <c r="I345" s="143" t="str">
        <f t="shared" si="50"/>
        <v>NO EXISTE</v>
      </c>
      <c r="J345" s="143" t="str">
        <f t="shared" si="51"/>
        <v>NO EXISTE</v>
      </c>
      <c r="K345" s="143" t="str">
        <f t="shared" si="52"/>
        <v>NO EXISTE</v>
      </c>
      <c r="L345" s="143" t="str">
        <f t="shared" si="53"/>
        <v>NO EXISTE</v>
      </c>
      <c r="M345" s="143" t="str">
        <f t="shared" si="54"/>
        <v>NO EXISTE</v>
      </c>
      <c r="N345" s="143" t="str">
        <f t="shared" si="55"/>
        <v>NO EXISTE</v>
      </c>
      <c r="O345" s="143" t="str">
        <f t="shared" si="56"/>
        <v>NO EXISTE</v>
      </c>
      <c r="P345" s="143" t="str">
        <f t="shared" si="57"/>
        <v>NO EXISTE</v>
      </c>
      <c r="Q345" s="302" t="s">
        <v>1058</v>
      </c>
      <c r="R345" s="148" t="s">
        <v>630</v>
      </c>
      <c r="S345" s="148" t="s">
        <v>1059</v>
      </c>
      <c r="T345" s="149">
        <v>200</v>
      </c>
      <c r="U345" s="148" t="s">
        <v>596</v>
      </c>
      <c r="V345" s="150">
        <v>21009.22</v>
      </c>
      <c r="W345" s="151">
        <f t="shared" si="58"/>
        <v>21009220</v>
      </c>
    </row>
    <row r="346" spans="1:23" ht="15" customHeight="1" x14ac:dyDescent="0.25">
      <c r="A346" s="148">
        <v>1226</v>
      </c>
      <c r="B346" s="148" t="s">
        <v>1063</v>
      </c>
      <c r="C346" s="143" t="s">
        <v>2504</v>
      </c>
      <c r="D346" s="143" t="s">
        <v>2504</v>
      </c>
      <c r="E346" s="143" t="s">
        <v>2504</v>
      </c>
      <c r="F346" s="143" t="s">
        <v>2504</v>
      </c>
      <c r="G346" s="143" t="s">
        <v>2504</v>
      </c>
      <c r="H346" s="143" t="s">
        <v>2504</v>
      </c>
      <c r="I346" s="143" t="str">
        <f t="shared" si="50"/>
        <v>NO EXISTE</v>
      </c>
      <c r="J346" s="143" t="str">
        <f t="shared" si="51"/>
        <v>NO EXISTE</v>
      </c>
      <c r="K346" s="143" t="str">
        <f t="shared" si="52"/>
        <v>NO EXISTE</v>
      </c>
      <c r="L346" s="143" t="str">
        <f t="shared" si="53"/>
        <v>NO EXISTE</v>
      </c>
      <c r="M346" s="143" t="str">
        <f t="shared" si="54"/>
        <v>NO EXISTE</v>
      </c>
      <c r="N346" s="143" t="str">
        <f t="shared" si="55"/>
        <v>NO EXISTE</v>
      </c>
      <c r="O346" s="143" t="str">
        <f t="shared" si="56"/>
        <v>NO EXISTE</v>
      </c>
      <c r="P346" s="143" t="str">
        <f t="shared" si="57"/>
        <v>NO EXISTE</v>
      </c>
      <c r="Q346" s="302" t="s">
        <v>1064</v>
      </c>
      <c r="R346" s="148" t="s">
        <v>705</v>
      </c>
      <c r="S346" s="148" t="s">
        <v>739</v>
      </c>
      <c r="T346" s="149">
        <v>0.85</v>
      </c>
      <c r="U346" s="148" t="s">
        <v>596</v>
      </c>
      <c r="V346" s="150">
        <v>132.33000000000001</v>
      </c>
      <c r="W346" s="151">
        <f t="shared" si="58"/>
        <v>132330</v>
      </c>
    </row>
    <row r="347" spans="1:23" ht="15" customHeight="1" x14ac:dyDescent="0.25">
      <c r="A347" s="148">
        <v>1232</v>
      </c>
      <c r="B347" s="148" t="s">
        <v>1065</v>
      </c>
      <c r="C347" s="143" t="s">
        <v>2504</v>
      </c>
      <c r="D347" s="143" t="s">
        <v>2504</v>
      </c>
      <c r="E347" s="143" t="s">
        <v>2504</v>
      </c>
      <c r="F347" s="143" t="s">
        <v>2504</v>
      </c>
      <c r="G347" s="143" t="s">
        <v>2504</v>
      </c>
      <c r="H347" s="143" t="s">
        <v>2504</v>
      </c>
      <c r="I347" s="143" t="str">
        <f t="shared" si="50"/>
        <v>NO EXISTE</v>
      </c>
      <c r="J347" s="143" t="str">
        <f t="shared" si="51"/>
        <v>NO EXISTE</v>
      </c>
      <c r="K347" s="143" t="str">
        <f t="shared" si="52"/>
        <v>NO EXISTE</v>
      </c>
      <c r="L347" s="143" t="str">
        <f t="shared" si="53"/>
        <v>NO EXISTE</v>
      </c>
      <c r="M347" s="143" t="str">
        <f t="shared" si="54"/>
        <v>NO EXISTE</v>
      </c>
      <c r="N347" s="143" t="str">
        <f t="shared" si="55"/>
        <v>NO EXISTE</v>
      </c>
      <c r="O347" s="143" t="str">
        <f t="shared" si="56"/>
        <v>NO EXISTE</v>
      </c>
      <c r="P347" s="143" t="str">
        <f t="shared" si="57"/>
        <v>NO EXISTE</v>
      </c>
      <c r="Q347" s="302" t="s">
        <v>1066</v>
      </c>
      <c r="R347" s="148" t="s">
        <v>594</v>
      </c>
      <c r="S347" s="148" t="s">
        <v>595</v>
      </c>
      <c r="T347" s="149">
        <v>0.95</v>
      </c>
      <c r="U347" s="148" t="s">
        <v>596</v>
      </c>
      <c r="V347" s="150">
        <v>105.02</v>
      </c>
      <c r="W347" s="151">
        <f t="shared" si="58"/>
        <v>105020</v>
      </c>
    </row>
    <row r="348" spans="1:23" ht="15" customHeight="1" x14ac:dyDescent="0.25">
      <c r="A348" s="148">
        <v>1255</v>
      </c>
      <c r="B348" s="148" t="s">
        <v>1067</v>
      </c>
      <c r="C348" s="143" t="s">
        <v>2504</v>
      </c>
      <c r="D348" s="143" t="s">
        <v>2504</v>
      </c>
      <c r="E348" s="143" t="s">
        <v>2504</v>
      </c>
      <c r="F348" s="143" t="s">
        <v>2504</v>
      </c>
      <c r="G348" s="143" t="s">
        <v>2504</v>
      </c>
      <c r="H348" s="143" t="s">
        <v>2504</v>
      </c>
      <c r="I348" s="143" t="str">
        <f t="shared" si="50"/>
        <v>NO EXISTE</v>
      </c>
      <c r="J348" s="143" t="str">
        <f t="shared" si="51"/>
        <v>NO EXISTE</v>
      </c>
      <c r="K348" s="143" t="str">
        <f t="shared" si="52"/>
        <v>NO EXISTE</v>
      </c>
      <c r="L348" s="143" t="str">
        <f t="shared" si="53"/>
        <v>NO EXISTE</v>
      </c>
      <c r="M348" s="143" t="str">
        <f t="shared" si="54"/>
        <v>NO EXISTE</v>
      </c>
      <c r="N348" s="143" t="str">
        <f t="shared" si="55"/>
        <v>NO EXISTE</v>
      </c>
      <c r="O348" s="143" t="str">
        <f t="shared" si="56"/>
        <v>NO EXISTE</v>
      </c>
      <c r="P348" s="143" t="str">
        <f t="shared" si="57"/>
        <v>NO EXISTE</v>
      </c>
      <c r="Q348" s="302" t="s">
        <v>1068</v>
      </c>
      <c r="R348" s="148" t="s">
        <v>630</v>
      </c>
      <c r="S348" s="148" t="s">
        <v>835</v>
      </c>
      <c r="T348" s="149">
        <v>5</v>
      </c>
      <c r="U348" s="148" t="s">
        <v>596</v>
      </c>
      <c r="V348" s="150">
        <v>511.09</v>
      </c>
      <c r="W348" s="151">
        <f t="shared" si="58"/>
        <v>511090</v>
      </c>
    </row>
    <row r="349" spans="1:23" ht="15" customHeight="1" x14ac:dyDescent="0.25">
      <c r="A349" s="148">
        <v>1262</v>
      </c>
      <c r="B349" s="148" t="s">
        <v>1071</v>
      </c>
      <c r="C349" s="143" t="s">
        <v>2504</v>
      </c>
      <c r="D349" s="143" t="s">
        <v>2504</v>
      </c>
      <c r="E349" s="143" t="s">
        <v>2504</v>
      </c>
      <c r="F349" s="143" t="s">
        <v>2504</v>
      </c>
      <c r="G349" s="143" t="s">
        <v>2504</v>
      </c>
      <c r="H349" s="143" t="s">
        <v>2504</v>
      </c>
      <c r="I349" s="143" t="str">
        <f t="shared" si="50"/>
        <v>NO EXISTE</v>
      </c>
      <c r="J349" s="143" t="str">
        <f t="shared" si="51"/>
        <v>NO EXISTE</v>
      </c>
      <c r="K349" s="143" t="str">
        <f t="shared" si="52"/>
        <v>NO EXISTE</v>
      </c>
      <c r="L349" s="143" t="str">
        <f t="shared" si="53"/>
        <v>NO EXISTE</v>
      </c>
      <c r="M349" s="143" t="str">
        <f t="shared" si="54"/>
        <v>NO EXISTE</v>
      </c>
      <c r="N349" s="143" t="str">
        <f t="shared" si="55"/>
        <v>NO EXISTE</v>
      </c>
      <c r="O349" s="143" t="str">
        <f t="shared" si="56"/>
        <v>NO EXISTE</v>
      </c>
      <c r="P349" s="143" t="str">
        <f t="shared" si="57"/>
        <v>NO EXISTE</v>
      </c>
      <c r="Q349" s="302" t="s">
        <v>1072</v>
      </c>
      <c r="R349" s="148" t="s">
        <v>630</v>
      </c>
      <c r="S349" s="148" t="s">
        <v>830</v>
      </c>
      <c r="T349" s="149">
        <v>0.95</v>
      </c>
      <c r="U349" s="148" t="s">
        <v>596</v>
      </c>
      <c r="V349" s="150">
        <v>92.66</v>
      </c>
      <c r="W349" s="151">
        <f t="shared" si="58"/>
        <v>92660</v>
      </c>
    </row>
    <row r="350" spans="1:23" ht="15" customHeight="1" x14ac:dyDescent="0.25">
      <c r="A350" s="148">
        <v>1263</v>
      </c>
      <c r="B350" s="148" t="s">
        <v>1073</v>
      </c>
      <c r="C350" s="143" t="s">
        <v>2504</v>
      </c>
      <c r="D350" s="143" t="s">
        <v>2504</v>
      </c>
      <c r="E350" s="143" t="s">
        <v>2504</v>
      </c>
      <c r="F350" s="143" t="s">
        <v>2504</v>
      </c>
      <c r="G350" s="143" t="s">
        <v>2504</v>
      </c>
      <c r="H350" s="143" t="s">
        <v>2504</v>
      </c>
      <c r="I350" s="143" t="str">
        <f t="shared" si="50"/>
        <v>NO EXISTE</v>
      </c>
      <c r="J350" s="143" t="str">
        <f t="shared" si="51"/>
        <v>NO EXISTE</v>
      </c>
      <c r="K350" s="143" t="str">
        <f t="shared" si="52"/>
        <v>NO EXISTE</v>
      </c>
      <c r="L350" s="143" t="str">
        <f t="shared" si="53"/>
        <v>NO EXISTE</v>
      </c>
      <c r="M350" s="143" t="str">
        <f t="shared" si="54"/>
        <v>NO EXISTE</v>
      </c>
      <c r="N350" s="143" t="str">
        <f t="shared" si="55"/>
        <v>NO EXISTE</v>
      </c>
      <c r="O350" s="143" t="str">
        <f t="shared" si="56"/>
        <v>NO EXISTE</v>
      </c>
      <c r="P350" s="143" t="str">
        <f t="shared" si="57"/>
        <v>NO EXISTE</v>
      </c>
      <c r="Q350" s="302" t="s">
        <v>1074</v>
      </c>
      <c r="R350" s="148" t="s">
        <v>630</v>
      </c>
      <c r="S350" s="148" t="s">
        <v>830</v>
      </c>
      <c r="T350" s="149">
        <v>5</v>
      </c>
      <c r="U350" s="148" t="s">
        <v>596</v>
      </c>
      <c r="V350" s="150">
        <v>492.29</v>
      </c>
      <c r="W350" s="151">
        <f t="shared" si="58"/>
        <v>492290</v>
      </c>
    </row>
    <row r="351" spans="1:23" ht="15" customHeight="1" x14ac:dyDescent="0.25">
      <c r="A351" s="148">
        <v>1266</v>
      </c>
      <c r="B351" s="148" t="s">
        <v>1075</v>
      </c>
      <c r="C351" s="143" t="s">
        <v>2504</v>
      </c>
      <c r="D351" s="143" t="s">
        <v>2504</v>
      </c>
      <c r="E351" s="143" t="s">
        <v>2504</v>
      </c>
      <c r="F351" s="143" t="s">
        <v>2504</v>
      </c>
      <c r="G351" s="143" t="s">
        <v>2504</v>
      </c>
      <c r="H351" s="143" t="s">
        <v>2504</v>
      </c>
      <c r="I351" s="143" t="str">
        <f t="shared" si="50"/>
        <v>NO EXISTE</v>
      </c>
      <c r="J351" s="143" t="str">
        <f t="shared" si="51"/>
        <v>NO EXISTE</v>
      </c>
      <c r="K351" s="143" t="str">
        <f t="shared" si="52"/>
        <v>NO EXISTE</v>
      </c>
      <c r="L351" s="143" t="str">
        <f t="shared" si="53"/>
        <v>NO EXISTE</v>
      </c>
      <c r="M351" s="143" t="str">
        <f t="shared" si="54"/>
        <v>NO EXISTE</v>
      </c>
      <c r="N351" s="143" t="str">
        <f t="shared" si="55"/>
        <v>NO EXISTE</v>
      </c>
      <c r="O351" s="143" t="str">
        <f t="shared" si="56"/>
        <v>NO EXISTE</v>
      </c>
      <c r="P351" s="143" t="str">
        <f t="shared" si="57"/>
        <v>NO EXISTE</v>
      </c>
      <c r="Q351" s="302" t="s">
        <v>1076</v>
      </c>
      <c r="R351" s="148" t="s">
        <v>630</v>
      </c>
      <c r="S351" s="148" t="s">
        <v>830</v>
      </c>
      <c r="T351" s="149">
        <v>200</v>
      </c>
      <c r="U351" s="148" t="s">
        <v>596</v>
      </c>
      <c r="V351" s="150">
        <v>18479.37</v>
      </c>
      <c r="W351" s="151">
        <f t="shared" si="58"/>
        <v>18479370</v>
      </c>
    </row>
    <row r="352" spans="1:23" ht="15" customHeight="1" x14ac:dyDescent="0.25">
      <c r="A352" s="148">
        <v>1299</v>
      </c>
      <c r="B352" s="148" t="s">
        <v>1089</v>
      </c>
      <c r="C352" s="143" t="s">
        <v>2504</v>
      </c>
      <c r="D352" s="143" t="s">
        <v>2504</v>
      </c>
      <c r="E352" s="143" t="s">
        <v>2504</v>
      </c>
      <c r="F352" s="143" t="s">
        <v>2504</v>
      </c>
      <c r="G352" s="143" t="s">
        <v>2504</v>
      </c>
      <c r="H352" s="143" t="s">
        <v>2504</v>
      </c>
      <c r="I352" s="143" t="str">
        <f t="shared" si="50"/>
        <v>NO EXISTE</v>
      </c>
      <c r="J352" s="143" t="str">
        <f t="shared" si="51"/>
        <v>NO EXISTE</v>
      </c>
      <c r="K352" s="143" t="str">
        <f t="shared" si="52"/>
        <v>NO EXISTE</v>
      </c>
      <c r="L352" s="143" t="str">
        <f t="shared" si="53"/>
        <v>NO EXISTE</v>
      </c>
      <c r="M352" s="143" t="str">
        <f t="shared" si="54"/>
        <v>NO EXISTE</v>
      </c>
      <c r="N352" s="143" t="str">
        <f t="shared" si="55"/>
        <v>NO EXISTE</v>
      </c>
      <c r="O352" s="143" t="str">
        <f t="shared" si="56"/>
        <v>NO EXISTE</v>
      </c>
      <c r="P352" s="143" t="str">
        <f t="shared" si="57"/>
        <v>NO EXISTE</v>
      </c>
      <c r="Q352" s="302" t="s">
        <v>1090</v>
      </c>
      <c r="R352" s="148" t="s">
        <v>630</v>
      </c>
      <c r="S352" s="148" t="s">
        <v>830</v>
      </c>
      <c r="T352" s="149">
        <v>200</v>
      </c>
      <c r="U352" s="148" t="s">
        <v>596</v>
      </c>
      <c r="V352" s="150">
        <v>18157.86</v>
      </c>
      <c r="W352" s="151">
        <f t="shared" si="58"/>
        <v>18157860</v>
      </c>
    </row>
    <row r="353" spans="1:23" ht="15" customHeight="1" x14ac:dyDescent="0.25">
      <c r="A353" s="148">
        <v>1961</v>
      </c>
      <c r="B353" s="148" t="s">
        <v>1102</v>
      </c>
      <c r="C353" s="143" t="s">
        <v>2504</v>
      </c>
      <c r="D353" s="143" t="s">
        <v>2504</v>
      </c>
      <c r="E353" s="143" t="s">
        <v>2504</v>
      </c>
      <c r="F353" s="143" t="s">
        <v>2504</v>
      </c>
      <c r="G353" s="143" t="s">
        <v>2504</v>
      </c>
      <c r="H353" s="143" t="s">
        <v>2504</v>
      </c>
      <c r="I353" s="143" t="str">
        <f t="shared" si="50"/>
        <v>NO EXISTE</v>
      </c>
      <c r="J353" s="143" t="str">
        <f t="shared" si="51"/>
        <v>NO EXISTE</v>
      </c>
      <c r="K353" s="143" t="str">
        <f t="shared" si="52"/>
        <v>NO EXISTE</v>
      </c>
      <c r="L353" s="143" t="str">
        <f t="shared" si="53"/>
        <v>NO EXISTE</v>
      </c>
      <c r="M353" s="143" t="str">
        <f t="shared" si="54"/>
        <v>NO EXISTE</v>
      </c>
      <c r="N353" s="143" t="str">
        <f t="shared" si="55"/>
        <v>NO EXISTE</v>
      </c>
      <c r="O353" s="143" t="str">
        <f t="shared" si="56"/>
        <v>NO EXISTE</v>
      </c>
      <c r="P353" s="143" t="str">
        <f t="shared" si="57"/>
        <v>NO EXISTE</v>
      </c>
      <c r="Q353" s="302" t="s">
        <v>1103</v>
      </c>
      <c r="R353" s="148" t="s">
        <v>600</v>
      </c>
      <c r="S353" s="148" t="s">
        <v>613</v>
      </c>
      <c r="T353" s="149">
        <v>0.6</v>
      </c>
      <c r="U353" s="148" t="s">
        <v>596</v>
      </c>
      <c r="V353" s="150">
        <v>54.82</v>
      </c>
      <c r="W353" s="151">
        <f t="shared" si="58"/>
        <v>54820</v>
      </c>
    </row>
    <row r="354" spans="1:23" ht="15" customHeight="1" x14ac:dyDescent="0.25">
      <c r="A354" s="148">
        <v>1962</v>
      </c>
      <c r="B354" s="148" t="s">
        <v>1104</v>
      </c>
      <c r="C354" s="143" t="s">
        <v>2504</v>
      </c>
      <c r="D354" s="143" t="s">
        <v>2504</v>
      </c>
      <c r="E354" s="143" t="s">
        <v>2504</v>
      </c>
      <c r="F354" s="143" t="s">
        <v>2504</v>
      </c>
      <c r="G354" s="143" t="s">
        <v>2504</v>
      </c>
      <c r="H354" s="143" t="s">
        <v>2504</v>
      </c>
      <c r="I354" s="143" t="str">
        <f t="shared" si="50"/>
        <v>NO EXISTE</v>
      </c>
      <c r="J354" s="143" t="str">
        <f t="shared" si="51"/>
        <v>NO EXISTE</v>
      </c>
      <c r="K354" s="143" t="str">
        <f t="shared" si="52"/>
        <v>NO EXISTE</v>
      </c>
      <c r="L354" s="143" t="str">
        <f t="shared" si="53"/>
        <v>NO EXISTE</v>
      </c>
      <c r="M354" s="143" t="str">
        <f t="shared" si="54"/>
        <v>NO EXISTE</v>
      </c>
      <c r="N354" s="143" t="str">
        <f t="shared" si="55"/>
        <v>NO EXISTE</v>
      </c>
      <c r="O354" s="143" t="str">
        <f t="shared" si="56"/>
        <v>NO EXISTE</v>
      </c>
      <c r="P354" s="143" t="str">
        <f t="shared" si="57"/>
        <v>NO EXISTE</v>
      </c>
      <c r="Q354" s="302" t="s">
        <v>1105</v>
      </c>
      <c r="R354" s="148" t="s">
        <v>600</v>
      </c>
      <c r="S354" s="148" t="s">
        <v>613</v>
      </c>
      <c r="T354" s="149">
        <v>0.6</v>
      </c>
      <c r="U354" s="148" t="s">
        <v>596</v>
      </c>
      <c r="V354" s="150">
        <v>43.97</v>
      </c>
      <c r="W354" s="151">
        <f t="shared" si="58"/>
        <v>43970</v>
      </c>
    </row>
    <row r="355" spans="1:23" ht="15" customHeight="1" x14ac:dyDescent="0.25">
      <c r="A355" s="148">
        <v>1963</v>
      </c>
      <c r="B355" s="148" t="s">
        <v>1106</v>
      </c>
      <c r="C355" s="143" t="s">
        <v>2504</v>
      </c>
      <c r="D355" s="143" t="s">
        <v>2504</v>
      </c>
      <c r="E355" s="143" t="s">
        <v>2504</v>
      </c>
      <c r="F355" s="143" t="s">
        <v>2504</v>
      </c>
      <c r="G355" s="143" t="s">
        <v>2504</v>
      </c>
      <c r="H355" s="143" t="s">
        <v>2504</v>
      </c>
      <c r="I355" s="143" t="str">
        <f t="shared" ref="I355:I399" si="59">IFERROR(VLOOKUP(B355,Base08,1,FALSE),"NO EXISTE")</f>
        <v>NO EXISTE</v>
      </c>
      <c r="J355" s="143" t="str">
        <f t="shared" ref="J355:J399" si="60">IFERROR(VLOOKUP(B355,Base09,1,FALSE),"NO EXISTE")</f>
        <v>NO EXISTE</v>
      </c>
      <c r="K355" s="143" t="str">
        <f t="shared" ref="K355:K399" si="61">IFERROR(VLOOKUP(B355,Base10,1,FALSE),"NO EXISTE")</f>
        <v>NO EXISTE</v>
      </c>
      <c r="L355" s="143" t="str">
        <f t="shared" ref="L355:L399" si="62">IFERROR(VLOOKUP(B355,Base11,1,FALSE),"NO EXISTE")</f>
        <v>NO EXISTE</v>
      </c>
      <c r="M355" s="143" t="str">
        <f t="shared" ref="M355:M399" si="63">IFERROR(VLOOKUP(B355,Base12,1,FALSE),"NO EXISTE")</f>
        <v>NO EXISTE</v>
      </c>
      <c r="N355" s="143" t="str">
        <f t="shared" ref="N355:N399" si="64">IFERROR(VLOOKUP(B355,Base13,1,FALSE),"NO EXISTE")</f>
        <v>NO EXISTE</v>
      </c>
      <c r="O355" s="143" t="str">
        <f t="shared" ref="O355:O399" si="65">IFERROR(VLOOKUP(B355,Base14,1,FALSE),"NO EXISTE")</f>
        <v>NO EXISTE</v>
      </c>
      <c r="P355" s="143" t="str">
        <f t="shared" ref="P355:P399" si="66">IFERROR(VLOOKUP(B355,Base15,1,FALSE),"NO EXISTE")</f>
        <v>NO EXISTE</v>
      </c>
      <c r="Q355" s="302" t="s">
        <v>1107</v>
      </c>
      <c r="R355" s="148" t="s">
        <v>600</v>
      </c>
      <c r="S355" s="148" t="s">
        <v>613</v>
      </c>
      <c r="T355" s="149">
        <v>0.6</v>
      </c>
      <c r="U355" s="148" t="s">
        <v>596</v>
      </c>
      <c r="V355" s="150">
        <v>48.32</v>
      </c>
      <c r="W355" s="151">
        <f t="shared" si="58"/>
        <v>48320</v>
      </c>
    </row>
    <row r="356" spans="1:23" ht="15" customHeight="1" x14ac:dyDescent="0.25">
      <c r="A356" s="148">
        <v>1964</v>
      </c>
      <c r="B356" s="148" t="s">
        <v>1108</v>
      </c>
      <c r="C356" s="143" t="s">
        <v>2504</v>
      </c>
      <c r="D356" s="143" t="s">
        <v>2504</v>
      </c>
      <c r="E356" s="143" t="s">
        <v>2504</v>
      </c>
      <c r="F356" s="143" t="s">
        <v>2504</v>
      </c>
      <c r="G356" s="143" t="s">
        <v>2504</v>
      </c>
      <c r="H356" s="143" t="s">
        <v>2504</v>
      </c>
      <c r="I356" s="143" t="str">
        <f t="shared" si="59"/>
        <v>NO EXISTE</v>
      </c>
      <c r="J356" s="143" t="str">
        <f t="shared" si="60"/>
        <v>NO EXISTE</v>
      </c>
      <c r="K356" s="143" t="str">
        <f t="shared" si="61"/>
        <v>NO EXISTE</v>
      </c>
      <c r="L356" s="143" t="str">
        <f t="shared" si="62"/>
        <v>NO EXISTE</v>
      </c>
      <c r="M356" s="143" t="str">
        <f t="shared" si="63"/>
        <v>NO EXISTE</v>
      </c>
      <c r="N356" s="143" t="str">
        <f t="shared" si="64"/>
        <v>NO EXISTE</v>
      </c>
      <c r="O356" s="143" t="str">
        <f t="shared" si="65"/>
        <v>NO EXISTE</v>
      </c>
      <c r="P356" s="143" t="str">
        <f t="shared" si="66"/>
        <v>NO EXISTE</v>
      </c>
      <c r="Q356" s="302" t="s">
        <v>1109</v>
      </c>
      <c r="R356" s="148" t="s">
        <v>600</v>
      </c>
      <c r="S356" s="148" t="s">
        <v>613</v>
      </c>
      <c r="T356" s="149">
        <v>0.6</v>
      </c>
      <c r="U356" s="148" t="s">
        <v>596</v>
      </c>
      <c r="V356" s="150">
        <v>84.25</v>
      </c>
      <c r="W356" s="151">
        <f t="shared" si="58"/>
        <v>84250</v>
      </c>
    </row>
    <row r="357" spans="1:23" ht="15" customHeight="1" x14ac:dyDescent="0.25">
      <c r="A357" s="148">
        <v>16001</v>
      </c>
      <c r="B357" s="148" t="s">
        <v>2035</v>
      </c>
      <c r="C357" s="143" t="s">
        <v>2504</v>
      </c>
      <c r="D357" s="143" t="s">
        <v>2504</v>
      </c>
      <c r="E357" s="143" t="s">
        <v>2504</v>
      </c>
      <c r="F357" s="143" t="s">
        <v>2504</v>
      </c>
      <c r="G357" s="143" t="s">
        <v>2504</v>
      </c>
      <c r="H357" s="143" t="s">
        <v>2504</v>
      </c>
      <c r="I357" s="143" t="str">
        <f t="shared" si="59"/>
        <v>NO EXISTE</v>
      </c>
      <c r="J357" s="143" t="str">
        <f t="shared" si="60"/>
        <v>NO EXISTE</v>
      </c>
      <c r="K357" s="143" t="str">
        <f t="shared" si="61"/>
        <v>NO EXISTE</v>
      </c>
      <c r="L357" s="143" t="str">
        <f t="shared" si="62"/>
        <v>NO EXISTE</v>
      </c>
      <c r="M357" s="143" t="str">
        <f t="shared" si="63"/>
        <v>NO EXISTE</v>
      </c>
      <c r="N357" s="143" t="str">
        <f t="shared" si="64"/>
        <v>NO EXISTE</v>
      </c>
      <c r="O357" s="143" t="str">
        <f t="shared" si="65"/>
        <v>NO EXISTE</v>
      </c>
      <c r="P357" s="143" t="str">
        <f t="shared" si="66"/>
        <v>NO EXISTE</v>
      </c>
      <c r="Q357" s="302" t="s">
        <v>2036</v>
      </c>
      <c r="R357" s="148" t="s">
        <v>594</v>
      </c>
      <c r="S357" s="148" t="s">
        <v>595</v>
      </c>
      <c r="T357" s="149">
        <v>0.95</v>
      </c>
      <c r="U357" s="148" t="s">
        <v>596</v>
      </c>
      <c r="V357" s="150">
        <v>101.69</v>
      </c>
      <c r="W357" s="151">
        <f t="shared" si="58"/>
        <v>101690</v>
      </c>
    </row>
    <row r="358" spans="1:23" ht="15" customHeight="1" x14ac:dyDescent="0.25">
      <c r="A358" s="148">
        <v>16003</v>
      </c>
      <c r="B358" s="148" t="s">
        <v>2038</v>
      </c>
      <c r="C358" s="143" t="s">
        <v>2504</v>
      </c>
      <c r="D358" s="143" t="s">
        <v>2504</v>
      </c>
      <c r="E358" s="143" t="s">
        <v>2504</v>
      </c>
      <c r="F358" s="143" t="s">
        <v>2504</v>
      </c>
      <c r="G358" s="143" t="s">
        <v>2504</v>
      </c>
      <c r="H358" s="143" t="s">
        <v>2504</v>
      </c>
      <c r="I358" s="143" t="str">
        <f t="shared" si="59"/>
        <v>NO EXISTE</v>
      </c>
      <c r="J358" s="143" t="str">
        <f t="shared" si="60"/>
        <v>NO EXISTE</v>
      </c>
      <c r="K358" s="143" t="str">
        <f t="shared" si="61"/>
        <v>NO EXISTE</v>
      </c>
      <c r="L358" s="143" t="str">
        <f t="shared" si="62"/>
        <v>NO EXISTE</v>
      </c>
      <c r="M358" s="143" t="str">
        <f t="shared" si="63"/>
        <v>NO EXISTE</v>
      </c>
      <c r="N358" s="143" t="str">
        <f t="shared" si="64"/>
        <v>NO EXISTE</v>
      </c>
      <c r="O358" s="143" t="str">
        <f t="shared" si="65"/>
        <v>NO EXISTE</v>
      </c>
      <c r="P358" s="143" t="str">
        <f t="shared" si="66"/>
        <v>NO EXISTE</v>
      </c>
      <c r="Q358" s="302" t="s">
        <v>2039</v>
      </c>
      <c r="R358" s="148" t="s">
        <v>594</v>
      </c>
      <c r="S358" s="148" t="s">
        <v>595</v>
      </c>
      <c r="T358" s="149">
        <v>19</v>
      </c>
      <c r="U358" s="148" t="s">
        <v>596</v>
      </c>
      <c r="V358" s="150">
        <v>2010.21</v>
      </c>
      <c r="W358" s="151">
        <f t="shared" si="58"/>
        <v>2010210</v>
      </c>
    </row>
    <row r="359" spans="1:23" ht="15" customHeight="1" x14ac:dyDescent="0.25">
      <c r="A359" s="148">
        <v>16004</v>
      </c>
      <c r="B359" s="148" t="s">
        <v>2040</v>
      </c>
      <c r="C359" s="143" t="s">
        <v>2504</v>
      </c>
      <c r="D359" s="143" t="s">
        <v>2504</v>
      </c>
      <c r="E359" s="143" t="s">
        <v>2504</v>
      </c>
      <c r="F359" s="143" t="s">
        <v>2504</v>
      </c>
      <c r="G359" s="143" t="s">
        <v>2504</v>
      </c>
      <c r="H359" s="143" t="s">
        <v>2504</v>
      </c>
      <c r="I359" s="143" t="str">
        <f t="shared" si="59"/>
        <v>NO EXISTE</v>
      </c>
      <c r="J359" s="143" t="str">
        <f t="shared" si="60"/>
        <v>NO EXISTE</v>
      </c>
      <c r="K359" s="143" t="str">
        <f t="shared" si="61"/>
        <v>NO EXISTE</v>
      </c>
      <c r="L359" s="143" t="str">
        <f t="shared" si="62"/>
        <v>NO EXISTE</v>
      </c>
      <c r="M359" s="143" t="str">
        <f t="shared" si="63"/>
        <v>NO EXISTE</v>
      </c>
      <c r="N359" s="143" t="str">
        <f t="shared" si="64"/>
        <v>NO EXISTE</v>
      </c>
      <c r="O359" s="143" t="str">
        <f t="shared" si="65"/>
        <v>NO EXISTE</v>
      </c>
      <c r="P359" s="143" t="str">
        <f t="shared" si="66"/>
        <v>NO EXISTE</v>
      </c>
      <c r="Q359" s="302" t="s">
        <v>2041</v>
      </c>
      <c r="R359" s="148" t="s">
        <v>594</v>
      </c>
      <c r="S359" s="148" t="s">
        <v>595</v>
      </c>
      <c r="T359" s="149">
        <v>200</v>
      </c>
      <c r="U359" s="148" t="s">
        <v>596</v>
      </c>
      <c r="V359" s="150">
        <v>21236.62</v>
      </c>
      <c r="W359" s="151">
        <f t="shared" si="58"/>
        <v>21236620</v>
      </c>
    </row>
    <row r="360" spans="1:23" ht="15" customHeight="1" x14ac:dyDescent="0.25">
      <c r="A360" s="148">
        <v>16005</v>
      </c>
      <c r="B360" s="148" t="s">
        <v>2042</v>
      </c>
      <c r="C360" s="143" t="s">
        <v>2504</v>
      </c>
      <c r="D360" s="143" t="s">
        <v>2504</v>
      </c>
      <c r="E360" s="143" t="s">
        <v>2504</v>
      </c>
      <c r="F360" s="143" t="s">
        <v>2504</v>
      </c>
      <c r="G360" s="143" t="s">
        <v>2504</v>
      </c>
      <c r="H360" s="143" t="s">
        <v>2504</v>
      </c>
      <c r="I360" s="143" t="str">
        <f t="shared" si="59"/>
        <v>NO EXISTE</v>
      </c>
      <c r="J360" s="143" t="str">
        <f t="shared" si="60"/>
        <v>NO EXISTE</v>
      </c>
      <c r="K360" s="143" t="str">
        <f t="shared" si="61"/>
        <v>NO EXISTE</v>
      </c>
      <c r="L360" s="143" t="str">
        <f t="shared" si="62"/>
        <v>NO EXISTE</v>
      </c>
      <c r="M360" s="143" t="str">
        <f t="shared" si="63"/>
        <v>NO EXISTE</v>
      </c>
      <c r="N360" s="143" t="str">
        <f t="shared" si="64"/>
        <v>NO EXISTE</v>
      </c>
      <c r="O360" s="143" t="str">
        <f t="shared" si="65"/>
        <v>NO EXISTE</v>
      </c>
      <c r="P360" s="143" t="str">
        <f t="shared" si="66"/>
        <v>NO EXISTE</v>
      </c>
      <c r="Q360" s="302" t="s">
        <v>2043</v>
      </c>
      <c r="R360" s="148" t="s">
        <v>594</v>
      </c>
      <c r="S360" s="148" t="s">
        <v>595</v>
      </c>
      <c r="T360" s="149">
        <v>1</v>
      </c>
      <c r="U360" s="148" t="s">
        <v>596</v>
      </c>
      <c r="V360" s="150">
        <v>101.42</v>
      </c>
      <c r="W360" s="151">
        <f t="shared" si="58"/>
        <v>101420</v>
      </c>
    </row>
    <row r="361" spans="1:23" ht="15" customHeight="1" x14ac:dyDescent="0.25">
      <c r="A361" s="148">
        <v>16013</v>
      </c>
      <c r="B361" s="148" t="s">
        <v>2051</v>
      </c>
      <c r="C361" s="143" t="s">
        <v>2504</v>
      </c>
      <c r="D361" s="143" t="s">
        <v>2504</v>
      </c>
      <c r="E361" s="143" t="s">
        <v>2504</v>
      </c>
      <c r="F361" s="143" t="s">
        <v>2504</v>
      </c>
      <c r="G361" s="143" t="s">
        <v>2504</v>
      </c>
      <c r="H361" s="143" t="s">
        <v>2504</v>
      </c>
      <c r="I361" s="143" t="str">
        <f t="shared" si="59"/>
        <v>NO EXISTE</v>
      </c>
      <c r="J361" s="143" t="str">
        <f t="shared" si="60"/>
        <v>NO EXISTE</v>
      </c>
      <c r="K361" s="143" t="str">
        <f t="shared" si="61"/>
        <v>NO EXISTE</v>
      </c>
      <c r="L361" s="143" t="str">
        <f t="shared" si="62"/>
        <v>NO EXISTE</v>
      </c>
      <c r="M361" s="143" t="str">
        <f t="shared" si="63"/>
        <v>NO EXISTE</v>
      </c>
      <c r="N361" s="143" t="str">
        <f t="shared" si="64"/>
        <v>NO EXISTE</v>
      </c>
      <c r="O361" s="143" t="str">
        <f t="shared" si="65"/>
        <v>NO EXISTE</v>
      </c>
      <c r="P361" s="143" t="str">
        <f t="shared" si="66"/>
        <v>NO EXISTE</v>
      </c>
      <c r="Q361" s="302" t="s">
        <v>2052</v>
      </c>
      <c r="R361" s="148" t="s">
        <v>594</v>
      </c>
      <c r="S361" s="148" t="s">
        <v>604</v>
      </c>
      <c r="T361" s="149">
        <v>5</v>
      </c>
      <c r="U361" s="148" t="s">
        <v>596</v>
      </c>
      <c r="V361" s="150">
        <v>559.98</v>
      </c>
      <c r="W361" s="151">
        <f t="shared" si="58"/>
        <v>559980</v>
      </c>
    </row>
    <row r="362" spans="1:23" ht="15" customHeight="1" x14ac:dyDescent="0.25">
      <c r="A362" s="148">
        <v>16018</v>
      </c>
      <c r="B362" s="148" t="s">
        <v>2058</v>
      </c>
      <c r="C362" s="143" t="s">
        <v>2504</v>
      </c>
      <c r="D362" s="143" t="s">
        <v>2504</v>
      </c>
      <c r="E362" s="143" t="s">
        <v>2504</v>
      </c>
      <c r="F362" s="143" t="s">
        <v>2504</v>
      </c>
      <c r="G362" s="143" t="s">
        <v>2504</v>
      </c>
      <c r="H362" s="143" t="s">
        <v>2504</v>
      </c>
      <c r="I362" s="143" t="str">
        <f t="shared" si="59"/>
        <v>NO EXISTE</v>
      </c>
      <c r="J362" s="143" t="str">
        <f t="shared" si="60"/>
        <v>NO EXISTE</v>
      </c>
      <c r="K362" s="143" t="str">
        <f t="shared" si="61"/>
        <v>NO EXISTE</v>
      </c>
      <c r="L362" s="143" t="str">
        <f t="shared" si="62"/>
        <v>NO EXISTE</v>
      </c>
      <c r="M362" s="143" t="str">
        <f t="shared" si="63"/>
        <v>NO EXISTE</v>
      </c>
      <c r="N362" s="143" t="str">
        <f t="shared" si="64"/>
        <v>NO EXISTE</v>
      </c>
      <c r="O362" s="143" t="str">
        <f t="shared" si="65"/>
        <v>NO EXISTE</v>
      </c>
      <c r="P362" s="143" t="str">
        <f t="shared" si="66"/>
        <v>NO EXISTE</v>
      </c>
      <c r="Q362" s="302" t="s">
        <v>2059</v>
      </c>
      <c r="R362" s="148" t="s">
        <v>594</v>
      </c>
      <c r="S362" s="148" t="s">
        <v>604</v>
      </c>
      <c r="T362" s="149">
        <v>5</v>
      </c>
      <c r="U362" s="148" t="s">
        <v>596</v>
      </c>
      <c r="V362" s="150">
        <v>562.1</v>
      </c>
      <c r="W362" s="151">
        <f t="shared" si="58"/>
        <v>562100</v>
      </c>
    </row>
    <row r="363" spans="1:23" ht="15" customHeight="1" x14ac:dyDescent="0.25">
      <c r="A363" s="148">
        <v>16023</v>
      </c>
      <c r="B363" s="148" t="s">
        <v>2065</v>
      </c>
      <c r="C363" s="143" t="s">
        <v>2504</v>
      </c>
      <c r="D363" s="143" t="s">
        <v>2504</v>
      </c>
      <c r="E363" s="143" t="s">
        <v>2504</v>
      </c>
      <c r="F363" s="143" t="s">
        <v>2504</v>
      </c>
      <c r="G363" s="143" t="s">
        <v>2504</v>
      </c>
      <c r="H363" s="143" t="s">
        <v>2504</v>
      </c>
      <c r="I363" s="143" t="str">
        <f t="shared" si="59"/>
        <v>NO EXISTE</v>
      </c>
      <c r="J363" s="143" t="str">
        <f t="shared" si="60"/>
        <v>NO EXISTE</v>
      </c>
      <c r="K363" s="143" t="str">
        <f t="shared" si="61"/>
        <v>NO EXISTE</v>
      </c>
      <c r="L363" s="143" t="str">
        <f t="shared" si="62"/>
        <v>NO EXISTE</v>
      </c>
      <c r="M363" s="143" t="str">
        <f t="shared" si="63"/>
        <v>NO EXISTE</v>
      </c>
      <c r="N363" s="143" t="str">
        <f t="shared" si="64"/>
        <v>NO EXISTE</v>
      </c>
      <c r="O363" s="143" t="str">
        <f t="shared" si="65"/>
        <v>NO EXISTE</v>
      </c>
      <c r="P363" s="143" t="str">
        <f t="shared" si="66"/>
        <v>NO EXISTE</v>
      </c>
      <c r="Q363" s="302" t="s">
        <v>2066</v>
      </c>
      <c r="R363" s="148" t="s">
        <v>594</v>
      </c>
      <c r="S363" s="148" t="s">
        <v>604</v>
      </c>
      <c r="T363" s="149">
        <v>5</v>
      </c>
      <c r="U363" s="148" t="s">
        <v>596</v>
      </c>
      <c r="V363" s="150">
        <v>561.65</v>
      </c>
      <c r="W363" s="151">
        <f t="shared" si="58"/>
        <v>561650</v>
      </c>
    </row>
    <row r="364" spans="1:23" ht="15" customHeight="1" x14ac:dyDescent="0.25">
      <c r="A364" s="148">
        <v>16028</v>
      </c>
      <c r="B364" s="148" t="s">
        <v>2072</v>
      </c>
      <c r="C364" s="143" t="s">
        <v>2504</v>
      </c>
      <c r="D364" s="143" t="s">
        <v>2504</v>
      </c>
      <c r="E364" s="143" t="s">
        <v>2504</v>
      </c>
      <c r="F364" s="143" t="s">
        <v>2504</v>
      </c>
      <c r="G364" s="143" t="s">
        <v>2504</v>
      </c>
      <c r="H364" s="143" t="s">
        <v>2504</v>
      </c>
      <c r="I364" s="143" t="str">
        <f t="shared" si="59"/>
        <v>NO EXISTE</v>
      </c>
      <c r="J364" s="143" t="str">
        <f t="shared" si="60"/>
        <v>NO EXISTE</v>
      </c>
      <c r="K364" s="143" t="str">
        <f t="shared" si="61"/>
        <v>NO EXISTE</v>
      </c>
      <c r="L364" s="143" t="str">
        <f t="shared" si="62"/>
        <v>NO EXISTE</v>
      </c>
      <c r="M364" s="143" t="str">
        <f t="shared" si="63"/>
        <v>NO EXISTE</v>
      </c>
      <c r="N364" s="143" t="str">
        <f t="shared" si="64"/>
        <v>NO EXISTE</v>
      </c>
      <c r="O364" s="143" t="str">
        <f t="shared" si="65"/>
        <v>NO EXISTE</v>
      </c>
      <c r="P364" s="143" t="str">
        <f t="shared" si="66"/>
        <v>NO EXISTE</v>
      </c>
      <c r="Q364" s="302" t="s">
        <v>2073</v>
      </c>
      <c r="R364" s="148" t="s">
        <v>589</v>
      </c>
      <c r="S364" s="148" t="s">
        <v>2071</v>
      </c>
      <c r="T364" s="149">
        <v>3.7850000000000001</v>
      </c>
      <c r="U364" s="148" t="s">
        <v>596</v>
      </c>
      <c r="V364" s="150">
        <v>353.9</v>
      </c>
      <c r="W364" s="151">
        <f t="shared" si="58"/>
        <v>353900</v>
      </c>
    </row>
    <row r="365" spans="1:23" ht="15" customHeight="1" x14ac:dyDescent="0.25">
      <c r="A365" s="148">
        <v>16038</v>
      </c>
      <c r="B365" s="148" t="s">
        <v>2087</v>
      </c>
      <c r="C365" s="143" t="s">
        <v>2504</v>
      </c>
      <c r="D365" s="143" t="s">
        <v>2504</v>
      </c>
      <c r="E365" s="143" t="s">
        <v>2504</v>
      </c>
      <c r="F365" s="143" t="s">
        <v>2504</v>
      </c>
      <c r="G365" s="143" t="s">
        <v>2504</v>
      </c>
      <c r="H365" s="143" t="s">
        <v>2504</v>
      </c>
      <c r="I365" s="143" t="str">
        <f t="shared" si="59"/>
        <v>NO EXISTE</v>
      </c>
      <c r="J365" s="143" t="str">
        <f t="shared" si="60"/>
        <v>NO EXISTE</v>
      </c>
      <c r="K365" s="143" t="str">
        <f t="shared" si="61"/>
        <v>NO EXISTE</v>
      </c>
      <c r="L365" s="143" t="str">
        <f t="shared" si="62"/>
        <v>NO EXISTE</v>
      </c>
      <c r="M365" s="143" t="str">
        <f t="shared" si="63"/>
        <v>NO EXISTE</v>
      </c>
      <c r="N365" s="143" t="str">
        <f t="shared" si="64"/>
        <v>NO EXISTE</v>
      </c>
      <c r="O365" s="143" t="str">
        <f t="shared" si="65"/>
        <v>NO EXISTE</v>
      </c>
      <c r="P365" s="143" t="str">
        <f t="shared" si="66"/>
        <v>NO EXISTE</v>
      </c>
      <c r="Q365" s="302" t="s">
        <v>2088</v>
      </c>
      <c r="R365" s="148" t="s">
        <v>594</v>
      </c>
      <c r="S365" s="148" t="s">
        <v>2084</v>
      </c>
      <c r="T365" s="149">
        <v>200</v>
      </c>
      <c r="U365" s="148" t="s">
        <v>596</v>
      </c>
      <c r="V365" s="150">
        <v>27621.47</v>
      </c>
      <c r="W365" s="151">
        <f t="shared" si="58"/>
        <v>27621470</v>
      </c>
    </row>
    <row r="366" spans="1:23" ht="15" customHeight="1" x14ac:dyDescent="0.25">
      <c r="A366" s="148">
        <v>16041</v>
      </c>
      <c r="B366" s="148" t="s">
        <v>2092</v>
      </c>
      <c r="C366" s="143" t="s">
        <v>2504</v>
      </c>
      <c r="D366" s="143" t="s">
        <v>2504</v>
      </c>
      <c r="E366" s="143" t="s">
        <v>2504</v>
      </c>
      <c r="F366" s="143" t="s">
        <v>2504</v>
      </c>
      <c r="G366" s="143" t="s">
        <v>2504</v>
      </c>
      <c r="H366" s="143" t="s">
        <v>2504</v>
      </c>
      <c r="I366" s="143" t="str">
        <f t="shared" si="59"/>
        <v>NO EXISTE</v>
      </c>
      <c r="J366" s="143" t="str">
        <f t="shared" si="60"/>
        <v>NO EXISTE</v>
      </c>
      <c r="K366" s="143" t="str">
        <f t="shared" si="61"/>
        <v>NO EXISTE</v>
      </c>
      <c r="L366" s="143" t="str">
        <f t="shared" si="62"/>
        <v>NO EXISTE</v>
      </c>
      <c r="M366" s="143" t="str">
        <f t="shared" si="63"/>
        <v>NO EXISTE</v>
      </c>
      <c r="N366" s="143" t="str">
        <f t="shared" si="64"/>
        <v>NO EXISTE</v>
      </c>
      <c r="O366" s="143" t="str">
        <f t="shared" si="65"/>
        <v>NO EXISTE</v>
      </c>
      <c r="P366" s="143" t="str">
        <f t="shared" si="66"/>
        <v>NO EXISTE</v>
      </c>
      <c r="Q366" s="302" t="s">
        <v>2093</v>
      </c>
      <c r="R366" s="148" t="s">
        <v>594</v>
      </c>
      <c r="S366" s="148" t="s">
        <v>2084</v>
      </c>
      <c r="T366" s="149">
        <v>19</v>
      </c>
      <c r="U366" s="148" t="s">
        <v>596</v>
      </c>
      <c r="V366" s="150">
        <v>3065.86</v>
      </c>
      <c r="W366" s="151">
        <f t="shared" si="58"/>
        <v>3065860</v>
      </c>
    </row>
    <row r="367" spans="1:23" ht="15" customHeight="1" x14ac:dyDescent="0.25">
      <c r="A367" s="148">
        <v>16042</v>
      </c>
      <c r="B367" s="148" t="s">
        <v>2094</v>
      </c>
      <c r="C367" s="143" t="s">
        <v>2504</v>
      </c>
      <c r="D367" s="143" t="s">
        <v>2504</v>
      </c>
      <c r="E367" s="143" t="s">
        <v>2504</v>
      </c>
      <c r="F367" s="143" t="s">
        <v>2504</v>
      </c>
      <c r="G367" s="143" t="s">
        <v>2504</v>
      </c>
      <c r="H367" s="143" t="s">
        <v>2504</v>
      </c>
      <c r="I367" s="143" t="str">
        <f t="shared" si="59"/>
        <v>NO EXISTE</v>
      </c>
      <c r="J367" s="143" t="str">
        <f t="shared" si="60"/>
        <v>NO EXISTE</v>
      </c>
      <c r="K367" s="143" t="str">
        <f t="shared" si="61"/>
        <v>NO EXISTE</v>
      </c>
      <c r="L367" s="143" t="str">
        <f t="shared" si="62"/>
        <v>NO EXISTE</v>
      </c>
      <c r="M367" s="143" t="str">
        <f t="shared" si="63"/>
        <v>NO EXISTE</v>
      </c>
      <c r="N367" s="143" t="str">
        <f t="shared" si="64"/>
        <v>NO EXISTE</v>
      </c>
      <c r="O367" s="143" t="str">
        <f t="shared" si="65"/>
        <v>NO EXISTE</v>
      </c>
      <c r="P367" s="143" t="str">
        <f t="shared" si="66"/>
        <v>NO EXISTE</v>
      </c>
      <c r="Q367" s="302" t="s">
        <v>2095</v>
      </c>
      <c r="R367" s="148" t="s">
        <v>594</v>
      </c>
      <c r="S367" s="148" t="s">
        <v>2084</v>
      </c>
      <c r="T367" s="149">
        <v>200</v>
      </c>
      <c r="U367" s="148" t="s">
        <v>596</v>
      </c>
      <c r="V367" s="150">
        <v>32126.68</v>
      </c>
      <c r="W367" s="151">
        <v>1838.79</v>
      </c>
    </row>
    <row r="368" spans="1:23" ht="15" customHeight="1" x14ac:dyDescent="0.25">
      <c r="A368" s="148">
        <v>16044</v>
      </c>
      <c r="B368" s="148" t="s">
        <v>2096</v>
      </c>
      <c r="C368" s="143" t="s">
        <v>2504</v>
      </c>
      <c r="D368" s="143" t="s">
        <v>2504</v>
      </c>
      <c r="E368" s="143" t="s">
        <v>2504</v>
      </c>
      <c r="F368" s="143" t="s">
        <v>2504</v>
      </c>
      <c r="G368" s="143" t="s">
        <v>2504</v>
      </c>
      <c r="H368" s="143" t="s">
        <v>2504</v>
      </c>
      <c r="I368" s="143" t="str">
        <f t="shared" si="59"/>
        <v>NO EXISTE</v>
      </c>
      <c r="J368" s="143" t="str">
        <f t="shared" si="60"/>
        <v>NO EXISTE</v>
      </c>
      <c r="K368" s="143" t="str">
        <f t="shared" si="61"/>
        <v>NO EXISTE</v>
      </c>
      <c r="L368" s="143" t="str">
        <f t="shared" si="62"/>
        <v>NO EXISTE</v>
      </c>
      <c r="M368" s="143" t="str">
        <f t="shared" si="63"/>
        <v>NO EXISTE</v>
      </c>
      <c r="N368" s="143" t="str">
        <f t="shared" si="64"/>
        <v>NO EXISTE</v>
      </c>
      <c r="O368" s="143" t="str">
        <f t="shared" si="65"/>
        <v>NO EXISTE</v>
      </c>
      <c r="P368" s="143" t="str">
        <f t="shared" si="66"/>
        <v>NO EXISTE</v>
      </c>
      <c r="Q368" s="302" t="s">
        <v>2097</v>
      </c>
      <c r="R368" s="148" t="s">
        <v>594</v>
      </c>
      <c r="S368" s="148" t="s">
        <v>2084</v>
      </c>
      <c r="T368" s="149">
        <v>0.95</v>
      </c>
      <c r="U368" s="148" t="s">
        <v>596</v>
      </c>
      <c r="V368" s="150">
        <v>158.71</v>
      </c>
      <c r="W368" s="151">
        <v>1794.67</v>
      </c>
    </row>
    <row r="369" spans="1:25" ht="15" customHeight="1" x14ac:dyDescent="0.25">
      <c r="A369" s="148">
        <v>16046</v>
      </c>
      <c r="B369" s="148" t="s">
        <v>2100</v>
      </c>
      <c r="C369" s="143" t="s">
        <v>2504</v>
      </c>
      <c r="D369" s="143" t="s">
        <v>2504</v>
      </c>
      <c r="E369" s="143" t="s">
        <v>2504</v>
      </c>
      <c r="F369" s="143" t="s">
        <v>2504</v>
      </c>
      <c r="G369" s="143" t="s">
        <v>2504</v>
      </c>
      <c r="H369" s="143" t="s">
        <v>2504</v>
      </c>
      <c r="I369" s="143" t="str">
        <f t="shared" si="59"/>
        <v>NO EXISTE</v>
      </c>
      <c r="J369" s="143" t="str">
        <f t="shared" si="60"/>
        <v>NO EXISTE</v>
      </c>
      <c r="K369" s="143" t="str">
        <f t="shared" si="61"/>
        <v>NO EXISTE</v>
      </c>
      <c r="L369" s="143" t="str">
        <f t="shared" si="62"/>
        <v>NO EXISTE</v>
      </c>
      <c r="M369" s="143" t="str">
        <f t="shared" si="63"/>
        <v>NO EXISTE</v>
      </c>
      <c r="N369" s="143" t="str">
        <f t="shared" si="64"/>
        <v>NO EXISTE</v>
      </c>
      <c r="O369" s="143" t="str">
        <f t="shared" si="65"/>
        <v>NO EXISTE</v>
      </c>
      <c r="P369" s="143" t="str">
        <f t="shared" si="66"/>
        <v>NO EXISTE</v>
      </c>
      <c r="Q369" s="302" t="s">
        <v>2101</v>
      </c>
      <c r="R369" s="148" t="s">
        <v>594</v>
      </c>
      <c r="S369" s="148" t="s">
        <v>2084</v>
      </c>
      <c r="T369" s="149">
        <v>200</v>
      </c>
      <c r="U369" s="148" t="s">
        <v>596</v>
      </c>
      <c r="V369" s="150">
        <v>30295.17</v>
      </c>
      <c r="W369" s="151">
        <v>1885.11</v>
      </c>
    </row>
    <row r="370" spans="1:25" ht="15" customHeight="1" x14ac:dyDescent="0.25">
      <c r="A370" s="148">
        <v>16049</v>
      </c>
      <c r="B370" s="148" t="s">
        <v>2104</v>
      </c>
      <c r="C370" s="143" t="s">
        <v>2504</v>
      </c>
      <c r="D370" s="143" t="s">
        <v>2504</v>
      </c>
      <c r="E370" s="143" t="s">
        <v>2504</v>
      </c>
      <c r="F370" s="143" t="s">
        <v>2504</v>
      </c>
      <c r="G370" s="143" t="s">
        <v>2504</v>
      </c>
      <c r="H370" s="143" t="s">
        <v>2504</v>
      </c>
      <c r="I370" s="143" t="str">
        <f t="shared" si="59"/>
        <v>NO EXISTE</v>
      </c>
      <c r="J370" s="143" t="str">
        <f t="shared" si="60"/>
        <v>NO EXISTE</v>
      </c>
      <c r="K370" s="143" t="str">
        <f t="shared" si="61"/>
        <v>NO EXISTE</v>
      </c>
      <c r="L370" s="143" t="str">
        <f t="shared" si="62"/>
        <v>NO EXISTE</v>
      </c>
      <c r="M370" s="143" t="str">
        <f t="shared" si="63"/>
        <v>NO EXISTE</v>
      </c>
      <c r="N370" s="143" t="str">
        <f t="shared" si="64"/>
        <v>NO EXISTE</v>
      </c>
      <c r="O370" s="143" t="str">
        <f t="shared" si="65"/>
        <v>NO EXISTE</v>
      </c>
      <c r="P370" s="143" t="str">
        <f t="shared" si="66"/>
        <v>NO EXISTE</v>
      </c>
      <c r="Q370" s="302" t="s">
        <v>2105</v>
      </c>
      <c r="R370" s="148" t="s">
        <v>594</v>
      </c>
      <c r="S370" s="148" t="s">
        <v>643</v>
      </c>
      <c r="T370" s="149">
        <v>5</v>
      </c>
      <c r="U370" s="148" t="s">
        <v>596</v>
      </c>
      <c r="V370" s="150">
        <v>646.82000000000005</v>
      </c>
      <c r="W370" s="151">
        <v>1952.65</v>
      </c>
    </row>
    <row r="371" spans="1:25" ht="15" customHeight="1" x14ac:dyDescent="0.25">
      <c r="A371" s="148">
        <v>16050</v>
      </c>
      <c r="B371" s="148" t="s">
        <v>2106</v>
      </c>
      <c r="C371" s="143" t="s">
        <v>2504</v>
      </c>
      <c r="D371" s="143" t="s">
        <v>2504</v>
      </c>
      <c r="E371" s="143" t="s">
        <v>2504</v>
      </c>
      <c r="F371" s="143" t="s">
        <v>2504</v>
      </c>
      <c r="G371" s="143" t="s">
        <v>2504</v>
      </c>
      <c r="H371" s="143" t="s">
        <v>2504</v>
      </c>
      <c r="I371" s="143" t="str">
        <f t="shared" si="59"/>
        <v>NO EXISTE</v>
      </c>
      <c r="J371" s="143" t="str">
        <f t="shared" si="60"/>
        <v>NO EXISTE</v>
      </c>
      <c r="K371" s="143" t="str">
        <f t="shared" si="61"/>
        <v>NO EXISTE</v>
      </c>
      <c r="L371" s="143" t="str">
        <f t="shared" si="62"/>
        <v>NO EXISTE</v>
      </c>
      <c r="M371" s="143" t="str">
        <f t="shared" si="63"/>
        <v>NO EXISTE</v>
      </c>
      <c r="N371" s="143" t="str">
        <f t="shared" si="64"/>
        <v>NO EXISTE</v>
      </c>
      <c r="O371" s="143" t="str">
        <f t="shared" si="65"/>
        <v>NO EXISTE</v>
      </c>
      <c r="P371" s="143" t="str">
        <f t="shared" si="66"/>
        <v>NO EXISTE</v>
      </c>
      <c r="Q371" s="302" t="s">
        <v>2107</v>
      </c>
      <c r="R371" s="148" t="s">
        <v>594</v>
      </c>
      <c r="S371" s="148" t="s">
        <v>643</v>
      </c>
      <c r="T371" s="149">
        <v>19</v>
      </c>
      <c r="U371" s="148" t="s">
        <v>596</v>
      </c>
      <c r="V371" s="150">
        <v>2391.6</v>
      </c>
      <c r="W371" s="151">
        <v>1970.8</v>
      </c>
    </row>
    <row r="372" spans="1:25" ht="15" customHeight="1" x14ac:dyDescent="0.25">
      <c r="A372" s="148">
        <v>16053</v>
      </c>
      <c r="B372" s="148" t="s">
        <v>2110</v>
      </c>
      <c r="C372" s="143" t="s">
        <v>2504</v>
      </c>
      <c r="D372" s="143" t="s">
        <v>2504</v>
      </c>
      <c r="E372" s="143" t="s">
        <v>2504</v>
      </c>
      <c r="F372" s="143" t="s">
        <v>2504</v>
      </c>
      <c r="G372" s="143" t="s">
        <v>2504</v>
      </c>
      <c r="H372" s="143" t="s">
        <v>2504</v>
      </c>
      <c r="I372" s="143" t="str">
        <f t="shared" si="59"/>
        <v>NO EXISTE</v>
      </c>
      <c r="J372" s="143" t="str">
        <f t="shared" si="60"/>
        <v>NO EXISTE</v>
      </c>
      <c r="K372" s="143" t="str">
        <f t="shared" si="61"/>
        <v>NO EXISTE</v>
      </c>
      <c r="L372" s="143" t="str">
        <f t="shared" si="62"/>
        <v>NO EXISTE</v>
      </c>
      <c r="M372" s="143" t="str">
        <f t="shared" si="63"/>
        <v>NO EXISTE</v>
      </c>
      <c r="N372" s="143" t="str">
        <f t="shared" si="64"/>
        <v>NO EXISTE</v>
      </c>
      <c r="O372" s="143" t="str">
        <f t="shared" si="65"/>
        <v>NO EXISTE</v>
      </c>
      <c r="P372" s="143" t="str">
        <f t="shared" si="66"/>
        <v>NO EXISTE</v>
      </c>
      <c r="Q372" s="302" t="s">
        <v>2111</v>
      </c>
      <c r="R372" s="148" t="s">
        <v>594</v>
      </c>
      <c r="S372" s="148" t="s">
        <v>643</v>
      </c>
      <c r="T372" s="149">
        <v>0.95</v>
      </c>
      <c r="U372" s="148" t="s">
        <v>596</v>
      </c>
      <c r="V372" s="150">
        <v>114.44</v>
      </c>
      <c r="W372" s="151">
        <v>1984.7</v>
      </c>
    </row>
    <row r="373" spans="1:25" ht="15" customHeight="1" x14ac:dyDescent="0.25">
      <c r="A373" s="148">
        <v>16059</v>
      </c>
      <c r="B373" s="148" t="s">
        <v>2116</v>
      </c>
      <c r="C373" s="143" t="s">
        <v>2504</v>
      </c>
      <c r="D373" s="143" t="s">
        <v>2504</v>
      </c>
      <c r="E373" s="143" t="s">
        <v>2504</v>
      </c>
      <c r="F373" s="143" t="s">
        <v>2504</v>
      </c>
      <c r="G373" s="143" t="s">
        <v>2504</v>
      </c>
      <c r="H373" s="143" t="s">
        <v>2504</v>
      </c>
      <c r="I373" s="143" t="str">
        <f t="shared" si="59"/>
        <v>NO EXISTE</v>
      </c>
      <c r="J373" s="143" t="str">
        <f t="shared" si="60"/>
        <v>NO EXISTE</v>
      </c>
      <c r="K373" s="143" t="str">
        <f t="shared" si="61"/>
        <v>NO EXISTE</v>
      </c>
      <c r="L373" s="143" t="str">
        <f t="shared" si="62"/>
        <v>NO EXISTE</v>
      </c>
      <c r="M373" s="143" t="str">
        <f t="shared" si="63"/>
        <v>NO EXISTE</v>
      </c>
      <c r="N373" s="143" t="str">
        <f t="shared" si="64"/>
        <v>NO EXISTE</v>
      </c>
      <c r="O373" s="143" t="str">
        <f t="shared" si="65"/>
        <v>NO EXISTE</v>
      </c>
      <c r="P373" s="143" t="str">
        <f t="shared" si="66"/>
        <v>NO EXISTE</v>
      </c>
      <c r="Q373" s="302" t="s">
        <v>2117</v>
      </c>
      <c r="R373" s="148" t="s">
        <v>594</v>
      </c>
      <c r="S373" s="148" t="s">
        <v>643</v>
      </c>
      <c r="T373" s="149">
        <v>5</v>
      </c>
      <c r="U373" s="148" t="s">
        <v>596</v>
      </c>
      <c r="V373" s="150">
        <v>568.14</v>
      </c>
      <c r="W373" s="151">
        <v>1990.23</v>
      </c>
    </row>
    <row r="374" spans="1:25" ht="15" customHeight="1" x14ac:dyDescent="0.25">
      <c r="A374" s="148">
        <v>16061</v>
      </c>
      <c r="B374" s="148" t="s">
        <v>2118</v>
      </c>
      <c r="C374" s="143" t="s">
        <v>2504</v>
      </c>
      <c r="D374" s="143" t="s">
        <v>2504</v>
      </c>
      <c r="E374" s="143" t="s">
        <v>2504</v>
      </c>
      <c r="F374" s="143" t="s">
        <v>2504</v>
      </c>
      <c r="G374" s="143" t="s">
        <v>2504</v>
      </c>
      <c r="H374" s="143" t="s">
        <v>2504</v>
      </c>
      <c r="I374" s="143" t="str">
        <f t="shared" si="59"/>
        <v>NO EXISTE</v>
      </c>
      <c r="J374" s="143" t="str">
        <f t="shared" si="60"/>
        <v>NO EXISTE</v>
      </c>
      <c r="K374" s="143" t="str">
        <f t="shared" si="61"/>
        <v>NO EXISTE</v>
      </c>
      <c r="L374" s="143" t="str">
        <f t="shared" si="62"/>
        <v>NO EXISTE</v>
      </c>
      <c r="M374" s="143" t="str">
        <f t="shared" si="63"/>
        <v>NO EXISTE</v>
      </c>
      <c r="N374" s="143" t="str">
        <f t="shared" si="64"/>
        <v>NO EXISTE</v>
      </c>
      <c r="O374" s="143" t="str">
        <f t="shared" si="65"/>
        <v>NO EXISTE</v>
      </c>
      <c r="P374" s="143" t="str">
        <f t="shared" si="66"/>
        <v>NO EXISTE</v>
      </c>
      <c r="Q374" s="302" t="s">
        <v>2119</v>
      </c>
      <c r="R374" s="148" t="s">
        <v>594</v>
      </c>
      <c r="S374" s="148" t="s">
        <v>643</v>
      </c>
      <c r="T374" s="149">
        <v>200</v>
      </c>
      <c r="U374" s="148" t="s">
        <v>596</v>
      </c>
      <c r="V374" s="150">
        <v>21669.37</v>
      </c>
      <c r="W374" s="151">
        <v>1861.85</v>
      </c>
    </row>
    <row r="375" spans="1:25" ht="15" customHeight="1" x14ac:dyDescent="0.25">
      <c r="A375" s="148">
        <v>16063</v>
      </c>
      <c r="B375" s="148" t="s">
        <v>2120</v>
      </c>
      <c r="C375" s="143" t="s">
        <v>2504</v>
      </c>
      <c r="D375" s="143" t="s">
        <v>2504</v>
      </c>
      <c r="E375" s="143" t="s">
        <v>2504</v>
      </c>
      <c r="F375" s="143" t="s">
        <v>2504</v>
      </c>
      <c r="G375" s="143" t="s">
        <v>2504</v>
      </c>
      <c r="H375" s="143" t="s">
        <v>2504</v>
      </c>
      <c r="I375" s="143" t="str">
        <f t="shared" si="59"/>
        <v>NO EXISTE</v>
      </c>
      <c r="J375" s="143" t="str">
        <f t="shared" si="60"/>
        <v>NO EXISTE</v>
      </c>
      <c r="K375" s="143" t="str">
        <f t="shared" si="61"/>
        <v>NO EXISTE</v>
      </c>
      <c r="L375" s="143" t="str">
        <f t="shared" si="62"/>
        <v>NO EXISTE</v>
      </c>
      <c r="M375" s="143" t="str">
        <f t="shared" si="63"/>
        <v>NO EXISTE</v>
      </c>
      <c r="N375" s="143" t="str">
        <f t="shared" si="64"/>
        <v>NO EXISTE</v>
      </c>
      <c r="O375" s="143" t="str">
        <f t="shared" si="65"/>
        <v>NO EXISTE</v>
      </c>
      <c r="P375" s="143" t="str">
        <f t="shared" si="66"/>
        <v>NO EXISTE</v>
      </c>
      <c r="Q375" s="302" t="s">
        <v>2121</v>
      </c>
      <c r="R375" s="148" t="s">
        <v>594</v>
      </c>
      <c r="S375" s="148" t="s">
        <v>643</v>
      </c>
      <c r="T375" s="149">
        <v>0.95</v>
      </c>
      <c r="U375" s="148" t="s">
        <v>596</v>
      </c>
      <c r="V375" s="150">
        <v>104.02</v>
      </c>
      <c r="W375" s="151">
        <v>1994.92</v>
      </c>
    </row>
    <row r="376" spans="1:25" ht="15" customHeight="1" x14ac:dyDescent="0.25">
      <c r="A376" s="148">
        <v>16064</v>
      </c>
      <c r="B376" s="148" t="s">
        <v>2122</v>
      </c>
      <c r="C376" s="143" t="s">
        <v>2504</v>
      </c>
      <c r="D376" s="143" t="s">
        <v>2504</v>
      </c>
      <c r="E376" s="143" t="s">
        <v>2504</v>
      </c>
      <c r="F376" s="143" t="s">
        <v>2504</v>
      </c>
      <c r="G376" s="143" t="s">
        <v>2504</v>
      </c>
      <c r="H376" s="143" t="s">
        <v>2504</v>
      </c>
      <c r="I376" s="143" t="str">
        <f t="shared" si="59"/>
        <v>NO EXISTE</v>
      </c>
      <c r="J376" s="143" t="str">
        <f t="shared" si="60"/>
        <v>NO EXISTE</v>
      </c>
      <c r="K376" s="143" t="str">
        <f t="shared" si="61"/>
        <v>NO EXISTE</v>
      </c>
      <c r="L376" s="143" t="str">
        <f t="shared" si="62"/>
        <v>NO EXISTE</v>
      </c>
      <c r="M376" s="143" t="str">
        <f t="shared" si="63"/>
        <v>NO EXISTE</v>
      </c>
      <c r="N376" s="143" t="str">
        <f t="shared" si="64"/>
        <v>NO EXISTE</v>
      </c>
      <c r="O376" s="143" t="str">
        <f t="shared" si="65"/>
        <v>NO EXISTE</v>
      </c>
      <c r="P376" s="143" t="str">
        <f t="shared" si="66"/>
        <v>NO EXISTE</v>
      </c>
      <c r="Q376" s="302" t="s">
        <v>2123</v>
      </c>
      <c r="R376" s="148" t="s">
        <v>594</v>
      </c>
      <c r="S376" s="148" t="s">
        <v>643</v>
      </c>
      <c r="T376" s="149">
        <v>5</v>
      </c>
      <c r="U376" s="148" t="s">
        <v>596</v>
      </c>
      <c r="V376" s="150">
        <v>548.75</v>
      </c>
      <c r="W376" s="151">
        <v>1991.66</v>
      </c>
    </row>
    <row r="377" spans="1:25" ht="15" customHeight="1" x14ac:dyDescent="0.25">
      <c r="A377" s="148">
        <v>16065</v>
      </c>
      <c r="B377" s="148" t="s">
        <v>2124</v>
      </c>
      <c r="C377" s="143" t="s">
        <v>2504</v>
      </c>
      <c r="D377" s="143" t="s">
        <v>2504</v>
      </c>
      <c r="E377" s="143" t="s">
        <v>2504</v>
      </c>
      <c r="F377" s="143" t="s">
        <v>2504</v>
      </c>
      <c r="G377" s="143" t="s">
        <v>2504</v>
      </c>
      <c r="H377" s="143" t="s">
        <v>2504</v>
      </c>
      <c r="I377" s="143" t="str">
        <f t="shared" si="59"/>
        <v>NO EXISTE</v>
      </c>
      <c r="J377" s="143" t="str">
        <f t="shared" si="60"/>
        <v>NO EXISTE</v>
      </c>
      <c r="K377" s="143" t="str">
        <f t="shared" si="61"/>
        <v>NO EXISTE</v>
      </c>
      <c r="L377" s="143" t="str">
        <f t="shared" si="62"/>
        <v>NO EXISTE</v>
      </c>
      <c r="M377" s="143" t="str">
        <f t="shared" si="63"/>
        <v>NO EXISTE</v>
      </c>
      <c r="N377" s="143" t="str">
        <f t="shared" si="64"/>
        <v>NO EXISTE</v>
      </c>
      <c r="O377" s="143" t="str">
        <f t="shared" si="65"/>
        <v>NO EXISTE</v>
      </c>
      <c r="P377" s="143" t="str">
        <f t="shared" si="66"/>
        <v>NO EXISTE</v>
      </c>
      <c r="Q377" s="302" t="s">
        <v>2125</v>
      </c>
      <c r="R377" s="148" t="s">
        <v>594</v>
      </c>
      <c r="S377" s="148" t="s">
        <v>759</v>
      </c>
      <c r="T377" s="149">
        <v>19</v>
      </c>
      <c r="U377" s="148" t="s">
        <v>596</v>
      </c>
      <c r="V377" s="150">
        <v>1985.51</v>
      </c>
      <c r="W377" s="151">
        <v>2099.7399999999998</v>
      </c>
    </row>
    <row r="378" spans="1:25" ht="15" customHeight="1" x14ac:dyDescent="0.25">
      <c r="A378" s="148">
        <v>16071</v>
      </c>
      <c r="B378" s="148" t="s">
        <v>2131</v>
      </c>
      <c r="C378" s="143" t="s">
        <v>2504</v>
      </c>
      <c r="D378" s="143" t="s">
        <v>2504</v>
      </c>
      <c r="E378" s="143" t="s">
        <v>2504</v>
      </c>
      <c r="F378" s="143" t="s">
        <v>2504</v>
      </c>
      <c r="G378" s="143" t="s">
        <v>2504</v>
      </c>
      <c r="H378" s="143" t="s">
        <v>2504</v>
      </c>
      <c r="I378" s="143" t="str">
        <f t="shared" si="59"/>
        <v>NO EXISTE</v>
      </c>
      <c r="J378" s="143" t="str">
        <f t="shared" si="60"/>
        <v>NO EXISTE</v>
      </c>
      <c r="K378" s="143" t="str">
        <f t="shared" si="61"/>
        <v>NO EXISTE</v>
      </c>
      <c r="L378" s="143" t="str">
        <f t="shared" si="62"/>
        <v>NO EXISTE</v>
      </c>
      <c r="M378" s="143" t="str">
        <f t="shared" si="63"/>
        <v>NO EXISTE</v>
      </c>
      <c r="N378" s="143" t="str">
        <f t="shared" si="64"/>
        <v>NO EXISTE</v>
      </c>
      <c r="O378" s="143" t="str">
        <f t="shared" si="65"/>
        <v>NO EXISTE</v>
      </c>
      <c r="P378" s="143" t="str">
        <f t="shared" si="66"/>
        <v>NO EXISTE</v>
      </c>
      <c r="Q378" s="302" t="s">
        <v>2132</v>
      </c>
      <c r="R378" s="148" t="s">
        <v>594</v>
      </c>
      <c r="S378" s="148" t="s">
        <v>2128</v>
      </c>
      <c r="T378" s="149">
        <v>200</v>
      </c>
      <c r="U378" s="148" t="s">
        <v>596</v>
      </c>
      <c r="V378" s="150">
        <v>25496.400000000001</v>
      </c>
      <c r="W378" s="151">
        <v>2086.9</v>
      </c>
    </row>
    <row r="379" spans="1:25" ht="15" customHeight="1" x14ac:dyDescent="0.25">
      <c r="A379" s="148">
        <v>16076</v>
      </c>
      <c r="B379" s="148" t="s">
        <v>2133</v>
      </c>
      <c r="C379" s="143" t="s">
        <v>2504</v>
      </c>
      <c r="D379" s="143" t="s">
        <v>2504</v>
      </c>
      <c r="E379" s="143" t="s">
        <v>2504</v>
      </c>
      <c r="F379" s="143" t="s">
        <v>2504</v>
      </c>
      <c r="G379" s="143" t="s">
        <v>2504</v>
      </c>
      <c r="H379" s="143" t="s">
        <v>2504</v>
      </c>
      <c r="I379" s="143" t="str">
        <f t="shared" si="59"/>
        <v>NO EXISTE</v>
      </c>
      <c r="J379" s="143" t="str">
        <f t="shared" si="60"/>
        <v>NO EXISTE</v>
      </c>
      <c r="K379" s="143" t="str">
        <f t="shared" si="61"/>
        <v>NO EXISTE</v>
      </c>
      <c r="L379" s="143" t="str">
        <f t="shared" si="62"/>
        <v>NO EXISTE</v>
      </c>
      <c r="M379" s="143" t="str">
        <f t="shared" si="63"/>
        <v>NO EXISTE</v>
      </c>
      <c r="N379" s="143" t="str">
        <f t="shared" si="64"/>
        <v>NO EXISTE</v>
      </c>
      <c r="O379" s="143" t="str">
        <f t="shared" si="65"/>
        <v>NO EXISTE</v>
      </c>
      <c r="P379" s="143" t="str">
        <f t="shared" si="66"/>
        <v>NO EXISTE</v>
      </c>
      <c r="Q379" s="302" t="s">
        <v>2134</v>
      </c>
      <c r="R379" s="148" t="s">
        <v>630</v>
      </c>
      <c r="S379" s="148" t="s">
        <v>830</v>
      </c>
      <c r="T379" s="149">
        <v>0.95</v>
      </c>
      <c r="U379" s="148" t="s">
        <v>596</v>
      </c>
      <c r="V379" s="150">
        <v>87.37</v>
      </c>
      <c r="W379" s="151">
        <v>2204.12</v>
      </c>
    </row>
    <row r="380" spans="1:25" ht="15" customHeight="1" x14ac:dyDescent="0.25">
      <c r="A380" s="148">
        <v>16078</v>
      </c>
      <c r="B380" s="148" t="s">
        <v>2137</v>
      </c>
      <c r="C380" s="143" t="s">
        <v>2504</v>
      </c>
      <c r="D380" s="143" t="s">
        <v>2504</v>
      </c>
      <c r="E380" s="143" t="s">
        <v>2504</v>
      </c>
      <c r="F380" s="143" t="s">
        <v>2504</v>
      </c>
      <c r="G380" s="143" t="s">
        <v>2504</v>
      </c>
      <c r="H380" s="143" t="s">
        <v>2504</v>
      </c>
      <c r="I380" s="143" t="str">
        <f t="shared" si="59"/>
        <v>NO EXISTE</v>
      </c>
      <c r="J380" s="143" t="str">
        <f t="shared" si="60"/>
        <v>NO EXISTE</v>
      </c>
      <c r="K380" s="143" t="str">
        <f t="shared" si="61"/>
        <v>NO EXISTE</v>
      </c>
      <c r="L380" s="143" t="str">
        <f t="shared" si="62"/>
        <v>NO EXISTE</v>
      </c>
      <c r="M380" s="143" t="str">
        <f t="shared" si="63"/>
        <v>NO EXISTE</v>
      </c>
      <c r="N380" s="143" t="str">
        <f t="shared" si="64"/>
        <v>NO EXISTE</v>
      </c>
      <c r="O380" s="143" t="str">
        <f t="shared" si="65"/>
        <v>NO EXISTE</v>
      </c>
      <c r="P380" s="143" t="str">
        <f t="shared" si="66"/>
        <v>NO EXISTE</v>
      </c>
      <c r="Q380" s="302" t="s">
        <v>2138</v>
      </c>
      <c r="R380" s="148" t="s">
        <v>630</v>
      </c>
      <c r="S380" s="148" t="s">
        <v>631</v>
      </c>
      <c r="T380" s="149">
        <v>0.95</v>
      </c>
      <c r="U380" s="148" t="s">
        <v>596</v>
      </c>
      <c r="V380" s="150">
        <v>81.900000000000006</v>
      </c>
      <c r="W380" s="151">
        <v>2326.5100000000002</v>
      </c>
      <c r="Y380" s="147"/>
    </row>
    <row r="381" spans="1:25" ht="15" customHeight="1" x14ac:dyDescent="0.25">
      <c r="A381" s="148">
        <v>16088</v>
      </c>
      <c r="B381" s="148" t="s">
        <v>2142</v>
      </c>
      <c r="C381" s="143" t="s">
        <v>2504</v>
      </c>
      <c r="D381" s="143" t="s">
        <v>2504</v>
      </c>
      <c r="E381" s="143" t="s">
        <v>2504</v>
      </c>
      <c r="F381" s="143" t="s">
        <v>2504</v>
      </c>
      <c r="G381" s="143" t="s">
        <v>2504</v>
      </c>
      <c r="H381" s="143" t="s">
        <v>2504</v>
      </c>
      <c r="I381" s="143" t="str">
        <f t="shared" si="59"/>
        <v>NO EXISTE</v>
      </c>
      <c r="J381" s="143" t="str">
        <f t="shared" si="60"/>
        <v>NO EXISTE</v>
      </c>
      <c r="K381" s="143" t="str">
        <f t="shared" si="61"/>
        <v>NO EXISTE</v>
      </c>
      <c r="L381" s="143" t="str">
        <f t="shared" si="62"/>
        <v>NO EXISTE</v>
      </c>
      <c r="M381" s="143" t="str">
        <f t="shared" si="63"/>
        <v>NO EXISTE</v>
      </c>
      <c r="N381" s="143" t="str">
        <f t="shared" si="64"/>
        <v>NO EXISTE</v>
      </c>
      <c r="O381" s="143" t="str">
        <f t="shared" si="65"/>
        <v>NO EXISTE</v>
      </c>
      <c r="P381" s="143" t="str">
        <f t="shared" si="66"/>
        <v>NO EXISTE</v>
      </c>
      <c r="Q381" s="302" t="s">
        <v>2143</v>
      </c>
      <c r="R381" s="148" t="s">
        <v>594</v>
      </c>
      <c r="S381" s="148" t="s">
        <v>2084</v>
      </c>
      <c r="T381" s="149">
        <v>0.95</v>
      </c>
      <c r="U381" s="148" t="s">
        <v>596</v>
      </c>
      <c r="V381" s="150">
        <v>138.13999999999999</v>
      </c>
      <c r="W381" s="151">
        <v>2579.52</v>
      </c>
    </row>
    <row r="382" spans="1:25" ht="15" customHeight="1" x14ac:dyDescent="0.25">
      <c r="A382" s="148">
        <v>16104</v>
      </c>
      <c r="B382" s="148" t="s">
        <v>2144</v>
      </c>
      <c r="C382" s="143" t="s">
        <v>2504</v>
      </c>
      <c r="D382" s="143" t="s">
        <v>2504</v>
      </c>
      <c r="E382" s="143" t="s">
        <v>2504</v>
      </c>
      <c r="F382" s="143" t="s">
        <v>2504</v>
      </c>
      <c r="G382" s="143" t="s">
        <v>2504</v>
      </c>
      <c r="H382" s="143" t="s">
        <v>2504</v>
      </c>
      <c r="I382" s="143" t="str">
        <f t="shared" si="59"/>
        <v>NO EXISTE</v>
      </c>
      <c r="J382" s="143" t="str">
        <f t="shared" si="60"/>
        <v>NO EXISTE</v>
      </c>
      <c r="K382" s="143" t="str">
        <f t="shared" si="61"/>
        <v>NO EXISTE</v>
      </c>
      <c r="L382" s="143" t="str">
        <f t="shared" si="62"/>
        <v>NO EXISTE</v>
      </c>
      <c r="M382" s="143" t="str">
        <f t="shared" si="63"/>
        <v>NO EXISTE</v>
      </c>
      <c r="N382" s="143" t="str">
        <f t="shared" si="64"/>
        <v>NO EXISTE</v>
      </c>
      <c r="O382" s="143" t="str">
        <f t="shared" si="65"/>
        <v>NO EXISTE</v>
      </c>
      <c r="P382" s="143" t="str">
        <f t="shared" si="66"/>
        <v>NO EXISTE</v>
      </c>
      <c r="Q382" s="302" t="s">
        <v>2145</v>
      </c>
      <c r="R382" s="148" t="s">
        <v>630</v>
      </c>
      <c r="S382" s="148" t="s">
        <v>830</v>
      </c>
      <c r="T382" s="149">
        <v>4</v>
      </c>
      <c r="U382" s="148" t="s">
        <v>596</v>
      </c>
      <c r="V382" s="150">
        <v>359.55</v>
      </c>
      <c r="W382" s="151">
        <v>2803.94</v>
      </c>
    </row>
    <row r="383" spans="1:25" ht="15" customHeight="1" x14ac:dyDescent="0.25">
      <c r="A383" s="148">
        <v>16122</v>
      </c>
      <c r="B383" s="148" t="s">
        <v>2167</v>
      </c>
      <c r="C383" s="143" t="s">
        <v>2504</v>
      </c>
      <c r="D383" s="143" t="s">
        <v>2504</v>
      </c>
      <c r="E383" s="143" t="s">
        <v>2504</v>
      </c>
      <c r="F383" s="143" t="s">
        <v>2504</v>
      </c>
      <c r="G383" s="143" t="s">
        <v>2504</v>
      </c>
      <c r="H383" s="143" t="s">
        <v>2504</v>
      </c>
      <c r="I383" s="143" t="str">
        <f t="shared" si="59"/>
        <v>NO EXISTE</v>
      </c>
      <c r="J383" s="143" t="str">
        <f t="shared" si="60"/>
        <v>NO EXISTE</v>
      </c>
      <c r="K383" s="143" t="str">
        <f t="shared" si="61"/>
        <v>NO EXISTE</v>
      </c>
      <c r="L383" s="143" t="str">
        <f t="shared" si="62"/>
        <v>NO EXISTE</v>
      </c>
      <c r="M383" s="143" t="str">
        <f t="shared" si="63"/>
        <v>NO EXISTE</v>
      </c>
      <c r="N383" s="143" t="str">
        <f t="shared" si="64"/>
        <v>NO EXISTE</v>
      </c>
      <c r="O383" s="143" t="str">
        <f t="shared" si="65"/>
        <v>NO EXISTE</v>
      </c>
      <c r="P383" s="143" t="str">
        <f t="shared" si="66"/>
        <v>NO EXISTE</v>
      </c>
      <c r="Q383" s="302" t="s">
        <v>2168</v>
      </c>
      <c r="R383" s="148" t="s">
        <v>630</v>
      </c>
      <c r="S383" s="148" t="s">
        <v>840</v>
      </c>
      <c r="T383" s="149">
        <v>19</v>
      </c>
      <c r="U383" s="148" t="s">
        <v>596</v>
      </c>
      <c r="V383" s="150">
        <v>2291.37</v>
      </c>
      <c r="W383" s="151">
        <v>1985.19</v>
      </c>
    </row>
    <row r="384" spans="1:25" ht="15" customHeight="1" x14ac:dyDescent="0.25">
      <c r="A384" s="148">
        <v>16123</v>
      </c>
      <c r="B384" s="148" t="s">
        <v>2169</v>
      </c>
      <c r="C384" s="143" t="s">
        <v>2504</v>
      </c>
      <c r="D384" s="143" t="s">
        <v>2504</v>
      </c>
      <c r="E384" s="143" t="s">
        <v>2504</v>
      </c>
      <c r="F384" s="143" t="s">
        <v>2504</v>
      </c>
      <c r="G384" s="143" t="s">
        <v>2504</v>
      </c>
      <c r="H384" s="143" t="s">
        <v>2504</v>
      </c>
      <c r="I384" s="143" t="str">
        <f t="shared" si="59"/>
        <v>NO EXISTE</v>
      </c>
      <c r="J384" s="143" t="str">
        <f t="shared" si="60"/>
        <v>NO EXISTE</v>
      </c>
      <c r="K384" s="143" t="str">
        <f t="shared" si="61"/>
        <v>NO EXISTE</v>
      </c>
      <c r="L384" s="143" t="str">
        <f t="shared" si="62"/>
        <v>NO EXISTE</v>
      </c>
      <c r="M384" s="143" t="str">
        <f t="shared" si="63"/>
        <v>NO EXISTE</v>
      </c>
      <c r="N384" s="143" t="str">
        <f t="shared" si="64"/>
        <v>NO EXISTE</v>
      </c>
      <c r="O384" s="143" t="str">
        <f t="shared" si="65"/>
        <v>NO EXISTE</v>
      </c>
      <c r="P384" s="143" t="str">
        <f t="shared" si="66"/>
        <v>NO EXISTE</v>
      </c>
      <c r="Q384" s="302" t="s">
        <v>2170</v>
      </c>
      <c r="R384" s="148" t="s">
        <v>630</v>
      </c>
      <c r="S384" s="148" t="s">
        <v>840</v>
      </c>
      <c r="T384" s="149">
        <v>200</v>
      </c>
      <c r="U384" s="148" t="s">
        <v>596</v>
      </c>
      <c r="V384" s="150">
        <v>24001.62</v>
      </c>
      <c r="W384" s="151">
        <v>2060.83</v>
      </c>
    </row>
    <row r="385" spans="1:23" ht="15" customHeight="1" x14ac:dyDescent="0.25">
      <c r="A385" s="148">
        <v>16124</v>
      </c>
      <c r="B385" s="148" t="s">
        <v>2171</v>
      </c>
      <c r="C385" s="143" t="s">
        <v>2504</v>
      </c>
      <c r="D385" s="143" t="s">
        <v>2504</v>
      </c>
      <c r="E385" s="143" t="s">
        <v>2504</v>
      </c>
      <c r="F385" s="143" t="s">
        <v>2504</v>
      </c>
      <c r="G385" s="143" t="s">
        <v>2504</v>
      </c>
      <c r="H385" s="143" t="s">
        <v>2504</v>
      </c>
      <c r="I385" s="143" t="str">
        <f t="shared" si="59"/>
        <v>NO EXISTE</v>
      </c>
      <c r="J385" s="143" t="str">
        <f t="shared" si="60"/>
        <v>NO EXISTE</v>
      </c>
      <c r="K385" s="143" t="str">
        <f t="shared" si="61"/>
        <v>NO EXISTE</v>
      </c>
      <c r="L385" s="143" t="str">
        <f t="shared" si="62"/>
        <v>NO EXISTE</v>
      </c>
      <c r="M385" s="143" t="str">
        <f t="shared" si="63"/>
        <v>NO EXISTE</v>
      </c>
      <c r="N385" s="143" t="str">
        <f t="shared" si="64"/>
        <v>NO EXISTE</v>
      </c>
      <c r="O385" s="143" t="str">
        <f t="shared" si="65"/>
        <v>NO EXISTE</v>
      </c>
      <c r="P385" s="143" t="str">
        <f t="shared" si="66"/>
        <v>NO EXISTE</v>
      </c>
      <c r="Q385" s="302" t="s">
        <v>2172</v>
      </c>
      <c r="R385" s="148" t="s">
        <v>630</v>
      </c>
      <c r="S385" s="148" t="s">
        <v>840</v>
      </c>
      <c r="T385" s="149">
        <v>1</v>
      </c>
      <c r="U385" s="148" t="s">
        <v>596</v>
      </c>
      <c r="V385" s="150">
        <v>115.24</v>
      </c>
      <c r="W385" s="151">
        <v>2075.19</v>
      </c>
    </row>
    <row r="386" spans="1:23" ht="15" customHeight="1" x14ac:dyDescent="0.25">
      <c r="A386" s="148">
        <v>16145</v>
      </c>
      <c r="B386" s="148" t="s">
        <v>2185</v>
      </c>
      <c r="C386" s="143" t="s">
        <v>2504</v>
      </c>
      <c r="D386" s="143" t="s">
        <v>2504</v>
      </c>
      <c r="E386" s="143" t="s">
        <v>2504</v>
      </c>
      <c r="F386" s="143" t="s">
        <v>2504</v>
      </c>
      <c r="G386" s="143" t="s">
        <v>2504</v>
      </c>
      <c r="H386" s="143" t="s">
        <v>2504</v>
      </c>
      <c r="I386" s="143" t="str">
        <f t="shared" si="59"/>
        <v>NO EXISTE</v>
      </c>
      <c r="J386" s="143" t="str">
        <f t="shared" si="60"/>
        <v>NO EXISTE</v>
      </c>
      <c r="K386" s="143" t="str">
        <f t="shared" si="61"/>
        <v>NO EXISTE</v>
      </c>
      <c r="L386" s="143" t="str">
        <f t="shared" si="62"/>
        <v>NO EXISTE</v>
      </c>
      <c r="M386" s="143" t="str">
        <f t="shared" si="63"/>
        <v>NO EXISTE</v>
      </c>
      <c r="N386" s="143" t="str">
        <f t="shared" si="64"/>
        <v>NO EXISTE</v>
      </c>
      <c r="O386" s="143" t="str">
        <f t="shared" si="65"/>
        <v>NO EXISTE</v>
      </c>
      <c r="P386" s="143" t="str">
        <f t="shared" si="66"/>
        <v>NO EXISTE</v>
      </c>
      <c r="Q386" s="302" t="s">
        <v>2186</v>
      </c>
      <c r="R386" s="148" t="s">
        <v>594</v>
      </c>
      <c r="S386" s="148" t="s">
        <v>2084</v>
      </c>
      <c r="T386" s="149">
        <v>0.95</v>
      </c>
      <c r="U386" s="148" t="s">
        <v>596</v>
      </c>
      <c r="V386" s="150">
        <v>137.83000000000001</v>
      </c>
      <c r="W386" s="151">
        <v>2084.96</v>
      </c>
    </row>
    <row r="387" spans="1:23" ht="15" customHeight="1" x14ac:dyDescent="0.25">
      <c r="A387" s="148">
        <v>16146</v>
      </c>
      <c r="B387" s="148" t="s">
        <v>2187</v>
      </c>
      <c r="C387" s="143" t="s">
        <v>2504</v>
      </c>
      <c r="D387" s="143" t="s">
        <v>2504</v>
      </c>
      <c r="E387" s="143" t="s">
        <v>2504</v>
      </c>
      <c r="F387" s="143" t="s">
        <v>2504</v>
      </c>
      <c r="G387" s="143" t="s">
        <v>2504</v>
      </c>
      <c r="H387" s="143" t="s">
        <v>2504</v>
      </c>
      <c r="I387" s="143" t="str">
        <f t="shared" si="59"/>
        <v>NO EXISTE</v>
      </c>
      <c r="J387" s="143" t="str">
        <f t="shared" si="60"/>
        <v>NO EXISTE</v>
      </c>
      <c r="K387" s="143" t="str">
        <f t="shared" si="61"/>
        <v>NO EXISTE</v>
      </c>
      <c r="L387" s="143" t="str">
        <f t="shared" si="62"/>
        <v>NO EXISTE</v>
      </c>
      <c r="M387" s="143" t="str">
        <f t="shared" si="63"/>
        <v>NO EXISTE</v>
      </c>
      <c r="N387" s="143" t="str">
        <f t="shared" si="64"/>
        <v>NO EXISTE</v>
      </c>
      <c r="O387" s="143" t="str">
        <f t="shared" si="65"/>
        <v>NO EXISTE</v>
      </c>
      <c r="P387" s="143" t="str">
        <f t="shared" si="66"/>
        <v>NO EXISTE</v>
      </c>
      <c r="Q387" s="302" t="s">
        <v>2188</v>
      </c>
      <c r="R387" s="148" t="s">
        <v>594</v>
      </c>
      <c r="S387" s="148" t="s">
        <v>2084</v>
      </c>
      <c r="T387" s="149">
        <v>0.95</v>
      </c>
      <c r="U387" s="148" t="s">
        <v>596</v>
      </c>
      <c r="V387" s="150">
        <v>159.35</v>
      </c>
      <c r="W387" s="151">
        <v>3490.84</v>
      </c>
    </row>
    <row r="388" spans="1:23" ht="15" customHeight="1" x14ac:dyDescent="0.25">
      <c r="A388" s="148">
        <v>16147</v>
      </c>
      <c r="B388" s="148" t="s">
        <v>2189</v>
      </c>
      <c r="C388" s="143" t="s">
        <v>2504</v>
      </c>
      <c r="D388" s="143" t="s">
        <v>2504</v>
      </c>
      <c r="E388" s="143" t="s">
        <v>2504</v>
      </c>
      <c r="F388" s="143" t="s">
        <v>2504</v>
      </c>
      <c r="G388" s="143" t="s">
        <v>2504</v>
      </c>
      <c r="H388" s="143" t="s">
        <v>2504</v>
      </c>
      <c r="I388" s="143" t="str">
        <f t="shared" si="59"/>
        <v>NO EXISTE</v>
      </c>
      <c r="J388" s="143" t="str">
        <f t="shared" si="60"/>
        <v>NO EXISTE</v>
      </c>
      <c r="K388" s="143" t="str">
        <f t="shared" si="61"/>
        <v>NO EXISTE</v>
      </c>
      <c r="L388" s="143" t="str">
        <f t="shared" si="62"/>
        <v>NO EXISTE</v>
      </c>
      <c r="M388" s="143" t="str">
        <f t="shared" si="63"/>
        <v>NO EXISTE</v>
      </c>
      <c r="N388" s="143" t="str">
        <f t="shared" si="64"/>
        <v>NO EXISTE</v>
      </c>
      <c r="O388" s="143" t="str">
        <f t="shared" si="65"/>
        <v>NO EXISTE</v>
      </c>
      <c r="P388" s="143" t="str">
        <f t="shared" si="66"/>
        <v>NO EXISTE</v>
      </c>
      <c r="Q388" s="302" t="s">
        <v>2190</v>
      </c>
      <c r="R388" s="148" t="s">
        <v>594</v>
      </c>
      <c r="S388" s="148" t="s">
        <v>2084</v>
      </c>
      <c r="T388" s="149">
        <v>0.95</v>
      </c>
      <c r="U388" s="148" t="s">
        <v>596</v>
      </c>
      <c r="V388" s="150">
        <v>150.51</v>
      </c>
      <c r="W388" s="151">
        <v>3577.99</v>
      </c>
    </row>
    <row r="389" spans="1:23" ht="15" customHeight="1" x14ac:dyDescent="0.25">
      <c r="A389" s="148">
        <v>16200</v>
      </c>
      <c r="B389" s="148" t="s">
        <v>2197</v>
      </c>
      <c r="C389" s="143" t="s">
        <v>2504</v>
      </c>
      <c r="D389" s="143" t="s">
        <v>2504</v>
      </c>
      <c r="E389" s="143" t="s">
        <v>2504</v>
      </c>
      <c r="F389" s="143" t="s">
        <v>2504</v>
      </c>
      <c r="G389" s="143" t="s">
        <v>2504</v>
      </c>
      <c r="H389" s="143" t="s">
        <v>2504</v>
      </c>
      <c r="I389" s="143" t="str">
        <f t="shared" si="59"/>
        <v>NO EXISTE</v>
      </c>
      <c r="J389" s="143" t="str">
        <f t="shared" si="60"/>
        <v>NO EXISTE</v>
      </c>
      <c r="K389" s="143" t="str">
        <f t="shared" si="61"/>
        <v>NO EXISTE</v>
      </c>
      <c r="L389" s="143" t="str">
        <f t="shared" si="62"/>
        <v>NO EXISTE</v>
      </c>
      <c r="M389" s="143" t="str">
        <f t="shared" si="63"/>
        <v>NO EXISTE</v>
      </c>
      <c r="N389" s="143" t="str">
        <f t="shared" si="64"/>
        <v>NO EXISTE</v>
      </c>
      <c r="O389" s="143" t="str">
        <f t="shared" si="65"/>
        <v>NO EXISTE</v>
      </c>
      <c r="P389" s="143" t="str">
        <f t="shared" si="66"/>
        <v>NO EXISTE</v>
      </c>
      <c r="Q389" s="302" t="s">
        <v>2198</v>
      </c>
      <c r="R389" s="148" t="s">
        <v>589</v>
      </c>
      <c r="S389" s="148" t="s">
        <v>590</v>
      </c>
      <c r="T389" s="149">
        <v>0.95</v>
      </c>
      <c r="U389" s="148" t="s">
        <v>596</v>
      </c>
      <c r="V389" s="150">
        <v>43.23</v>
      </c>
      <c r="W389" s="151">
        <v>3900.27</v>
      </c>
    </row>
    <row r="390" spans="1:23" ht="15" customHeight="1" x14ac:dyDescent="0.25">
      <c r="A390" s="148">
        <v>16309</v>
      </c>
      <c r="B390" s="148" t="s">
        <v>2217</v>
      </c>
      <c r="C390" s="143" t="s">
        <v>2504</v>
      </c>
      <c r="D390" s="143" t="s">
        <v>2504</v>
      </c>
      <c r="E390" s="143" t="s">
        <v>2504</v>
      </c>
      <c r="F390" s="143" t="s">
        <v>2504</v>
      </c>
      <c r="G390" s="143" t="s">
        <v>2504</v>
      </c>
      <c r="H390" s="143" t="s">
        <v>2504</v>
      </c>
      <c r="I390" s="143" t="str">
        <f t="shared" si="59"/>
        <v>NO EXISTE</v>
      </c>
      <c r="J390" s="143" t="str">
        <f t="shared" si="60"/>
        <v>NO EXISTE</v>
      </c>
      <c r="K390" s="143" t="str">
        <f t="shared" si="61"/>
        <v>NO EXISTE</v>
      </c>
      <c r="L390" s="143" t="str">
        <f t="shared" si="62"/>
        <v>NO EXISTE</v>
      </c>
      <c r="M390" s="143" t="str">
        <f t="shared" si="63"/>
        <v>NO EXISTE</v>
      </c>
      <c r="N390" s="143" t="str">
        <f t="shared" si="64"/>
        <v>NO EXISTE</v>
      </c>
      <c r="O390" s="143" t="str">
        <f t="shared" si="65"/>
        <v>NO EXISTE</v>
      </c>
      <c r="P390" s="143" t="str">
        <f t="shared" si="66"/>
        <v>NO EXISTE</v>
      </c>
      <c r="Q390" s="302" t="s">
        <v>2218</v>
      </c>
      <c r="R390" s="148" t="s">
        <v>594</v>
      </c>
      <c r="S390" s="148" t="s">
        <v>2214</v>
      </c>
      <c r="T390" s="149">
        <v>5</v>
      </c>
      <c r="U390" s="148" t="s">
        <v>596</v>
      </c>
      <c r="V390" s="150">
        <v>641.89</v>
      </c>
      <c r="W390" s="151">
        <v>3453.49</v>
      </c>
    </row>
    <row r="391" spans="1:23" ht="15" customHeight="1" x14ac:dyDescent="0.25">
      <c r="A391" s="148">
        <v>16312</v>
      </c>
      <c r="B391" s="148" t="s">
        <v>2221</v>
      </c>
      <c r="C391" s="143" t="s">
        <v>2504</v>
      </c>
      <c r="D391" s="143" t="s">
        <v>2504</v>
      </c>
      <c r="E391" s="143" t="s">
        <v>2504</v>
      </c>
      <c r="F391" s="143" t="s">
        <v>2504</v>
      </c>
      <c r="G391" s="143" t="s">
        <v>2504</v>
      </c>
      <c r="H391" s="143" t="s">
        <v>2504</v>
      </c>
      <c r="I391" s="143" t="str">
        <f t="shared" si="59"/>
        <v>NO EXISTE</v>
      </c>
      <c r="J391" s="143" t="str">
        <f t="shared" si="60"/>
        <v>NO EXISTE</v>
      </c>
      <c r="K391" s="143" t="str">
        <f t="shared" si="61"/>
        <v>NO EXISTE</v>
      </c>
      <c r="L391" s="143" t="str">
        <f t="shared" si="62"/>
        <v>NO EXISTE</v>
      </c>
      <c r="M391" s="143" t="str">
        <f t="shared" si="63"/>
        <v>NO EXISTE</v>
      </c>
      <c r="N391" s="143" t="str">
        <f t="shared" si="64"/>
        <v>NO EXISTE</v>
      </c>
      <c r="O391" s="143" t="str">
        <f t="shared" si="65"/>
        <v>NO EXISTE</v>
      </c>
      <c r="P391" s="143" t="str">
        <f t="shared" si="66"/>
        <v>NO EXISTE</v>
      </c>
      <c r="Q391" s="302" t="s">
        <v>2222</v>
      </c>
      <c r="R391" s="148" t="s">
        <v>594</v>
      </c>
      <c r="S391" s="148" t="s">
        <v>2214</v>
      </c>
      <c r="T391" s="149">
        <v>5</v>
      </c>
      <c r="U391" s="148" t="s">
        <v>596</v>
      </c>
      <c r="V391" s="150">
        <v>688.39</v>
      </c>
      <c r="W391" s="151">
        <v>1969.75</v>
      </c>
    </row>
    <row r="392" spans="1:23" ht="15" customHeight="1" x14ac:dyDescent="0.25">
      <c r="A392" s="148">
        <v>16609</v>
      </c>
      <c r="B392" s="148" t="s">
        <v>2286</v>
      </c>
      <c r="C392" s="143" t="s">
        <v>2504</v>
      </c>
      <c r="D392" s="143" t="s">
        <v>2504</v>
      </c>
      <c r="E392" s="143" t="s">
        <v>2504</v>
      </c>
      <c r="F392" s="143" t="s">
        <v>2504</v>
      </c>
      <c r="G392" s="143" t="s">
        <v>2504</v>
      </c>
      <c r="H392" s="143" t="s">
        <v>2504</v>
      </c>
      <c r="I392" s="143" t="str">
        <f t="shared" si="59"/>
        <v>NO EXISTE</v>
      </c>
      <c r="J392" s="143" t="str">
        <f t="shared" si="60"/>
        <v>NO EXISTE</v>
      </c>
      <c r="K392" s="143" t="str">
        <f t="shared" si="61"/>
        <v>NO EXISTE</v>
      </c>
      <c r="L392" s="143" t="str">
        <f t="shared" si="62"/>
        <v>NO EXISTE</v>
      </c>
      <c r="M392" s="143" t="str">
        <f t="shared" si="63"/>
        <v>NO EXISTE</v>
      </c>
      <c r="N392" s="143" t="str">
        <f t="shared" si="64"/>
        <v>NO EXISTE</v>
      </c>
      <c r="O392" s="143" t="str">
        <f t="shared" si="65"/>
        <v>NO EXISTE</v>
      </c>
      <c r="P392" s="143" t="str">
        <f t="shared" si="66"/>
        <v>NO EXISTE</v>
      </c>
      <c r="Q392" s="302" t="s">
        <v>2287</v>
      </c>
      <c r="R392" s="148" t="s">
        <v>594</v>
      </c>
      <c r="S392" s="148" t="s">
        <v>2214</v>
      </c>
      <c r="T392" s="149">
        <v>19</v>
      </c>
      <c r="U392" s="148" t="s">
        <v>596</v>
      </c>
      <c r="V392" s="150">
        <v>2464.8000000000002</v>
      </c>
      <c r="W392" s="151">
        <v>2066.7600000000002</v>
      </c>
    </row>
    <row r="393" spans="1:23" ht="15" customHeight="1" x14ac:dyDescent="0.25">
      <c r="A393" s="148">
        <v>16610</v>
      </c>
      <c r="B393" s="148" t="s">
        <v>2288</v>
      </c>
      <c r="C393" s="143" t="s">
        <v>2504</v>
      </c>
      <c r="D393" s="143" t="s">
        <v>2504</v>
      </c>
      <c r="E393" s="143" t="s">
        <v>2504</v>
      </c>
      <c r="F393" s="143" t="s">
        <v>2504</v>
      </c>
      <c r="G393" s="143" t="s">
        <v>2504</v>
      </c>
      <c r="H393" s="143" t="s">
        <v>2504</v>
      </c>
      <c r="I393" s="143" t="str">
        <f t="shared" si="59"/>
        <v>NO EXISTE</v>
      </c>
      <c r="J393" s="143" t="str">
        <f t="shared" si="60"/>
        <v>NO EXISTE</v>
      </c>
      <c r="K393" s="143" t="str">
        <f t="shared" si="61"/>
        <v>NO EXISTE</v>
      </c>
      <c r="L393" s="143" t="str">
        <f t="shared" si="62"/>
        <v>NO EXISTE</v>
      </c>
      <c r="M393" s="143" t="str">
        <f t="shared" si="63"/>
        <v>NO EXISTE</v>
      </c>
      <c r="N393" s="143" t="str">
        <f t="shared" si="64"/>
        <v>NO EXISTE</v>
      </c>
      <c r="O393" s="143" t="str">
        <f t="shared" si="65"/>
        <v>NO EXISTE</v>
      </c>
      <c r="P393" s="143" t="str">
        <f t="shared" si="66"/>
        <v>NO EXISTE</v>
      </c>
      <c r="Q393" s="302" t="s">
        <v>2289</v>
      </c>
      <c r="R393" s="148" t="s">
        <v>594</v>
      </c>
      <c r="S393" s="148" t="s">
        <v>2214</v>
      </c>
      <c r="T393" s="149">
        <v>19</v>
      </c>
      <c r="U393" s="148" t="s">
        <v>596</v>
      </c>
      <c r="V393" s="150">
        <v>2702.86</v>
      </c>
      <c r="W393" s="151">
        <v>2071.3000000000002</v>
      </c>
    </row>
    <row r="394" spans="1:23" ht="15" customHeight="1" x14ac:dyDescent="0.25">
      <c r="A394" s="148">
        <v>16707</v>
      </c>
      <c r="B394" s="148" t="s">
        <v>2303</v>
      </c>
      <c r="C394" s="143" t="s">
        <v>2504</v>
      </c>
      <c r="D394" s="143" t="s">
        <v>2504</v>
      </c>
      <c r="E394" s="143" t="s">
        <v>2504</v>
      </c>
      <c r="F394" s="143" t="s">
        <v>2504</v>
      </c>
      <c r="G394" s="143" t="s">
        <v>2504</v>
      </c>
      <c r="H394" s="143" t="s">
        <v>2504</v>
      </c>
      <c r="I394" s="143" t="str">
        <f t="shared" si="59"/>
        <v>NO EXISTE</v>
      </c>
      <c r="J394" s="143" t="str">
        <f t="shared" si="60"/>
        <v>NO EXISTE</v>
      </c>
      <c r="K394" s="143" t="str">
        <f t="shared" si="61"/>
        <v>NO EXISTE</v>
      </c>
      <c r="L394" s="143" t="str">
        <f t="shared" si="62"/>
        <v>NO EXISTE</v>
      </c>
      <c r="M394" s="143" t="str">
        <f t="shared" si="63"/>
        <v>NO EXISTE</v>
      </c>
      <c r="N394" s="143" t="str">
        <f t="shared" si="64"/>
        <v>NO EXISTE</v>
      </c>
      <c r="O394" s="143" t="str">
        <f t="shared" si="65"/>
        <v>NO EXISTE</v>
      </c>
      <c r="P394" s="143" t="str">
        <f t="shared" si="66"/>
        <v>NO EXISTE</v>
      </c>
      <c r="Q394" s="302" t="s">
        <v>2304</v>
      </c>
      <c r="R394" s="148" t="s">
        <v>594</v>
      </c>
      <c r="S394" s="148" t="s">
        <v>2279</v>
      </c>
      <c r="T394" s="149">
        <v>200</v>
      </c>
      <c r="U394" s="148" t="s">
        <v>596</v>
      </c>
      <c r="V394" s="150">
        <v>42743.35</v>
      </c>
      <c r="W394" s="151">
        <v>2067.7399999999998</v>
      </c>
    </row>
    <row r="395" spans="1:23" ht="15" customHeight="1" x14ac:dyDescent="0.25">
      <c r="A395" s="148">
        <v>16709</v>
      </c>
      <c r="B395" s="148" t="s">
        <v>2305</v>
      </c>
      <c r="C395" s="143" t="s">
        <v>2504</v>
      </c>
      <c r="D395" s="143" t="s">
        <v>2504</v>
      </c>
      <c r="E395" s="143" t="s">
        <v>2504</v>
      </c>
      <c r="F395" s="143" t="s">
        <v>2504</v>
      </c>
      <c r="G395" s="143" t="s">
        <v>2504</v>
      </c>
      <c r="H395" s="143" t="s">
        <v>2504</v>
      </c>
      <c r="I395" s="143" t="str">
        <f t="shared" si="59"/>
        <v>NO EXISTE</v>
      </c>
      <c r="J395" s="143" t="str">
        <f t="shared" si="60"/>
        <v>NO EXISTE</v>
      </c>
      <c r="K395" s="143" t="str">
        <f t="shared" si="61"/>
        <v>NO EXISTE</v>
      </c>
      <c r="L395" s="143" t="str">
        <f t="shared" si="62"/>
        <v>NO EXISTE</v>
      </c>
      <c r="M395" s="143" t="str">
        <f t="shared" si="63"/>
        <v>NO EXISTE</v>
      </c>
      <c r="N395" s="143" t="str">
        <f t="shared" si="64"/>
        <v>NO EXISTE</v>
      </c>
      <c r="O395" s="143" t="str">
        <f t="shared" si="65"/>
        <v>NO EXISTE</v>
      </c>
      <c r="P395" s="143" t="str">
        <f t="shared" si="66"/>
        <v>NO EXISTE</v>
      </c>
      <c r="Q395" s="302" t="s">
        <v>2306</v>
      </c>
      <c r="R395" s="148" t="s">
        <v>594</v>
      </c>
      <c r="S395" s="148" t="s">
        <v>2091</v>
      </c>
      <c r="T395" s="149">
        <v>200</v>
      </c>
      <c r="U395" s="148" t="s">
        <v>596</v>
      </c>
      <c r="V395" s="150">
        <v>35340.81</v>
      </c>
      <c r="W395" s="151">
        <v>2111.61</v>
      </c>
    </row>
    <row r="396" spans="1:23" ht="15" customHeight="1" x14ac:dyDescent="0.25">
      <c r="A396" s="148">
        <v>16711</v>
      </c>
      <c r="B396" s="148" t="s">
        <v>2307</v>
      </c>
      <c r="C396" s="143" t="s">
        <v>2504</v>
      </c>
      <c r="D396" s="143" t="s">
        <v>2504</v>
      </c>
      <c r="E396" s="143" t="s">
        <v>2504</v>
      </c>
      <c r="F396" s="143" t="s">
        <v>2504</v>
      </c>
      <c r="G396" s="143" t="s">
        <v>2504</v>
      </c>
      <c r="H396" s="143" t="s">
        <v>2504</v>
      </c>
      <c r="I396" s="143" t="str">
        <f t="shared" si="59"/>
        <v>NO EXISTE</v>
      </c>
      <c r="J396" s="143" t="str">
        <f t="shared" si="60"/>
        <v>NO EXISTE</v>
      </c>
      <c r="K396" s="143" t="str">
        <f t="shared" si="61"/>
        <v>NO EXISTE</v>
      </c>
      <c r="L396" s="143" t="str">
        <f t="shared" si="62"/>
        <v>NO EXISTE</v>
      </c>
      <c r="M396" s="143" t="str">
        <f t="shared" si="63"/>
        <v>NO EXISTE</v>
      </c>
      <c r="N396" s="143" t="str">
        <f t="shared" si="64"/>
        <v>NO EXISTE</v>
      </c>
      <c r="O396" s="143" t="str">
        <f t="shared" si="65"/>
        <v>NO EXISTE</v>
      </c>
      <c r="P396" s="143" t="str">
        <f t="shared" si="66"/>
        <v>NO EXISTE</v>
      </c>
      <c r="Q396" s="302" t="s">
        <v>2308</v>
      </c>
      <c r="R396" s="148" t="s">
        <v>594</v>
      </c>
      <c r="S396" s="148" t="s">
        <v>2214</v>
      </c>
      <c r="T396" s="149">
        <v>200</v>
      </c>
      <c r="U396" s="148" t="s">
        <v>596</v>
      </c>
      <c r="V396" s="150">
        <v>28551.7</v>
      </c>
      <c r="W396" s="151">
        <v>2109.52</v>
      </c>
    </row>
    <row r="397" spans="1:23" ht="15" customHeight="1" x14ac:dyDescent="0.25">
      <c r="A397" s="148">
        <v>16712</v>
      </c>
      <c r="B397" s="148" t="s">
        <v>2309</v>
      </c>
      <c r="C397" s="143" t="s">
        <v>2504</v>
      </c>
      <c r="D397" s="143" t="s">
        <v>2504</v>
      </c>
      <c r="E397" s="143" t="s">
        <v>2504</v>
      </c>
      <c r="F397" s="143" t="s">
        <v>2504</v>
      </c>
      <c r="G397" s="143" t="s">
        <v>2504</v>
      </c>
      <c r="H397" s="143" t="s">
        <v>2504</v>
      </c>
      <c r="I397" s="143" t="str">
        <f t="shared" si="59"/>
        <v>NO EXISTE</v>
      </c>
      <c r="J397" s="143" t="str">
        <f t="shared" si="60"/>
        <v>NO EXISTE</v>
      </c>
      <c r="K397" s="143" t="str">
        <f t="shared" si="61"/>
        <v>NO EXISTE</v>
      </c>
      <c r="L397" s="143" t="str">
        <f t="shared" si="62"/>
        <v>NO EXISTE</v>
      </c>
      <c r="M397" s="143" t="str">
        <f t="shared" si="63"/>
        <v>NO EXISTE</v>
      </c>
      <c r="N397" s="143" t="str">
        <f t="shared" si="64"/>
        <v>NO EXISTE</v>
      </c>
      <c r="O397" s="143" t="str">
        <f t="shared" si="65"/>
        <v>NO EXISTE</v>
      </c>
      <c r="P397" s="143" t="str">
        <f t="shared" si="66"/>
        <v>NO EXISTE</v>
      </c>
      <c r="Q397" s="302" t="s">
        <v>2310</v>
      </c>
      <c r="R397" s="148" t="s">
        <v>594</v>
      </c>
      <c r="S397" s="148" t="s">
        <v>2214</v>
      </c>
      <c r="T397" s="149">
        <v>200</v>
      </c>
      <c r="U397" s="148" t="s">
        <v>596</v>
      </c>
      <c r="V397" s="150">
        <v>25013.4</v>
      </c>
      <c r="W397" s="151">
        <v>1928.44</v>
      </c>
    </row>
    <row r="398" spans="1:23" ht="15" customHeight="1" x14ac:dyDescent="0.25">
      <c r="A398" s="148">
        <v>16716</v>
      </c>
      <c r="B398" s="148" t="s">
        <v>2312</v>
      </c>
      <c r="C398" s="143" t="s">
        <v>2504</v>
      </c>
      <c r="D398" s="143" t="s">
        <v>2504</v>
      </c>
      <c r="E398" s="143" t="s">
        <v>2504</v>
      </c>
      <c r="F398" s="143" t="s">
        <v>2504</v>
      </c>
      <c r="G398" s="143" t="s">
        <v>2504</v>
      </c>
      <c r="H398" s="143" t="s">
        <v>2504</v>
      </c>
      <c r="I398" s="143" t="str">
        <f t="shared" si="59"/>
        <v>NO EXISTE</v>
      </c>
      <c r="J398" s="143" t="str">
        <f t="shared" si="60"/>
        <v>NO EXISTE</v>
      </c>
      <c r="K398" s="143" t="str">
        <f t="shared" si="61"/>
        <v>NO EXISTE</v>
      </c>
      <c r="L398" s="143" t="str">
        <f t="shared" si="62"/>
        <v>NO EXISTE</v>
      </c>
      <c r="M398" s="143" t="str">
        <f t="shared" si="63"/>
        <v>NO EXISTE</v>
      </c>
      <c r="N398" s="143" t="str">
        <f t="shared" si="64"/>
        <v>NO EXISTE</v>
      </c>
      <c r="O398" s="143" t="str">
        <f t="shared" si="65"/>
        <v>NO EXISTE</v>
      </c>
      <c r="P398" s="143" t="str">
        <f t="shared" si="66"/>
        <v>NO EXISTE</v>
      </c>
      <c r="Q398" s="302" t="s">
        <v>2313</v>
      </c>
      <c r="R398" s="148" t="s">
        <v>594</v>
      </c>
      <c r="S398" s="148" t="s">
        <v>2214</v>
      </c>
      <c r="T398" s="149">
        <v>200</v>
      </c>
      <c r="U398" s="148" t="s">
        <v>596</v>
      </c>
      <c r="V398" s="150">
        <v>26888.15</v>
      </c>
      <c r="W398" s="151">
        <v>1997.33</v>
      </c>
    </row>
    <row r="399" spans="1:23" ht="15" customHeight="1" x14ac:dyDescent="0.25">
      <c r="A399" s="148">
        <v>16721</v>
      </c>
      <c r="B399" s="148" t="s">
        <v>2320</v>
      </c>
      <c r="C399" s="143" t="s">
        <v>2504</v>
      </c>
      <c r="D399" s="143" t="s">
        <v>2504</v>
      </c>
      <c r="E399" s="143" t="s">
        <v>2504</v>
      </c>
      <c r="F399" s="143" t="s">
        <v>2504</v>
      </c>
      <c r="G399" s="143" t="s">
        <v>2504</v>
      </c>
      <c r="H399" s="143" t="s">
        <v>2504</v>
      </c>
      <c r="I399" s="143" t="str">
        <f t="shared" si="59"/>
        <v>NO EXISTE</v>
      </c>
      <c r="J399" s="143" t="str">
        <f t="shared" si="60"/>
        <v>NO EXISTE</v>
      </c>
      <c r="K399" s="143" t="str">
        <f t="shared" si="61"/>
        <v>NO EXISTE</v>
      </c>
      <c r="L399" s="143" t="str">
        <f t="shared" si="62"/>
        <v>NO EXISTE</v>
      </c>
      <c r="M399" s="143" t="str">
        <f t="shared" si="63"/>
        <v>NO EXISTE</v>
      </c>
      <c r="N399" s="143" t="str">
        <f t="shared" si="64"/>
        <v>NO EXISTE</v>
      </c>
      <c r="O399" s="143" t="str">
        <f t="shared" si="65"/>
        <v>NO EXISTE</v>
      </c>
      <c r="P399" s="143" t="str">
        <f t="shared" si="66"/>
        <v>NO EXISTE</v>
      </c>
      <c r="Q399" s="302" t="s">
        <v>2321</v>
      </c>
      <c r="R399" s="148" t="s">
        <v>594</v>
      </c>
      <c r="S399" s="148" t="s">
        <v>2091</v>
      </c>
      <c r="T399" s="149">
        <v>200</v>
      </c>
      <c r="U399" s="148" t="s">
        <v>596</v>
      </c>
      <c r="V399" s="150">
        <v>35708.94</v>
      </c>
      <c r="W399" s="151">
        <v>2016.77</v>
      </c>
    </row>
  </sheetData>
  <autoFilter ref="A1:X13" xr:uid="{00000000-0009-0000-0000-000002000000}"/>
  <conditionalFormatting sqref="A2:B399">
    <cfRule type="duplicateValues" dxfId="14" priority="32"/>
  </conditionalFormatting>
  <conditionalFormatting sqref="C400:C1048576 C1">
    <cfRule type="duplicateValues" dxfId="13" priority="3"/>
  </conditionalFormatting>
  <conditionalFormatting sqref="C2:P399">
    <cfRule type="containsText" dxfId="12" priority="1" operator="containsText" text="NO EXISTE">
      <formula>NOT(ISERROR(SEARCH("NO EXISTE",C2)))</formula>
    </cfRule>
  </conditionalFormatting>
  <conditionalFormatting sqref="D400:D1048576 D1">
    <cfRule type="duplicateValues" dxfId="11" priority="4"/>
  </conditionalFormatting>
  <conditionalFormatting sqref="E400:E1048576 E1">
    <cfRule type="duplicateValues" dxfId="10" priority="5"/>
  </conditionalFormatting>
  <conditionalFormatting sqref="F400:F1048576 F1">
    <cfRule type="duplicateValues" dxfId="9" priority="6"/>
  </conditionalFormatting>
  <conditionalFormatting sqref="G400:G1048576 G1 I1 K1 M1 O1">
    <cfRule type="duplicateValues" dxfId="8" priority="7"/>
  </conditionalFormatting>
  <pageMargins left="0.70866141732283472" right="0.70866141732283472" top="0.74803149606299213" bottom="0.74803149606299213" header="0.31496062992125984" footer="0.31496062992125984"/>
  <pageSetup scale="70" fitToHeight="15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399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0.85546875" defaultRowHeight="15" x14ac:dyDescent="0.25"/>
  <cols>
    <col min="1" max="1" width="5.85546875" customWidth="1"/>
    <col min="2" max="2" width="13" bestFit="1" customWidth="1"/>
    <col min="3" max="16" width="0.85546875" customWidth="1"/>
    <col min="17" max="17" width="59.5703125" customWidth="1"/>
    <col min="18" max="18" width="26.140625" customWidth="1"/>
    <col min="19" max="19" width="15.7109375" customWidth="1"/>
    <col min="20" max="20" width="15.7109375" hidden="1" customWidth="1"/>
    <col min="21" max="21" width="15.140625" customWidth="1"/>
    <col min="22" max="22" width="18.7109375" style="155" bestFit="1" customWidth="1"/>
    <col min="23" max="23" width="20" style="156" bestFit="1" customWidth="1"/>
    <col min="24" max="24" width="11.85546875" bestFit="1" customWidth="1"/>
  </cols>
  <sheetData>
    <row r="1" spans="1:24" ht="30" x14ac:dyDescent="0.25">
      <c r="A1" s="139" t="s">
        <v>579</v>
      </c>
      <c r="B1" s="139" t="s">
        <v>580</v>
      </c>
      <c r="C1" s="139" t="s">
        <v>2505</v>
      </c>
      <c r="D1" s="139" t="s">
        <v>2506</v>
      </c>
      <c r="E1" s="139" t="s">
        <v>2507</v>
      </c>
      <c r="F1" s="139" t="s">
        <v>2508</v>
      </c>
      <c r="G1" s="139" t="s">
        <v>2509</v>
      </c>
      <c r="H1" s="139" t="s">
        <v>2510</v>
      </c>
      <c r="I1" s="139" t="s">
        <v>2549</v>
      </c>
      <c r="J1" s="139" t="s">
        <v>2550</v>
      </c>
      <c r="K1" s="139" t="s">
        <v>2551</v>
      </c>
      <c r="L1" s="139" t="s">
        <v>2552</v>
      </c>
      <c r="M1" s="139" t="s">
        <v>2553</v>
      </c>
      <c r="N1" s="139" t="s">
        <v>2554</v>
      </c>
      <c r="O1" s="139" t="s">
        <v>2555</v>
      </c>
      <c r="P1" s="139" t="s">
        <v>2556</v>
      </c>
      <c r="Q1" s="139" t="s">
        <v>581</v>
      </c>
      <c r="R1" s="139" t="s">
        <v>582</v>
      </c>
      <c r="S1" s="140" t="s">
        <v>583</v>
      </c>
      <c r="T1" s="139" t="s">
        <v>584</v>
      </c>
      <c r="U1" s="140" t="s">
        <v>585</v>
      </c>
      <c r="V1" s="141" t="s">
        <v>586</v>
      </c>
      <c r="W1" s="140" t="s">
        <v>3968</v>
      </c>
      <c r="X1" s="140" t="s">
        <v>3967</v>
      </c>
    </row>
    <row r="2" spans="1:24" ht="15" customHeight="1" x14ac:dyDescent="0.25">
      <c r="A2" s="143">
        <v>599</v>
      </c>
      <c r="B2" s="143" t="s">
        <v>895</v>
      </c>
      <c r="C2" s="143" t="s">
        <v>2504</v>
      </c>
      <c r="D2" s="143" t="s">
        <v>2504</v>
      </c>
      <c r="E2" s="143" t="s">
        <v>2504</v>
      </c>
      <c r="F2" s="143" t="s">
        <v>2504</v>
      </c>
      <c r="G2" s="143" t="s">
        <v>2504</v>
      </c>
      <c r="H2" s="143" t="s">
        <v>2504</v>
      </c>
      <c r="I2" s="143" t="str">
        <f t="shared" ref="I2:I13" si="0">IFERROR(VLOOKUP(B2,Base08,1,FALSE),"NO EXISTE")</f>
        <v>NO EXISTE</v>
      </c>
      <c r="J2" s="143" t="str">
        <f t="shared" ref="J2:J13" si="1">IFERROR(VLOOKUP(B2,Base09,1,FALSE),"NO EXISTE")</f>
        <v>NO EXISTE</v>
      </c>
      <c r="K2" s="143" t="str">
        <f t="shared" ref="K2:K13" si="2">IFERROR(VLOOKUP(B2,Base10,1,FALSE),"NO EXISTE")</f>
        <v>NO EXISTE</v>
      </c>
      <c r="L2" s="143" t="str">
        <f t="shared" ref="L2:L13" si="3">IFERROR(VLOOKUP(B2,Base11,1,FALSE),"NO EXISTE")</f>
        <v>NO EXISTE</v>
      </c>
      <c r="M2" s="143" t="str">
        <f t="shared" ref="M2:M13" si="4">IFERROR(VLOOKUP(B2,Base12,1,FALSE),"NO EXISTE")</f>
        <v>NO EXISTE</v>
      </c>
      <c r="N2" s="143" t="str">
        <f t="shared" ref="N2:N13" si="5">IFERROR(VLOOKUP(B2,Base13,1,FALSE),"NO EXISTE")</f>
        <v>NO EXISTE</v>
      </c>
      <c r="O2" s="143" t="str">
        <f t="shared" ref="O2:O13" si="6">IFERROR(VLOOKUP(B2,Base14,1,FALSE),"NO EXISTE")</f>
        <v>NO EXISTE</v>
      </c>
      <c r="P2" s="143" t="str">
        <f t="shared" ref="P2:P13" si="7">IFERROR(VLOOKUP(B2,Base15,1,FALSE),"NO EXISTE")</f>
        <v>NO EXISTE</v>
      </c>
      <c r="Q2" s="366" t="s">
        <v>896</v>
      </c>
      <c r="R2" s="143" t="s">
        <v>630</v>
      </c>
      <c r="S2" s="143" t="s">
        <v>631</v>
      </c>
      <c r="T2" s="144">
        <v>19</v>
      </c>
      <c r="U2" s="365" t="s">
        <v>3977</v>
      </c>
      <c r="V2" s="145">
        <v>1706.2</v>
      </c>
      <c r="W2" s="146">
        <v>1975.57</v>
      </c>
      <c r="X2">
        <v>8</v>
      </c>
    </row>
    <row r="3" spans="1:24" ht="15" customHeight="1" x14ac:dyDescent="0.25">
      <c r="A3" s="148">
        <v>428</v>
      </c>
      <c r="B3" s="148" t="s">
        <v>807</v>
      </c>
      <c r="C3" s="143" t="s">
        <v>2504</v>
      </c>
      <c r="D3" s="143" t="s">
        <v>2504</v>
      </c>
      <c r="E3" s="143" t="s">
        <v>2504</v>
      </c>
      <c r="F3" s="143" t="s">
        <v>2504</v>
      </c>
      <c r="G3" s="143" t="s">
        <v>2504</v>
      </c>
      <c r="H3" s="143" t="s">
        <v>2504</v>
      </c>
      <c r="I3" s="143" t="str">
        <f t="shared" si="0"/>
        <v>NO EXISTE</v>
      </c>
      <c r="J3" s="143" t="str">
        <f t="shared" si="1"/>
        <v>NO EXISTE</v>
      </c>
      <c r="K3" s="143" t="str">
        <f t="shared" si="2"/>
        <v>NO EXISTE</v>
      </c>
      <c r="L3" s="143" t="str">
        <f t="shared" si="3"/>
        <v>NO EXISTE</v>
      </c>
      <c r="M3" s="143" t="str">
        <f t="shared" si="4"/>
        <v>NO EXISTE</v>
      </c>
      <c r="N3" s="143" t="str">
        <f t="shared" si="5"/>
        <v>NO EXISTE</v>
      </c>
      <c r="O3" s="143" t="str">
        <f t="shared" si="6"/>
        <v>NO EXISTE</v>
      </c>
      <c r="P3" s="143" t="str">
        <f t="shared" si="7"/>
        <v>NO EXISTE</v>
      </c>
      <c r="Q3" s="364" t="s">
        <v>808</v>
      </c>
      <c r="R3" s="148" t="s">
        <v>589</v>
      </c>
      <c r="S3" s="148" t="s">
        <v>598</v>
      </c>
      <c r="T3" s="149">
        <v>3.7850000000000001</v>
      </c>
      <c r="U3" s="361" t="s">
        <v>591</v>
      </c>
      <c r="V3" s="150">
        <v>235.8</v>
      </c>
      <c r="W3" s="151">
        <v>18032.580000000002</v>
      </c>
      <c r="X3">
        <v>21</v>
      </c>
    </row>
    <row r="4" spans="1:24" ht="15" customHeight="1" x14ac:dyDescent="0.25">
      <c r="A4" s="148">
        <v>1970</v>
      </c>
      <c r="B4" s="148" t="s">
        <v>1112</v>
      </c>
      <c r="C4" s="143" t="s">
        <v>2504</v>
      </c>
      <c r="D4" s="143" t="s">
        <v>2504</v>
      </c>
      <c r="E4" s="143" t="s">
        <v>2504</v>
      </c>
      <c r="F4" s="143" t="s">
        <v>2504</v>
      </c>
      <c r="G4" s="143" t="s">
        <v>2504</v>
      </c>
      <c r="H4" s="143" t="s">
        <v>2504</v>
      </c>
      <c r="I4" s="143" t="str">
        <f t="shared" si="0"/>
        <v>NO EXISTE</v>
      </c>
      <c r="J4" s="143" t="str">
        <f t="shared" si="1"/>
        <v>NO EXISTE</v>
      </c>
      <c r="K4" s="143" t="str">
        <f t="shared" si="2"/>
        <v>NO EXISTE</v>
      </c>
      <c r="L4" s="143" t="str">
        <f t="shared" si="3"/>
        <v>NO EXISTE</v>
      </c>
      <c r="M4" s="143" t="str">
        <f t="shared" si="4"/>
        <v>NO EXISTE</v>
      </c>
      <c r="N4" s="143" t="str">
        <f t="shared" si="5"/>
        <v>NO EXISTE</v>
      </c>
      <c r="O4" s="143" t="str">
        <f t="shared" si="6"/>
        <v>NO EXISTE</v>
      </c>
      <c r="P4" s="143" t="str">
        <f t="shared" si="7"/>
        <v>NO EXISTE</v>
      </c>
      <c r="Q4" s="302" t="s">
        <v>1113</v>
      </c>
      <c r="R4" s="148" t="s">
        <v>600</v>
      </c>
      <c r="S4" s="148" t="s">
        <v>613</v>
      </c>
      <c r="T4" s="149">
        <v>20</v>
      </c>
      <c r="U4" s="361" t="s">
        <v>591</v>
      </c>
      <c r="V4" s="150">
        <v>1651.4</v>
      </c>
      <c r="W4" s="151">
        <v>2555.48</v>
      </c>
      <c r="X4">
        <v>2</v>
      </c>
    </row>
    <row r="5" spans="1:24" ht="15" customHeight="1" x14ac:dyDescent="0.25">
      <c r="A5" s="148">
        <v>16406</v>
      </c>
      <c r="B5" s="148" t="s">
        <v>2242</v>
      </c>
      <c r="C5" s="143" t="s">
        <v>2504</v>
      </c>
      <c r="D5" s="143" t="s">
        <v>2504</v>
      </c>
      <c r="E5" s="143" t="s">
        <v>2504</v>
      </c>
      <c r="F5" s="143" t="s">
        <v>2504</v>
      </c>
      <c r="G5" s="143" t="s">
        <v>2504</v>
      </c>
      <c r="H5" s="143" t="s">
        <v>2504</v>
      </c>
      <c r="I5" s="143" t="str">
        <f t="shared" si="0"/>
        <v>NO EXISTE</v>
      </c>
      <c r="J5" s="143" t="str">
        <f t="shared" si="1"/>
        <v>NO EXISTE</v>
      </c>
      <c r="K5" s="143" t="str">
        <f t="shared" si="2"/>
        <v>NO EXISTE</v>
      </c>
      <c r="L5" s="143" t="str">
        <f t="shared" si="3"/>
        <v>NO EXISTE</v>
      </c>
      <c r="M5" s="143" t="str">
        <f t="shared" si="4"/>
        <v>NO EXISTE</v>
      </c>
      <c r="N5" s="143" t="str">
        <f t="shared" si="5"/>
        <v>NO EXISTE</v>
      </c>
      <c r="O5" s="143" t="str">
        <f t="shared" si="6"/>
        <v>NO EXISTE</v>
      </c>
      <c r="P5" s="143" t="str">
        <f t="shared" si="7"/>
        <v>NO EXISTE</v>
      </c>
      <c r="Q5" s="302" t="s">
        <v>2243</v>
      </c>
      <c r="R5" s="148" t="s">
        <v>600</v>
      </c>
      <c r="S5" s="148" t="s">
        <v>613</v>
      </c>
      <c r="T5" s="149">
        <v>0.6</v>
      </c>
      <c r="U5" s="361" t="s">
        <v>591</v>
      </c>
      <c r="V5" s="150">
        <v>52.86</v>
      </c>
      <c r="W5" s="151">
        <v>1116.44</v>
      </c>
      <c r="X5">
        <v>3</v>
      </c>
    </row>
    <row r="6" spans="1:24" ht="15" customHeight="1" x14ac:dyDescent="0.25">
      <c r="A6" s="148">
        <v>16717</v>
      </c>
      <c r="B6" s="148" t="s">
        <v>2314</v>
      </c>
      <c r="C6" s="143" t="s">
        <v>2504</v>
      </c>
      <c r="D6" s="143" t="s">
        <v>2504</v>
      </c>
      <c r="E6" s="143" t="s">
        <v>2504</v>
      </c>
      <c r="F6" s="143" t="s">
        <v>2504</v>
      </c>
      <c r="G6" s="143" t="s">
        <v>2504</v>
      </c>
      <c r="H6" s="143" t="s">
        <v>2504</v>
      </c>
      <c r="I6" s="143" t="str">
        <f t="shared" si="0"/>
        <v>NO EXISTE</v>
      </c>
      <c r="J6" s="143" t="str">
        <f t="shared" si="1"/>
        <v>NO EXISTE</v>
      </c>
      <c r="K6" s="143" t="str">
        <f t="shared" si="2"/>
        <v>NO EXISTE</v>
      </c>
      <c r="L6" s="143" t="str">
        <f t="shared" si="3"/>
        <v>NO EXISTE</v>
      </c>
      <c r="M6" s="143" t="str">
        <f t="shared" si="4"/>
        <v>NO EXISTE</v>
      </c>
      <c r="N6" s="143" t="str">
        <f t="shared" si="5"/>
        <v>NO EXISTE</v>
      </c>
      <c r="O6" s="143" t="str">
        <f t="shared" si="6"/>
        <v>NO EXISTE</v>
      </c>
      <c r="P6" s="143" t="str">
        <f t="shared" si="7"/>
        <v>NO EXISTE</v>
      </c>
      <c r="Q6" s="302" t="s">
        <v>2315</v>
      </c>
      <c r="R6" s="148" t="s">
        <v>600</v>
      </c>
      <c r="S6" s="148" t="s">
        <v>613</v>
      </c>
      <c r="T6" s="149">
        <v>200</v>
      </c>
      <c r="U6" s="361" t="s">
        <v>591</v>
      </c>
      <c r="V6" s="150">
        <v>6309.28</v>
      </c>
      <c r="W6" s="151">
        <f>V6*16</f>
        <v>100948.48</v>
      </c>
      <c r="X6">
        <v>3</v>
      </c>
    </row>
    <row r="7" spans="1:24" ht="15" customHeight="1" x14ac:dyDescent="0.25">
      <c r="A7" s="148">
        <v>288</v>
      </c>
      <c r="B7" s="148" t="s">
        <v>729</v>
      </c>
      <c r="C7" s="143" t="s">
        <v>2504</v>
      </c>
      <c r="D7" s="143" t="s">
        <v>2504</v>
      </c>
      <c r="E7" s="143" t="s">
        <v>2504</v>
      </c>
      <c r="F7" s="143" t="s">
        <v>2504</v>
      </c>
      <c r="G7" s="143" t="s">
        <v>2504</v>
      </c>
      <c r="H7" s="143" t="s">
        <v>2504</v>
      </c>
      <c r="I7" s="143" t="str">
        <f t="shared" si="0"/>
        <v>NO EXISTE</v>
      </c>
      <c r="J7" s="143" t="str">
        <f t="shared" si="1"/>
        <v>NO EXISTE</v>
      </c>
      <c r="K7" s="143" t="str">
        <f t="shared" si="2"/>
        <v>NO EXISTE</v>
      </c>
      <c r="L7" s="143" t="str">
        <f t="shared" si="3"/>
        <v>NO EXISTE</v>
      </c>
      <c r="M7" s="143" t="str">
        <f t="shared" si="4"/>
        <v>NO EXISTE</v>
      </c>
      <c r="N7" s="143" t="str">
        <f t="shared" si="5"/>
        <v>NO EXISTE</v>
      </c>
      <c r="O7" s="143" t="str">
        <f t="shared" si="6"/>
        <v>NO EXISTE</v>
      </c>
      <c r="P7" s="143" t="str">
        <f t="shared" si="7"/>
        <v>NO EXISTE</v>
      </c>
      <c r="Q7" s="241" t="s">
        <v>730</v>
      </c>
      <c r="R7" s="148" t="s">
        <v>705</v>
      </c>
      <c r="S7" s="148" t="s">
        <v>731</v>
      </c>
      <c r="T7" s="149">
        <v>3.5</v>
      </c>
      <c r="U7" s="361" t="s">
        <v>591</v>
      </c>
      <c r="V7" s="150">
        <v>413.6</v>
      </c>
      <c r="W7" s="151">
        <f>V7*16</f>
        <v>6617.6</v>
      </c>
      <c r="X7">
        <v>13</v>
      </c>
    </row>
    <row r="8" spans="1:24" ht="15" customHeight="1" x14ac:dyDescent="0.25">
      <c r="A8" s="148">
        <v>295</v>
      </c>
      <c r="B8" s="148" t="s">
        <v>734</v>
      </c>
      <c r="C8" s="143" t="s">
        <v>2504</v>
      </c>
      <c r="D8" s="143" t="s">
        <v>2504</v>
      </c>
      <c r="E8" s="143" t="s">
        <v>2504</v>
      </c>
      <c r="F8" s="143" t="s">
        <v>2504</v>
      </c>
      <c r="G8" s="143" t="s">
        <v>2504</v>
      </c>
      <c r="H8" s="143" t="s">
        <v>2504</v>
      </c>
      <c r="I8" s="143" t="str">
        <f t="shared" si="0"/>
        <v>NO EXISTE</v>
      </c>
      <c r="J8" s="143" t="str">
        <f t="shared" si="1"/>
        <v>NO EXISTE</v>
      </c>
      <c r="K8" s="143" t="str">
        <f t="shared" si="2"/>
        <v>NO EXISTE</v>
      </c>
      <c r="L8" s="143" t="str">
        <f t="shared" si="3"/>
        <v>NO EXISTE</v>
      </c>
      <c r="M8" s="143" t="str">
        <f t="shared" si="4"/>
        <v>NO EXISTE</v>
      </c>
      <c r="N8" s="143" t="str">
        <f t="shared" si="5"/>
        <v>NO EXISTE</v>
      </c>
      <c r="O8" s="143" t="str">
        <f t="shared" si="6"/>
        <v>NO EXISTE</v>
      </c>
      <c r="P8" s="143" t="str">
        <f t="shared" si="7"/>
        <v>NO EXISTE</v>
      </c>
      <c r="Q8" s="241" t="s">
        <v>735</v>
      </c>
      <c r="R8" s="148" t="s">
        <v>705</v>
      </c>
      <c r="S8" s="148" t="s">
        <v>731</v>
      </c>
      <c r="T8" s="149">
        <v>16</v>
      </c>
      <c r="U8" s="361" t="s">
        <v>591</v>
      </c>
      <c r="V8" s="150">
        <v>1801.37</v>
      </c>
      <c r="W8" s="151">
        <f>V8*4</f>
        <v>7205.48</v>
      </c>
      <c r="X8">
        <v>48</v>
      </c>
    </row>
    <row r="9" spans="1:24" ht="15" customHeight="1" x14ac:dyDescent="0.25">
      <c r="A9" s="148">
        <v>296</v>
      </c>
      <c r="B9" s="148" t="s">
        <v>736</v>
      </c>
      <c r="C9" s="143" t="s">
        <v>2504</v>
      </c>
      <c r="D9" s="143" t="s">
        <v>2504</v>
      </c>
      <c r="E9" s="143" t="s">
        <v>2504</v>
      </c>
      <c r="F9" s="143" t="s">
        <v>2504</v>
      </c>
      <c r="G9" s="143" t="s">
        <v>2504</v>
      </c>
      <c r="H9" s="143" t="s">
        <v>2504</v>
      </c>
      <c r="I9" s="143" t="str">
        <f t="shared" si="0"/>
        <v>NO EXISTE</v>
      </c>
      <c r="J9" s="143" t="str">
        <f t="shared" si="1"/>
        <v>NO EXISTE</v>
      </c>
      <c r="K9" s="143" t="str">
        <f t="shared" si="2"/>
        <v>NO EXISTE</v>
      </c>
      <c r="L9" s="143" t="str">
        <f t="shared" si="3"/>
        <v>NO EXISTE</v>
      </c>
      <c r="M9" s="143" t="str">
        <f t="shared" si="4"/>
        <v>NO EXISTE</v>
      </c>
      <c r="N9" s="143" t="str">
        <f t="shared" si="5"/>
        <v>NO EXISTE</v>
      </c>
      <c r="O9" s="143" t="str">
        <f t="shared" si="6"/>
        <v>NO EXISTE</v>
      </c>
      <c r="P9" s="143" t="str">
        <f t="shared" si="7"/>
        <v>NO EXISTE</v>
      </c>
      <c r="Q9" s="241" t="s">
        <v>737</v>
      </c>
      <c r="R9" s="148" t="s">
        <v>705</v>
      </c>
      <c r="S9" s="148" t="s">
        <v>731</v>
      </c>
      <c r="T9" s="149">
        <v>170</v>
      </c>
      <c r="U9" s="361" t="s">
        <v>591</v>
      </c>
      <c r="V9" s="150">
        <v>19410.560000000001</v>
      </c>
      <c r="W9" s="151">
        <f>V9*16</f>
        <v>310568.96000000002</v>
      </c>
      <c r="X9">
        <v>1</v>
      </c>
    </row>
    <row r="10" spans="1:24" ht="15" customHeight="1" x14ac:dyDescent="0.25">
      <c r="A10" s="148">
        <v>442</v>
      </c>
      <c r="B10" s="148" t="s">
        <v>822</v>
      </c>
      <c r="C10" s="143" t="s">
        <v>2504</v>
      </c>
      <c r="D10" s="143" t="s">
        <v>2504</v>
      </c>
      <c r="E10" s="143" t="s">
        <v>2504</v>
      </c>
      <c r="F10" s="143" t="s">
        <v>2504</v>
      </c>
      <c r="G10" s="143" t="s">
        <v>2504</v>
      </c>
      <c r="H10" s="143" t="s">
        <v>2504</v>
      </c>
      <c r="I10" s="143" t="str">
        <f t="shared" si="0"/>
        <v>NO EXISTE</v>
      </c>
      <c r="J10" s="143" t="str">
        <f t="shared" si="1"/>
        <v>NO EXISTE</v>
      </c>
      <c r="K10" s="143" t="str">
        <f t="shared" si="2"/>
        <v>NO EXISTE</v>
      </c>
      <c r="L10" s="143" t="str">
        <f t="shared" si="3"/>
        <v>NO EXISTE</v>
      </c>
      <c r="M10" s="143" t="str">
        <f t="shared" si="4"/>
        <v>NO EXISTE</v>
      </c>
      <c r="N10" s="143" t="str">
        <f t="shared" si="5"/>
        <v>NO EXISTE</v>
      </c>
      <c r="O10" s="143" t="str">
        <f t="shared" si="6"/>
        <v>NO EXISTE</v>
      </c>
      <c r="P10" s="143" t="str">
        <f t="shared" si="7"/>
        <v>NO EXISTE</v>
      </c>
      <c r="Q10" s="241" t="s">
        <v>823</v>
      </c>
      <c r="R10" s="148" t="s">
        <v>705</v>
      </c>
      <c r="S10" s="148" t="s">
        <v>706</v>
      </c>
      <c r="T10" s="149">
        <v>7</v>
      </c>
      <c r="U10" s="361" t="s">
        <v>591</v>
      </c>
      <c r="V10" s="150">
        <v>769.39</v>
      </c>
      <c r="W10" s="151">
        <v>1629.39</v>
      </c>
      <c r="X10">
        <v>8</v>
      </c>
    </row>
    <row r="11" spans="1:24" ht="15" customHeight="1" x14ac:dyDescent="0.25">
      <c r="A11" s="148">
        <v>11146</v>
      </c>
      <c r="B11" s="148" t="s">
        <v>2024</v>
      </c>
      <c r="C11" s="143" t="s">
        <v>2504</v>
      </c>
      <c r="D11" s="143" t="s">
        <v>2504</v>
      </c>
      <c r="E11" s="143" t="s">
        <v>2504</v>
      </c>
      <c r="F11" s="143" t="s">
        <v>2504</v>
      </c>
      <c r="G11" s="143" t="s">
        <v>2504</v>
      </c>
      <c r="H11" s="143" t="s">
        <v>2504</v>
      </c>
      <c r="I11" s="143" t="str">
        <f t="shared" si="0"/>
        <v>NO EXISTE</v>
      </c>
      <c r="J11" s="143" t="str">
        <f t="shared" si="1"/>
        <v>NO EXISTE</v>
      </c>
      <c r="K11" s="143" t="str">
        <f t="shared" si="2"/>
        <v>NO EXISTE</v>
      </c>
      <c r="L11" s="143" t="str">
        <f t="shared" si="3"/>
        <v>NO EXISTE</v>
      </c>
      <c r="M11" s="143" t="str">
        <f t="shared" si="4"/>
        <v>NO EXISTE</v>
      </c>
      <c r="N11" s="143" t="str">
        <f t="shared" si="5"/>
        <v>NO EXISTE</v>
      </c>
      <c r="O11" s="143" t="str">
        <f t="shared" si="6"/>
        <v>NO EXISTE</v>
      </c>
      <c r="P11" s="143" t="str">
        <f t="shared" si="7"/>
        <v>PT42600001</v>
      </c>
      <c r="Q11" s="241" t="s">
        <v>2025</v>
      </c>
      <c r="R11" s="148" t="s">
        <v>705</v>
      </c>
      <c r="S11" s="148" t="s">
        <v>2026</v>
      </c>
      <c r="T11" s="149">
        <v>170</v>
      </c>
      <c r="U11" s="361" t="s">
        <v>591</v>
      </c>
      <c r="V11" s="150">
        <v>41229.58</v>
      </c>
      <c r="W11" s="151">
        <v>3306.87</v>
      </c>
      <c r="X11">
        <v>21</v>
      </c>
    </row>
    <row r="12" spans="1:24" ht="15" customHeight="1" x14ac:dyDescent="0.25">
      <c r="A12" s="148">
        <v>16036</v>
      </c>
      <c r="B12" s="148" t="s">
        <v>2082</v>
      </c>
      <c r="C12" s="143" t="s">
        <v>2504</v>
      </c>
      <c r="D12" s="143" t="s">
        <v>2504</v>
      </c>
      <c r="E12" s="143" t="s">
        <v>2504</v>
      </c>
      <c r="F12" s="143" t="s">
        <v>2504</v>
      </c>
      <c r="G12" s="143" t="s">
        <v>2504</v>
      </c>
      <c r="H12" s="143" t="s">
        <v>2504</v>
      </c>
      <c r="I12" s="143" t="str">
        <f t="shared" si="0"/>
        <v>NO EXISTE</v>
      </c>
      <c r="J12" s="143" t="str">
        <f t="shared" si="1"/>
        <v>NO EXISTE</v>
      </c>
      <c r="K12" s="143" t="str">
        <f t="shared" si="2"/>
        <v>NO EXISTE</v>
      </c>
      <c r="L12" s="143" t="str">
        <f t="shared" si="3"/>
        <v>NO EXISTE</v>
      </c>
      <c r="M12" s="143" t="str">
        <f t="shared" si="4"/>
        <v>NO EXISTE</v>
      </c>
      <c r="N12" s="143" t="str">
        <f t="shared" si="5"/>
        <v>NO EXISTE</v>
      </c>
      <c r="O12" s="143" t="str">
        <f t="shared" si="6"/>
        <v>NO EXISTE</v>
      </c>
      <c r="P12" s="143" t="str">
        <f t="shared" si="7"/>
        <v>NO EXISTE</v>
      </c>
      <c r="Q12" s="363" t="s">
        <v>2083</v>
      </c>
      <c r="R12" s="148" t="s">
        <v>594</v>
      </c>
      <c r="S12" s="148" t="s">
        <v>2084</v>
      </c>
      <c r="T12" s="149">
        <v>0.95</v>
      </c>
      <c r="U12" s="361" t="s">
        <v>3977</v>
      </c>
      <c r="V12" s="150">
        <v>136.80000000000001</v>
      </c>
      <c r="W12" s="151">
        <v>32296.43</v>
      </c>
      <c r="X12">
        <v>2</v>
      </c>
    </row>
    <row r="13" spans="1:24" ht="15" customHeight="1" x14ac:dyDescent="0.25">
      <c r="A13" s="312" t="s">
        <v>2437</v>
      </c>
      <c r="B13" s="312" t="s">
        <v>2480</v>
      </c>
      <c r="C13" s="313" t="s">
        <v>2504</v>
      </c>
      <c r="D13" s="313" t="s">
        <v>2504</v>
      </c>
      <c r="E13" s="313" t="s">
        <v>2504</v>
      </c>
      <c r="F13" s="313" t="s">
        <v>2504</v>
      </c>
      <c r="G13" s="313" t="s">
        <v>2504</v>
      </c>
      <c r="H13" s="313" t="s">
        <v>2504</v>
      </c>
      <c r="I13" s="313" t="str">
        <f t="shared" si="0"/>
        <v>NO EXISTE</v>
      </c>
      <c r="J13" s="313" t="str">
        <f t="shared" si="1"/>
        <v>NO EXISTE</v>
      </c>
      <c r="K13" s="313" t="str">
        <f t="shared" si="2"/>
        <v>NO EXISTE</v>
      </c>
      <c r="L13" s="313" t="str">
        <f t="shared" si="3"/>
        <v>NO EXISTE</v>
      </c>
      <c r="M13" s="313" t="str">
        <f t="shared" si="4"/>
        <v>NO EXISTE</v>
      </c>
      <c r="N13" s="313" t="str">
        <f t="shared" si="5"/>
        <v>NO EXISTE</v>
      </c>
      <c r="O13" s="313" t="str">
        <f t="shared" si="6"/>
        <v>NO EXISTE</v>
      </c>
      <c r="P13" s="313" t="str">
        <f t="shared" si="7"/>
        <v>NO EXISTE</v>
      </c>
      <c r="Q13" s="362" t="s">
        <v>2481</v>
      </c>
      <c r="R13" s="312" t="s">
        <v>594</v>
      </c>
      <c r="S13" s="312" t="s">
        <v>595</v>
      </c>
      <c r="T13" s="314">
        <v>0.95</v>
      </c>
      <c r="U13" s="361" t="s">
        <v>591</v>
      </c>
      <c r="V13" s="315">
        <v>92.26</v>
      </c>
      <c r="W13" s="316">
        <v>18166.23</v>
      </c>
      <c r="X13">
        <v>319</v>
      </c>
    </row>
    <row r="14" spans="1:24" ht="15" customHeight="1" x14ac:dyDescent="0.25">
      <c r="T14" s="321"/>
      <c r="V14" s="326"/>
      <c r="W14" s="311"/>
    </row>
    <row r="15" spans="1:24" ht="15" customHeight="1" x14ac:dyDescent="0.25">
      <c r="T15" s="321"/>
      <c r="V15" s="326"/>
      <c r="W15" s="311"/>
    </row>
    <row r="16" spans="1:24" ht="15" customHeight="1" x14ac:dyDescent="0.25">
      <c r="T16" s="321"/>
      <c r="V16" s="326"/>
      <c r="W16" s="311"/>
    </row>
    <row r="17" spans="1:24" ht="15" customHeight="1" x14ac:dyDescent="0.25">
      <c r="T17" s="321"/>
      <c r="V17" s="326"/>
      <c r="W17" s="311"/>
    </row>
    <row r="18" spans="1:24" ht="15" customHeight="1" x14ac:dyDescent="0.25">
      <c r="T18" s="321"/>
      <c r="V18" s="326"/>
      <c r="W18" s="311"/>
    </row>
    <row r="19" spans="1:24" ht="15" customHeight="1" x14ac:dyDescent="0.25">
      <c r="T19" s="321"/>
      <c r="V19" s="326"/>
      <c r="W19" s="311"/>
    </row>
    <row r="20" spans="1:24" ht="15" customHeight="1" x14ac:dyDescent="0.25">
      <c r="A20">
        <v>95</v>
      </c>
      <c r="B20" t="s">
        <v>658</v>
      </c>
      <c r="C20" t="s">
        <v>2504</v>
      </c>
      <c r="D20" t="s">
        <v>2504</v>
      </c>
      <c r="E20" t="s">
        <v>2504</v>
      </c>
      <c r="F20" t="s">
        <v>2504</v>
      </c>
      <c r="G20" t="s">
        <v>2504</v>
      </c>
      <c r="H20" t="s">
        <v>2504</v>
      </c>
      <c r="I20" t="str">
        <f t="shared" ref="I20:I29" si="8">IFERROR(VLOOKUP(B20,Base08,1,FALSE),"NO EXISTE")</f>
        <v>NO EXISTE</v>
      </c>
      <c r="J20" t="str">
        <f t="shared" ref="J20:J29" si="9">IFERROR(VLOOKUP(B20,Base09,1,FALSE),"NO EXISTE")</f>
        <v>NO EXISTE</v>
      </c>
      <c r="K20" t="str">
        <f t="shared" ref="K20:K29" si="10">IFERROR(VLOOKUP(B20,Base10,1,FALSE),"NO EXISTE")</f>
        <v>NO EXISTE</v>
      </c>
      <c r="L20" t="str">
        <f t="shared" ref="L20:L29" si="11">IFERROR(VLOOKUP(B20,Base11,1,FALSE),"NO EXISTE")</f>
        <v>NO EXISTE</v>
      </c>
      <c r="M20" t="str">
        <f t="shared" ref="M20:M29" si="12">IFERROR(VLOOKUP(B20,Base12,1,FALSE),"NO EXISTE")</f>
        <v>NO EXISTE</v>
      </c>
      <c r="N20" t="str">
        <f t="shared" ref="N20:N29" si="13">IFERROR(VLOOKUP(B20,Base13,1,FALSE),"NO EXISTE")</f>
        <v>NO EXISTE</v>
      </c>
      <c r="O20" t="str">
        <f t="shared" ref="O20:O29" si="14">IFERROR(VLOOKUP(B20,Base14,1,FALSE),"NO EXISTE")</f>
        <v>NO EXISTE</v>
      </c>
      <c r="P20" t="str">
        <f t="shared" ref="P20:P29" si="15">IFERROR(VLOOKUP(B20,Base15,1,FALSE),"NO EXISTE")</f>
        <v>NO EXISTE</v>
      </c>
      <c r="Q20" s="327" t="s">
        <v>659</v>
      </c>
      <c r="R20" t="s">
        <v>594</v>
      </c>
      <c r="S20" t="s">
        <v>595</v>
      </c>
      <c r="T20" s="321">
        <v>3.8</v>
      </c>
      <c r="U20" t="s">
        <v>596</v>
      </c>
      <c r="V20" s="322">
        <v>571.57000000000005</v>
      </c>
      <c r="W20" s="311">
        <v>2200.54</v>
      </c>
      <c r="X20">
        <v>201</v>
      </c>
    </row>
    <row r="21" spans="1:24" ht="15" customHeight="1" x14ac:dyDescent="0.25">
      <c r="A21">
        <v>122</v>
      </c>
      <c r="B21" t="s">
        <v>667</v>
      </c>
      <c r="C21" t="s">
        <v>2504</v>
      </c>
      <c r="D21" t="s">
        <v>2504</v>
      </c>
      <c r="E21" t="s">
        <v>2504</v>
      </c>
      <c r="F21" t="s">
        <v>2504</v>
      </c>
      <c r="G21" t="s">
        <v>2504</v>
      </c>
      <c r="H21" t="s">
        <v>2504</v>
      </c>
      <c r="I21" t="str">
        <f t="shared" si="8"/>
        <v>NO EXISTE</v>
      </c>
      <c r="J21" t="str">
        <f t="shared" si="9"/>
        <v>NO EXISTE</v>
      </c>
      <c r="K21" t="str">
        <f t="shared" si="10"/>
        <v>NO EXISTE</v>
      </c>
      <c r="L21" t="str">
        <f t="shared" si="11"/>
        <v>NO EXISTE</v>
      </c>
      <c r="M21" t="str">
        <f t="shared" si="12"/>
        <v>NO EXISTE</v>
      </c>
      <c r="N21" t="str">
        <f t="shared" si="13"/>
        <v>NO EXISTE</v>
      </c>
      <c r="O21" t="str">
        <f t="shared" si="14"/>
        <v>NO EXISTE</v>
      </c>
      <c r="P21" t="str">
        <f t="shared" si="15"/>
        <v>NO EXISTE</v>
      </c>
      <c r="Q21" s="327" t="s">
        <v>668</v>
      </c>
      <c r="R21" t="s">
        <v>594</v>
      </c>
      <c r="S21" t="s">
        <v>669</v>
      </c>
      <c r="T21" s="321">
        <v>0.95</v>
      </c>
      <c r="U21" t="s">
        <v>596</v>
      </c>
      <c r="V21" s="322">
        <v>123.07</v>
      </c>
      <c r="W21" s="311">
        <f>V21*1000</f>
        <v>123070</v>
      </c>
      <c r="X21">
        <v>1</v>
      </c>
    </row>
    <row r="22" spans="1:24" ht="15" customHeight="1" x14ac:dyDescent="0.25">
      <c r="A22" s="317">
        <v>123</v>
      </c>
      <c r="B22" s="317" t="s">
        <v>670</v>
      </c>
      <c r="C22" s="317" t="s">
        <v>2504</v>
      </c>
      <c r="D22" s="317" t="s">
        <v>2504</v>
      </c>
      <c r="E22" s="317" t="s">
        <v>2504</v>
      </c>
      <c r="F22" s="317" t="s">
        <v>2504</v>
      </c>
      <c r="G22" s="317" t="s">
        <v>2504</v>
      </c>
      <c r="H22" s="317" t="s">
        <v>2504</v>
      </c>
      <c r="I22" s="317" t="str">
        <f t="shared" si="8"/>
        <v>NO EXISTE</v>
      </c>
      <c r="J22" s="317" t="str">
        <f t="shared" si="9"/>
        <v>NO EXISTE</v>
      </c>
      <c r="K22" s="317" t="str">
        <f t="shared" si="10"/>
        <v>NO EXISTE</v>
      </c>
      <c r="L22" s="317" t="str">
        <f t="shared" si="11"/>
        <v>NO EXISTE</v>
      </c>
      <c r="M22" s="317" t="str">
        <f t="shared" si="12"/>
        <v>NO EXISTE</v>
      </c>
      <c r="N22" s="317" t="str">
        <f t="shared" si="13"/>
        <v>NO EXISTE</v>
      </c>
      <c r="O22" s="317" t="str">
        <f t="shared" si="14"/>
        <v>NO EXISTE</v>
      </c>
      <c r="P22" s="317" t="str">
        <f t="shared" si="15"/>
        <v>NO EXISTE</v>
      </c>
      <c r="Q22" s="324" t="s">
        <v>671</v>
      </c>
      <c r="R22" s="317" t="s">
        <v>594</v>
      </c>
      <c r="S22" s="317" t="s">
        <v>669</v>
      </c>
      <c r="T22" s="318">
        <v>0.95</v>
      </c>
      <c r="U22" s="317" t="s">
        <v>596</v>
      </c>
      <c r="V22" s="319">
        <v>139.25</v>
      </c>
      <c r="W22" s="320">
        <f>V22*12</f>
        <v>1671</v>
      </c>
      <c r="X22">
        <v>1</v>
      </c>
    </row>
    <row r="23" spans="1:24" ht="15" customHeight="1" x14ac:dyDescent="0.25">
      <c r="A23" s="148">
        <v>812</v>
      </c>
      <c r="B23" s="148" t="s">
        <v>976</v>
      </c>
      <c r="C23" s="143" t="s">
        <v>2504</v>
      </c>
      <c r="D23" s="143" t="s">
        <v>2504</v>
      </c>
      <c r="E23" s="143" t="s">
        <v>2504</v>
      </c>
      <c r="F23" s="143" t="s">
        <v>2504</v>
      </c>
      <c r="G23" s="143" t="s">
        <v>2504</v>
      </c>
      <c r="H23" s="143" t="s">
        <v>2504</v>
      </c>
      <c r="I23" s="143" t="str">
        <f t="shared" si="8"/>
        <v>NO EXISTE</v>
      </c>
      <c r="J23" s="143" t="str">
        <f t="shared" si="9"/>
        <v>NO EXISTE</v>
      </c>
      <c r="K23" s="143" t="str">
        <f t="shared" si="10"/>
        <v>NO EXISTE</v>
      </c>
      <c r="L23" s="143" t="str">
        <f t="shared" si="11"/>
        <v>NO EXISTE</v>
      </c>
      <c r="M23" s="143" t="str">
        <f t="shared" si="12"/>
        <v>NO EXISTE</v>
      </c>
      <c r="N23" s="143" t="str">
        <f t="shared" si="13"/>
        <v>NO EXISTE</v>
      </c>
      <c r="O23" s="143" t="str">
        <f t="shared" si="14"/>
        <v>NO EXISTE</v>
      </c>
      <c r="P23" s="143" t="str">
        <f t="shared" si="15"/>
        <v>NO EXISTE</v>
      </c>
      <c r="Q23" s="302" t="s">
        <v>977</v>
      </c>
      <c r="R23" s="148" t="s">
        <v>594</v>
      </c>
      <c r="S23" s="148" t="s">
        <v>604</v>
      </c>
      <c r="T23" s="149">
        <v>5</v>
      </c>
      <c r="U23" s="148" t="s">
        <v>596</v>
      </c>
      <c r="V23" s="150">
        <v>552.80999999999995</v>
      </c>
      <c r="W23" s="151">
        <f>V23*1000</f>
        <v>552810</v>
      </c>
      <c r="X23">
        <v>2</v>
      </c>
    </row>
    <row r="24" spans="1:24" ht="15" customHeight="1" x14ac:dyDescent="0.25">
      <c r="A24" s="148">
        <v>16037</v>
      </c>
      <c r="B24" s="148" t="s">
        <v>2085</v>
      </c>
      <c r="C24" s="143" t="s">
        <v>2504</v>
      </c>
      <c r="D24" s="143" t="s">
        <v>2504</v>
      </c>
      <c r="E24" s="143" t="s">
        <v>2504</v>
      </c>
      <c r="F24" s="143" t="s">
        <v>2504</v>
      </c>
      <c r="G24" s="143" t="s">
        <v>2504</v>
      </c>
      <c r="H24" s="143" t="s">
        <v>2504</v>
      </c>
      <c r="I24" s="143" t="str">
        <f t="shared" si="8"/>
        <v>NO EXISTE</v>
      </c>
      <c r="J24" s="143" t="str">
        <f t="shared" si="9"/>
        <v>NO EXISTE</v>
      </c>
      <c r="K24" s="143" t="str">
        <f t="shared" si="10"/>
        <v>NO EXISTE</v>
      </c>
      <c r="L24" s="143" t="str">
        <f t="shared" si="11"/>
        <v>NO EXISTE</v>
      </c>
      <c r="M24" s="143" t="str">
        <f t="shared" si="12"/>
        <v>NO EXISTE</v>
      </c>
      <c r="N24" s="143" t="str">
        <f t="shared" si="13"/>
        <v>NO EXISTE</v>
      </c>
      <c r="O24" s="143" t="str">
        <f t="shared" si="14"/>
        <v>NO EXISTE</v>
      </c>
      <c r="P24" s="143" t="str">
        <f t="shared" si="15"/>
        <v>NO EXISTE</v>
      </c>
      <c r="Q24" s="302" t="s">
        <v>2086</v>
      </c>
      <c r="R24" s="148" t="s">
        <v>594</v>
      </c>
      <c r="S24" s="148" t="s">
        <v>2084</v>
      </c>
      <c r="T24" s="149">
        <v>19</v>
      </c>
      <c r="U24" s="148" t="s">
        <v>596</v>
      </c>
      <c r="V24" s="150">
        <v>2668.96</v>
      </c>
      <c r="W24" s="151">
        <f>V24*1000</f>
        <v>2668960</v>
      </c>
      <c r="X24">
        <v>3</v>
      </c>
    </row>
    <row r="25" spans="1:24" ht="15" customHeight="1" x14ac:dyDescent="0.25">
      <c r="A25" s="148">
        <v>16045</v>
      </c>
      <c r="B25" s="148" t="s">
        <v>2098</v>
      </c>
      <c r="C25" s="143" t="s">
        <v>2504</v>
      </c>
      <c r="D25" s="143" t="s">
        <v>2504</v>
      </c>
      <c r="E25" s="143" t="s">
        <v>2504</v>
      </c>
      <c r="F25" s="143" t="s">
        <v>2504</v>
      </c>
      <c r="G25" s="143" t="s">
        <v>2504</v>
      </c>
      <c r="H25" s="143" t="s">
        <v>2504</v>
      </c>
      <c r="I25" s="143" t="str">
        <f t="shared" si="8"/>
        <v>NO EXISTE</v>
      </c>
      <c r="J25" s="143" t="str">
        <f t="shared" si="9"/>
        <v>NO EXISTE</v>
      </c>
      <c r="K25" s="143" t="str">
        <f t="shared" si="10"/>
        <v>NO EXISTE</v>
      </c>
      <c r="L25" s="143" t="str">
        <f t="shared" si="11"/>
        <v>NO EXISTE</v>
      </c>
      <c r="M25" s="143" t="str">
        <f t="shared" si="12"/>
        <v>NO EXISTE</v>
      </c>
      <c r="N25" s="143" t="str">
        <f t="shared" si="13"/>
        <v>NO EXISTE</v>
      </c>
      <c r="O25" s="143" t="str">
        <f t="shared" si="14"/>
        <v>NO EXISTE</v>
      </c>
      <c r="P25" s="143" t="str">
        <f t="shared" si="15"/>
        <v>NO EXISTE</v>
      </c>
      <c r="Q25" s="302" t="s">
        <v>2099</v>
      </c>
      <c r="R25" s="148" t="s">
        <v>594</v>
      </c>
      <c r="S25" s="148" t="s">
        <v>2084</v>
      </c>
      <c r="T25" s="149">
        <v>19</v>
      </c>
      <c r="U25" s="148" t="s">
        <v>596</v>
      </c>
      <c r="V25" s="150">
        <v>2936.23</v>
      </c>
      <c r="W25" s="151">
        <v>1814.3</v>
      </c>
      <c r="X25">
        <v>3</v>
      </c>
    </row>
    <row r="26" spans="1:24" ht="15" customHeight="1" x14ac:dyDescent="0.25">
      <c r="A26" s="148">
        <v>16058</v>
      </c>
      <c r="B26" s="148" t="s">
        <v>2114</v>
      </c>
      <c r="C26" s="143" t="s">
        <v>2504</v>
      </c>
      <c r="D26" s="143" t="s">
        <v>2504</v>
      </c>
      <c r="E26" s="143" t="s">
        <v>2504</v>
      </c>
      <c r="F26" s="143" t="s">
        <v>2504</v>
      </c>
      <c r="G26" s="143" t="s">
        <v>2504</v>
      </c>
      <c r="H26" s="143" t="s">
        <v>2504</v>
      </c>
      <c r="I26" s="143" t="str">
        <f t="shared" si="8"/>
        <v>NO EXISTE</v>
      </c>
      <c r="J26" s="143" t="str">
        <f t="shared" si="9"/>
        <v>NO EXISTE</v>
      </c>
      <c r="K26" s="143" t="str">
        <f t="shared" si="10"/>
        <v>NO EXISTE</v>
      </c>
      <c r="L26" s="143" t="str">
        <f t="shared" si="11"/>
        <v>NO EXISTE</v>
      </c>
      <c r="M26" s="143" t="str">
        <f t="shared" si="12"/>
        <v>NO EXISTE</v>
      </c>
      <c r="N26" s="143" t="str">
        <f t="shared" si="13"/>
        <v>NO EXISTE</v>
      </c>
      <c r="O26" s="143" t="str">
        <f t="shared" si="14"/>
        <v>NO EXISTE</v>
      </c>
      <c r="P26" s="143" t="str">
        <f t="shared" si="15"/>
        <v>NO EXISTE</v>
      </c>
      <c r="Q26" s="302" t="s">
        <v>2115</v>
      </c>
      <c r="R26" s="148" t="s">
        <v>594</v>
      </c>
      <c r="S26" s="148" t="s">
        <v>643</v>
      </c>
      <c r="T26" s="149">
        <v>0.95</v>
      </c>
      <c r="U26" s="148" t="s">
        <v>596</v>
      </c>
      <c r="V26" s="150">
        <v>107.78</v>
      </c>
      <c r="W26" s="151">
        <v>1991.42</v>
      </c>
      <c r="X26">
        <v>1</v>
      </c>
    </row>
    <row r="27" spans="1:24" ht="15" customHeight="1" x14ac:dyDescent="0.25">
      <c r="A27" s="148">
        <v>16606</v>
      </c>
      <c r="B27" s="148" t="s">
        <v>2280</v>
      </c>
      <c r="C27" s="143" t="s">
        <v>2504</v>
      </c>
      <c r="D27" s="143" t="s">
        <v>2504</v>
      </c>
      <c r="E27" s="143" t="s">
        <v>2504</v>
      </c>
      <c r="F27" s="143" t="s">
        <v>2504</v>
      </c>
      <c r="G27" s="143" t="s">
        <v>2504</v>
      </c>
      <c r="H27" s="143" t="s">
        <v>2504</v>
      </c>
      <c r="I27" s="143" t="str">
        <f t="shared" si="8"/>
        <v>NO EXISTE</v>
      </c>
      <c r="J27" s="143" t="str">
        <f t="shared" si="9"/>
        <v>NO EXISTE</v>
      </c>
      <c r="K27" s="143" t="str">
        <f t="shared" si="10"/>
        <v>NO EXISTE</v>
      </c>
      <c r="L27" s="143" t="str">
        <f t="shared" si="11"/>
        <v>NO EXISTE</v>
      </c>
      <c r="M27" s="143" t="str">
        <f t="shared" si="12"/>
        <v>NO EXISTE</v>
      </c>
      <c r="N27" s="143" t="str">
        <f t="shared" si="13"/>
        <v>NO EXISTE</v>
      </c>
      <c r="O27" s="143" t="str">
        <f t="shared" si="14"/>
        <v>NO EXISTE</v>
      </c>
      <c r="P27" s="143" t="str">
        <f t="shared" si="15"/>
        <v>NO EXISTE</v>
      </c>
      <c r="Q27" s="302" t="s">
        <v>2281</v>
      </c>
      <c r="R27" s="148" t="s">
        <v>594</v>
      </c>
      <c r="S27" s="148" t="s">
        <v>2279</v>
      </c>
      <c r="T27" s="149">
        <v>19</v>
      </c>
      <c r="U27" s="148" t="s">
        <v>596</v>
      </c>
      <c r="V27" s="150">
        <v>4063.02</v>
      </c>
      <c r="W27" s="151">
        <v>2037.81</v>
      </c>
      <c r="X27">
        <v>1</v>
      </c>
    </row>
    <row r="28" spans="1:24" ht="15" customHeight="1" x14ac:dyDescent="0.25">
      <c r="A28" s="148">
        <v>16607</v>
      </c>
      <c r="B28" s="148" t="s">
        <v>2282</v>
      </c>
      <c r="C28" s="143" t="s">
        <v>2504</v>
      </c>
      <c r="D28" s="143" t="s">
        <v>2504</v>
      </c>
      <c r="E28" s="143" t="s">
        <v>2504</v>
      </c>
      <c r="F28" s="143" t="s">
        <v>2504</v>
      </c>
      <c r="G28" s="143" t="s">
        <v>2504</v>
      </c>
      <c r="H28" s="143" t="s">
        <v>2504</v>
      </c>
      <c r="I28" s="143" t="str">
        <f t="shared" si="8"/>
        <v>NO EXISTE</v>
      </c>
      <c r="J28" s="143" t="str">
        <f t="shared" si="9"/>
        <v>NO EXISTE</v>
      </c>
      <c r="K28" s="143" t="str">
        <f t="shared" si="10"/>
        <v>NO EXISTE</v>
      </c>
      <c r="L28" s="143" t="str">
        <f t="shared" si="11"/>
        <v>NO EXISTE</v>
      </c>
      <c r="M28" s="143" t="str">
        <f t="shared" si="12"/>
        <v>NO EXISTE</v>
      </c>
      <c r="N28" s="143" t="str">
        <f t="shared" si="13"/>
        <v>NO EXISTE</v>
      </c>
      <c r="O28" s="143" t="str">
        <f t="shared" si="14"/>
        <v>NO EXISTE</v>
      </c>
      <c r="P28" s="143" t="str">
        <f t="shared" si="15"/>
        <v>NO EXISTE</v>
      </c>
      <c r="Q28" s="302" t="s">
        <v>2283</v>
      </c>
      <c r="R28" s="148" t="s">
        <v>594</v>
      </c>
      <c r="S28" s="148" t="s">
        <v>2279</v>
      </c>
      <c r="T28" s="149">
        <v>19</v>
      </c>
      <c r="U28" s="148" t="s">
        <v>596</v>
      </c>
      <c r="V28" s="150">
        <v>4016.32</v>
      </c>
      <c r="W28" s="151">
        <v>2051.9299999999998</v>
      </c>
      <c r="X28">
        <v>10</v>
      </c>
    </row>
    <row r="29" spans="1:24" ht="15" customHeight="1" x14ac:dyDescent="0.25">
      <c r="A29" s="312">
        <v>16608</v>
      </c>
      <c r="B29" s="312" t="s">
        <v>2284</v>
      </c>
      <c r="C29" s="313" t="s">
        <v>2504</v>
      </c>
      <c r="D29" s="313" t="s">
        <v>2504</v>
      </c>
      <c r="E29" s="313" t="s">
        <v>2504</v>
      </c>
      <c r="F29" s="313" t="s">
        <v>2504</v>
      </c>
      <c r="G29" s="313" t="s">
        <v>2504</v>
      </c>
      <c r="H29" s="313" t="s">
        <v>2504</v>
      </c>
      <c r="I29" s="313" t="str">
        <f t="shared" si="8"/>
        <v>NO EXISTE</v>
      </c>
      <c r="J29" s="313" t="str">
        <f t="shared" si="9"/>
        <v>NO EXISTE</v>
      </c>
      <c r="K29" s="313" t="str">
        <f t="shared" si="10"/>
        <v>NO EXISTE</v>
      </c>
      <c r="L29" s="313" t="str">
        <f t="shared" si="11"/>
        <v>NO EXISTE</v>
      </c>
      <c r="M29" s="313" t="str">
        <f t="shared" si="12"/>
        <v>NO EXISTE</v>
      </c>
      <c r="N29" s="313" t="str">
        <f t="shared" si="13"/>
        <v>NO EXISTE</v>
      </c>
      <c r="O29" s="313" t="str">
        <f t="shared" si="14"/>
        <v>NO EXISTE</v>
      </c>
      <c r="P29" s="313" t="str">
        <f t="shared" si="15"/>
        <v>NO EXISTE</v>
      </c>
      <c r="Q29" s="323" t="s">
        <v>2285</v>
      </c>
      <c r="R29" s="312" t="s">
        <v>594</v>
      </c>
      <c r="S29" s="312" t="s">
        <v>2091</v>
      </c>
      <c r="T29" s="314">
        <v>19</v>
      </c>
      <c r="U29" s="312" t="s">
        <v>596</v>
      </c>
      <c r="V29" s="315">
        <v>3359.79</v>
      </c>
      <c r="W29" s="316">
        <v>2068.5100000000002</v>
      </c>
      <c r="X29">
        <v>1</v>
      </c>
    </row>
    <row r="30" spans="1:24" ht="15" customHeight="1" x14ac:dyDescent="0.25">
      <c r="T30" s="325"/>
      <c r="V30" s="326"/>
      <c r="W30" s="326"/>
    </row>
    <row r="31" spans="1:24" ht="15" customHeight="1" x14ac:dyDescent="0.25">
      <c r="T31" s="325"/>
      <c r="V31" s="326"/>
      <c r="W31" s="326"/>
    </row>
    <row r="32" spans="1:24" ht="15" customHeight="1" x14ac:dyDescent="0.25">
      <c r="T32" s="321"/>
      <c r="V32" s="311"/>
      <c r="W32" s="311"/>
    </row>
    <row r="33" spans="1:23" ht="15" customHeight="1" x14ac:dyDescent="0.25">
      <c r="T33" s="321"/>
      <c r="V33" s="311"/>
      <c r="W33" s="311"/>
    </row>
    <row r="34" spans="1:23" ht="15" customHeight="1" x14ac:dyDescent="0.25">
      <c r="T34" s="321"/>
      <c r="V34" s="311"/>
      <c r="W34" s="311"/>
    </row>
    <row r="35" spans="1:23" ht="15" customHeight="1" x14ac:dyDescent="0.25">
      <c r="A35" s="317">
        <v>48</v>
      </c>
      <c r="B35" s="317" t="s">
        <v>611</v>
      </c>
      <c r="C35" s="317" t="s">
        <v>2504</v>
      </c>
      <c r="D35" s="317" t="s">
        <v>2504</v>
      </c>
      <c r="E35" s="317" t="s">
        <v>2504</v>
      </c>
      <c r="F35" s="317" t="s">
        <v>2504</v>
      </c>
      <c r="G35" s="317" t="s">
        <v>2504</v>
      </c>
      <c r="H35" s="317" t="s">
        <v>2504</v>
      </c>
      <c r="I35" s="317" t="str">
        <f t="shared" ref="I35:I98" si="16">IFERROR(VLOOKUP(B35,Base08,1,FALSE),"NO EXISTE")</f>
        <v>NO EXISTE</v>
      </c>
      <c r="J35" s="317" t="str">
        <f t="shared" ref="J35:J98" si="17">IFERROR(VLOOKUP(B35,Base09,1,FALSE),"NO EXISTE")</f>
        <v>NO EXISTE</v>
      </c>
      <c r="K35" s="317" t="str">
        <f t="shared" ref="K35:K98" si="18">IFERROR(VLOOKUP(B35,Base10,1,FALSE),"NO EXISTE")</f>
        <v>NO EXISTE</v>
      </c>
      <c r="L35" s="317" t="str">
        <f t="shared" ref="L35:L98" si="19">IFERROR(VLOOKUP(B35,Base11,1,FALSE),"NO EXISTE")</f>
        <v>NO EXISTE</v>
      </c>
      <c r="M35" s="317" t="str">
        <f t="shared" ref="M35:M98" si="20">IFERROR(VLOOKUP(B35,Base12,1,FALSE),"NO EXISTE")</f>
        <v>NO EXISTE</v>
      </c>
      <c r="N35" s="317" t="str">
        <f t="shared" ref="N35:N98" si="21">IFERROR(VLOOKUP(B35,Base13,1,FALSE),"NO EXISTE")</f>
        <v>NO EXISTE</v>
      </c>
      <c r="O35" s="317" t="str">
        <f t="shared" ref="O35:O98" si="22">IFERROR(VLOOKUP(B35,Base14,1,FALSE),"NO EXISTE")</f>
        <v>NO EXISTE</v>
      </c>
      <c r="P35" s="317" t="str">
        <f t="shared" ref="P35:P98" si="23">IFERROR(VLOOKUP(B35,Base15,1,FALSE),"NO EXISTE")</f>
        <v>NO EXISTE</v>
      </c>
      <c r="Q35" s="317" t="s">
        <v>612</v>
      </c>
      <c r="R35" s="317" t="s">
        <v>600</v>
      </c>
      <c r="S35" s="317" t="s">
        <v>613</v>
      </c>
      <c r="T35" s="318">
        <v>3.8</v>
      </c>
      <c r="U35" s="317" t="s">
        <v>591</v>
      </c>
      <c r="V35" s="319">
        <v>230.12</v>
      </c>
      <c r="W35" s="320">
        <f>V35*16</f>
        <v>3681.92</v>
      </c>
    </row>
    <row r="36" spans="1:23" ht="15" customHeight="1" x14ac:dyDescent="0.25">
      <c r="A36" s="148">
        <v>50</v>
      </c>
      <c r="B36" s="148" t="s">
        <v>616</v>
      </c>
      <c r="C36" s="143" t="s">
        <v>2504</v>
      </c>
      <c r="D36" s="143" t="s">
        <v>2504</v>
      </c>
      <c r="E36" s="143" t="s">
        <v>2504</v>
      </c>
      <c r="F36" s="143" t="s">
        <v>2504</v>
      </c>
      <c r="G36" s="143" t="s">
        <v>2504</v>
      </c>
      <c r="H36" s="143" t="s">
        <v>2504</v>
      </c>
      <c r="I36" s="143" t="str">
        <f t="shared" si="16"/>
        <v>NO EXISTE</v>
      </c>
      <c r="J36" s="143" t="str">
        <f t="shared" si="17"/>
        <v>NO EXISTE</v>
      </c>
      <c r="K36" s="143" t="str">
        <f t="shared" si="18"/>
        <v>NO EXISTE</v>
      </c>
      <c r="L36" s="143" t="str">
        <f t="shared" si="19"/>
        <v>NO EXISTE</v>
      </c>
      <c r="M36" s="143" t="str">
        <f t="shared" si="20"/>
        <v>NO EXISTE</v>
      </c>
      <c r="N36" s="143" t="str">
        <f t="shared" si="21"/>
        <v>NO EXISTE</v>
      </c>
      <c r="O36" s="143" t="str">
        <f t="shared" si="22"/>
        <v>NO EXISTE</v>
      </c>
      <c r="P36" s="143" t="str">
        <f t="shared" si="23"/>
        <v>NO EXISTE</v>
      </c>
      <c r="Q36" s="148" t="s">
        <v>617</v>
      </c>
      <c r="R36" s="148" t="s">
        <v>606</v>
      </c>
      <c r="S36" s="148" t="s">
        <v>618</v>
      </c>
      <c r="T36" s="149">
        <v>0.95</v>
      </c>
      <c r="U36" s="148" t="s">
        <v>591</v>
      </c>
      <c r="V36" s="150">
        <v>79.349999999999994</v>
      </c>
      <c r="W36" s="151">
        <f>V36*16</f>
        <v>1269.5999999999999</v>
      </c>
    </row>
    <row r="37" spans="1:23" ht="15" customHeight="1" x14ac:dyDescent="0.25">
      <c r="A37" s="148">
        <v>61</v>
      </c>
      <c r="B37" s="148" t="s">
        <v>628</v>
      </c>
      <c r="C37" s="143" t="s">
        <v>2504</v>
      </c>
      <c r="D37" s="143" t="s">
        <v>2504</v>
      </c>
      <c r="E37" s="143" t="s">
        <v>2504</v>
      </c>
      <c r="F37" s="143" t="s">
        <v>2504</v>
      </c>
      <c r="G37" s="143" t="s">
        <v>2504</v>
      </c>
      <c r="H37" s="143" t="s">
        <v>2504</v>
      </c>
      <c r="I37" s="143" t="str">
        <f t="shared" si="16"/>
        <v>NO EXISTE</v>
      </c>
      <c r="J37" s="143" t="str">
        <f t="shared" si="17"/>
        <v>NO EXISTE</v>
      </c>
      <c r="K37" s="143" t="str">
        <f t="shared" si="18"/>
        <v>NO EXISTE</v>
      </c>
      <c r="L37" s="143" t="str">
        <f t="shared" si="19"/>
        <v>NO EXISTE</v>
      </c>
      <c r="M37" s="143" t="str">
        <f t="shared" si="20"/>
        <v>NO EXISTE</v>
      </c>
      <c r="N37" s="143" t="str">
        <f t="shared" si="21"/>
        <v>NO EXISTE</v>
      </c>
      <c r="O37" s="143" t="str">
        <f t="shared" si="22"/>
        <v>NO EXISTE</v>
      </c>
      <c r="P37" s="143" t="str">
        <f t="shared" si="23"/>
        <v>NO EXISTE</v>
      </c>
      <c r="Q37" s="148" t="s">
        <v>629</v>
      </c>
      <c r="R37" s="148" t="s">
        <v>630</v>
      </c>
      <c r="S37" s="148" t="s">
        <v>631</v>
      </c>
      <c r="T37" s="149">
        <v>19</v>
      </c>
      <c r="U37" s="148" t="s">
        <v>591</v>
      </c>
      <c r="V37" s="150">
        <v>1703.51</v>
      </c>
      <c r="W37" s="151">
        <f>V37*16</f>
        <v>27256.16</v>
      </c>
    </row>
    <row r="38" spans="1:23" ht="15" customHeight="1" x14ac:dyDescent="0.25">
      <c r="A38" s="148">
        <v>65</v>
      </c>
      <c r="B38" s="148" t="s">
        <v>635</v>
      </c>
      <c r="C38" s="143" t="s">
        <v>2504</v>
      </c>
      <c r="D38" s="143" t="s">
        <v>2504</v>
      </c>
      <c r="E38" s="143" t="s">
        <v>2504</v>
      </c>
      <c r="F38" s="143" t="s">
        <v>2504</v>
      </c>
      <c r="G38" s="143" t="s">
        <v>2504</v>
      </c>
      <c r="H38" s="143" t="s">
        <v>2504</v>
      </c>
      <c r="I38" s="143" t="str">
        <f t="shared" si="16"/>
        <v>NO EXISTE</v>
      </c>
      <c r="J38" s="143" t="str">
        <f t="shared" si="17"/>
        <v>NO EXISTE</v>
      </c>
      <c r="K38" s="143" t="str">
        <f t="shared" si="18"/>
        <v>NO EXISTE</v>
      </c>
      <c r="L38" s="143" t="str">
        <f t="shared" si="19"/>
        <v>NO EXISTE</v>
      </c>
      <c r="M38" s="143" t="str">
        <f t="shared" si="20"/>
        <v>NO EXISTE</v>
      </c>
      <c r="N38" s="143" t="str">
        <f t="shared" si="21"/>
        <v>NO EXISTE</v>
      </c>
      <c r="O38" s="143" t="str">
        <f t="shared" si="22"/>
        <v>NO EXISTE</v>
      </c>
      <c r="P38" s="143" t="str">
        <f t="shared" si="23"/>
        <v>NO EXISTE</v>
      </c>
      <c r="Q38" s="148" t="s">
        <v>636</v>
      </c>
      <c r="R38" s="148" t="s">
        <v>630</v>
      </c>
      <c r="S38" s="148" t="s">
        <v>631</v>
      </c>
      <c r="T38" s="149">
        <v>200</v>
      </c>
      <c r="U38" s="148" t="s">
        <v>591</v>
      </c>
      <c r="V38" s="150">
        <v>18032.580000000002</v>
      </c>
      <c r="W38" s="151">
        <f>V38*16</f>
        <v>288521.28000000003</v>
      </c>
    </row>
    <row r="39" spans="1:23" ht="15" customHeight="1" x14ac:dyDescent="0.25">
      <c r="A39" s="148">
        <v>124</v>
      </c>
      <c r="B39" s="148" t="s">
        <v>672</v>
      </c>
      <c r="C39" s="143" t="s">
        <v>2504</v>
      </c>
      <c r="D39" s="143" t="s">
        <v>2504</v>
      </c>
      <c r="E39" s="143" t="s">
        <v>2504</v>
      </c>
      <c r="F39" s="143" t="s">
        <v>2504</v>
      </c>
      <c r="G39" s="143" t="s">
        <v>2504</v>
      </c>
      <c r="H39" s="143" t="s">
        <v>2504</v>
      </c>
      <c r="I39" s="143" t="str">
        <f t="shared" si="16"/>
        <v>NO EXISTE</v>
      </c>
      <c r="J39" s="143" t="str">
        <f t="shared" si="17"/>
        <v>NO EXISTE</v>
      </c>
      <c r="K39" s="143" t="str">
        <f t="shared" si="18"/>
        <v>NO EXISTE</v>
      </c>
      <c r="L39" s="143" t="str">
        <f t="shared" si="19"/>
        <v>NO EXISTE</v>
      </c>
      <c r="M39" s="143" t="str">
        <f t="shared" si="20"/>
        <v>NO EXISTE</v>
      </c>
      <c r="N39" s="143" t="str">
        <f t="shared" si="21"/>
        <v>NO EXISTE</v>
      </c>
      <c r="O39" s="143" t="str">
        <f t="shared" si="22"/>
        <v>NO EXISTE</v>
      </c>
      <c r="P39" s="143" t="str">
        <f t="shared" si="23"/>
        <v>NO EXISTE</v>
      </c>
      <c r="Q39" s="148" t="s">
        <v>673</v>
      </c>
      <c r="R39" s="148" t="s">
        <v>594</v>
      </c>
      <c r="S39" s="148" t="s">
        <v>674</v>
      </c>
      <c r="T39" s="149">
        <v>19</v>
      </c>
      <c r="U39" s="148" t="s">
        <v>591</v>
      </c>
      <c r="V39" s="150">
        <v>2221.88</v>
      </c>
      <c r="W39" s="151">
        <f>V39*16</f>
        <v>35550.080000000002</v>
      </c>
    </row>
    <row r="40" spans="1:23" ht="15" customHeight="1" x14ac:dyDescent="0.25">
      <c r="A40" s="148">
        <v>126</v>
      </c>
      <c r="B40" s="148" t="s">
        <v>675</v>
      </c>
      <c r="C40" s="143" t="s">
        <v>2504</v>
      </c>
      <c r="D40" s="143" t="s">
        <v>2504</v>
      </c>
      <c r="E40" s="143" t="s">
        <v>2504</v>
      </c>
      <c r="F40" s="143" t="s">
        <v>2504</v>
      </c>
      <c r="G40" s="143" t="s">
        <v>2504</v>
      </c>
      <c r="H40" s="143" t="s">
        <v>2504</v>
      </c>
      <c r="I40" s="143" t="str">
        <f t="shared" si="16"/>
        <v>NO EXISTE</v>
      </c>
      <c r="J40" s="143" t="str">
        <f t="shared" si="17"/>
        <v>NO EXISTE</v>
      </c>
      <c r="K40" s="143" t="str">
        <f t="shared" si="18"/>
        <v>NO EXISTE</v>
      </c>
      <c r="L40" s="143" t="str">
        <f t="shared" si="19"/>
        <v>NO EXISTE</v>
      </c>
      <c r="M40" s="143" t="str">
        <f t="shared" si="20"/>
        <v>NO EXISTE</v>
      </c>
      <c r="N40" s="143" t="str">
        <f t="shared" si="21"/>
        <v>NO EXISTE</v>
      </c>
      <c r="O40" s="143" t="str">
        <f t="shared" si="22"/>
        <v>NO EXISTE</v>
      </c>
      <c r="P40" s="143" t="str">
        <f t="shared" si="23"/>
        <v>NO EXISTE</v>
      </c>
      <c r="Q40" s="148" t="s">
        <v>676</v>
      </c>
      <c r="R40" s="148" t="s">
        <v>594</v>
      </c>
      <c r="S40" s="148" t="s">
        <v>674</v>
      </c>
      <c r="T40" s="149">
        <v>200</v>
      </c>
      <c r="U40" s="148" t="s">
        <v>591</v>
      </c>
      <c r="V40" s="150">
        <v>23479.21</v>
      </c>
      <c r="W40" s="151">
        <v>2102.5500000000002</v>
      </c>
    </row>
    <row r="41" spans="1:23" ht="15" customHeight="1" x14ac:dyDescent="0.25">
      <c r="A41" s="148">
        <v>178</v>
      </c>
      <c r="B41" s="148" t="s">
        <v>696</v>
      </c>
      <c r="C41" s="143" t="s">
        <v>2504</v>
      </c>
      <c r="D41" s="143" t="s">
        <v>2504</v>
      </c>
      <c r="E41" s="143" t="s">
        <v>2504</v>
      </c>
      <c r="F41" s="143" t="s">
        <v>2504</v>
      </c>
      <c r="G41" s="143" t="s">
        <v>2504</v>
      </c>
      <c r="H41" s="143" t="s">
        <v>2504</v>
      </c>
      <c r="I41" s="143" t="str">
        <f t="shared" si="16"/>
        <v>NO EXISTE</v>
      </c>
      <c r="J41" s="143" t="str">
        <f t="shared" si="17"/>
        <v>NO EXISTE</v>
      </c>
      <c r="K41" s="143" t="str">
        <f t="shared" si="18"/>
        <v>NO EXISTE</v>
      </c>
      <c r="L41" s="143" t="str">
        <f t="shared" si="19"/>
        <v>NO EXISTE</v>
      </c>
      <c r="M41" s="143" t="str">
        <f t="shared" si="20"/>
        <v>NO EXISTE</v>
      </c>
      <c r="N41" s="143" t="str">
        <f t="shared" si="21"/>
        <v>NO EXISTE</v>
      </c>
      <c r="O41" s="143" t="str">
        <f t="shared" si="22"/>
        <v>NO EXISTE</v>
      </c>
      <c r="P41" s="143" t="str">
        <f t="shared" si="23"/>
        <v>NO EXISTE</v>
      </c>
      <c r="Q41" s="148" t="s">
        <v>697</v>
      </c>
      <c r="R41" s="148" t="s">
        <v>694</v>
      </c>
      <c r="S41" s="148" t="s">
        <v>698</v>
      </c>
      <c r="T41" s="149">
        <v>1</v>
      </c>
      <c r="U41" s="148" t="s">
        <v>591</v>
      </c>
      <c r="V41" s="150">
        <v>132.05000000000001</v>
      </c>
      <c r="W41" s="151">
        <v>2216.89</v>
      </c>
    </row>
    <row r="42" spans="1:23" ht="15" customHeight="1" x14ac:dyDescent="0.25">
      <c r="A42" s="148">
        <v>256</v>
      </c>
      <c r="B42" s="148" t="s">
        <v>711</v>
      </c>
      <c r="C42" s="143" t="s">
        <v>2504</v>
      </c>
      <c r="D42" s="143" t="s">
        <v>2504</v>
      </c>
      <c r="E42" s="143" t="s">
        <v>2504</v>
      </c>
      <c r="F42" s="143" t="s">
        <v>2504</v>
      </c>
      <c r="G42" s="143" t="s">
        <v>2504</v>
      </c>
      <c r="H42" s="143" t="s">
        <v>2504</v>
      </c>
      <c r="I42" s="143" t="str">
        <f t="shared" si="16"/>
        <v>NO EXISTE</v>
      </c>
      <c r="J42" s="143" t="str">
        <f t="shared" si="17"/>
        <v>NO EXISTE</v>
      </c>
      <c r="K42" s="143" t="str">
        <f t="shared" si="18"/>
        <v>NO EXISTE</v>
      </c>
      <c r="L42" s="143" t="str">
        <f t="shared" si="19"/>
        <v>NO EXISTE</v>
      </c>
      <c r="M42" s="143" t="str">
        <f t="shared" si="20"/>
        <v>NO EXISTE</v>
      </c>
      <c r="N42" s="143" t="str">
        <f t="shared" si="21"/>
        <v>NO EXISTE</v>
      </c>
      <c r="O42" s="143" t="str">
        <f t="shared" si="22"/>
        <v>NO EXISTE</v>
      </c>
      <c r="P42" s="143" t="str">
        <f t="shared" si="23"/>
        <v>NO EXISTE</v>
      </c>
      <c r="Q42" s="148" t="s">
        <v>712</v>
      </c>
      <c r="R42" s="148" t="s">
        <v>705</v>
      </c>
      <c r="S42" s="148" t="s">
        <v>713</v>
      </c>
      <c r="T42" s="149">
        <v>16</v>
      </c>
      <c r="U42" s="148" t="s">
        <v>591</v>
      </c>
      <c r="V42" s="150">
        <v>1736.68</v>
      </c>
      <c r="W42" s="151">
        <f>V42*4</f>
        <v>6946.72</v>
      </c>
    </row>
    <row r="43" spans="1:23" ht="15" customHeight="1" x14ac:dyDescent="0.25">
      <c r="A43" s="148">
        <v>262</v>
      </c>
      <c r="B43" s="148" t="s">
        <v>716</v>
      </c>
      <c r="C43" s="143" t="s">
        <v>2504</v>
      </c>
      <c r="D43" s="143" t="s">
        <v>2504</v>
      </c>
      <c r="E43" s="143" t="s">
        <v>2504</v>
      </c>
      <c r="F43" s="143" t="s">
        <v>2504</v>
      </c>
      <c r="G43" s="143" t="s">
        <v>2504</v>
      </c>
      <c r="H43" s="143" t="s">
        <v>2504</v>
      </c>
      <c r="I43" s="143" t="str">
        <f t="shared" si="16"/>
        <v>NO EXISTE</v>
      </c>
      <c r="J43" s="143" t="str">
        <f t="shared" si="17"/>
        <v>NO EXISTE</v>
      </c>
      <c r="K43" s="143" t="str">
        <f t="shared" si="18"/>
        <v>NO EXISTE</v>
      </c>
      <c r="L43" s="143" t="str">
        <f t="shared" si="19"/>
        <v>NO EXISTE</v>
      </c>
      <c r="M43" s="143" t="str">
        <f t="shared" si="20"/>
        <v>NO EXISTE</v>
      </c>
      <c r="N43" s="143" t="str">
        <f t="shared" si="21"/>
        <v>NO EXISTE</v>
      </c>
      <c r="O43" s="143" t="str">
        <f t="shared" si="22"/>
        <v>NO EXISTE</v>
      </c>
      <c r="P43" s="143" t="str">
        <f t="shared" si="23"/>
        <v>NO EXISTE</v>
      </c>
      <c r="Q43" s="148" t="s">
        <v>717</v>
      </c>
      <c r="R43" s="148" t="s">
        <v>705</v>
      </c>
      <c r="S43" s="148" t="s">
        <v>713</v>
      </c>
      <c r="T43" s="149">
        <v>170</v>
      </c>
      <c r="U43" s="148" t="s">
        <v>591</v>
      </c>
      <c r="V43" s="150">
        <v>18718.46</v>
      </c>
      <c r="W43" s="151">
        <f>V43*4</f>
        <v>74873.84</v>
      </c>
    </row>
    <row r="44" spans="1:23" ht="15" customHeight="1" x14ac:dyDescent="0.25">
      <c r="A44" s="148">
        <v>294</v>
      </c>
      <c r="B44" s="148" t="s">
        <v>732</v>
      </c>
      <c r="C44" s="143" t="s">
        <v>2504</v>
      </c>
      <c r="D44" s="143" t="s">
        <v>2504</v>
      </c>
      <c r="E44" s="143" t="s">
        <v>2504</v>
      </c>
      <c r="F44" s="143" t="s">
        <v>2504</v>
      </c>
      <c r="G44" s="143" t="s">
        <v>2504</v>
      </c>
      <c r="H44" s="143" t="s">
        <v>2504</v>
      </c>
      <c r="I44" s="143" t="str">
        <f t="shared" si="16"/>
        <v>NO EXISTE</v>
      </c>
      <c r="J44" s="143" t="str">
        <f t="shared" si="17"/>
        <v>NO EXISTE</v>
      </c>
      <c r="K44" s="143" t="str">
        <f t="shared" si="18"/>
        <v>NO EXISTE</v>
      </c>
      <c r="L44" s="143" t="str">
        <f t="shared" si="19"/>
        <v>NO EXISTE</v>
      </c>
      <c r="M44" s="143" t="str">
        <f t="shared" si="20"/>
        <v>NO EXISTE</v>
      </c>
      <c r="N44" s="143" t="str">
        <f t="shared" si="21"/>
        <v>NO EXISTE</v>
      </c>
      <c r="O44" s="143" t="str">
        <f t="shared" si="22"/>
        <v>NO EXISTE</v>
      </c>
      <c r="P44" s="143" t="str">
        <f t="shared" si="23"/>
        <v>NO EXISTE</v>
      </c>
      <c r="Q44" s="148" t="s">
        <v>733</v>
      </c>
      <c r="R44" s="148" t="s">
        <v>705</v>
      </c>
      <c r="S44" s="148" t="s">
        <v>731</v>
      </c>
      <c r="T44" s="149">
        <v>7</v>
      </c>
      <c r="U44" s="148" t="s">
        <v>591</v>
      </c>
      <c r="V44" s="150">
        <v>820.63</v>
      </c>
      <c r="W44" s="151">
        <f>V44*16</f>
        <v>13130.08</v>
      </c>
    </row>
    <row r="45" spans="1:23" ht="15" customHeight="1" x14ac:dyDescent="0.25">
      <c r="A45" s="148">
        <v>363</v>
      </c>
      <c r="B45" s="148" t="s">
        <v>771</v>
      </c>
      <c r="C45" s="143" t="s">
        <v>2504</v>
      </c>
      <c r="D45" s="143" t="s">
        <v>2504</v>
      </c>
      <c r="E45" s="143" t="s">
        <v>2504</v>
      </c>
      <c r="F45" s="143" t="s">
        <v>2504</v>
      </c>
      <c r="G45" s="143" t="s">
        <v>2504</v>
      </c>
      <c r="H45" s="143" t="s">
        <v>2504</v>
      </c>
      <c r="I45" s="143" t="str">
        <f t="shared" si="16"/>
        <v>NO EXISTE</v>
      </c>
      <c r="J45" s="143" t="str">
        <f t="shared" si="17"/>
        <v>NO EXISTE</v>
      </c>
      <c r="K45" s="143" t="str">
        <f t="shared" si="18"/>
        <v>NO EXISTE</v>
      </c>
      <c r="L45" s="143" t="str">
        <f t="shared" si="19"/>
        <v>NO EXISTE</v>
      </c>
      <c r="M45" s="143" t="str">
        <f t="shared" si="20"/>
        <v>NO EXISTE</v>
      </c>
      <c r="N45" s="143" t="str">
        <f t="shared" si="21"/>
        <v>NO EXISTE</v>
      </c>
      <c r="O45" s="143" t="str">
        <f t="shared" si="22"/>
        <v>NO EXISTE</v>
      </c>
      <c r="P45" s="143" t="str">
        <f t="shared" si="23"/>
        <v>NO EXISTE</v>
      </c>
      <c r="Q45" s="148" t="s">
        <v>772</v>
      </c>
      <c r="R45" s="148" t="s">
        <v>600</v>
      </c>
      <c r="S45" s="148" t="s">
        <v>770</v>
      </c>
      <c r="T45" s="149">
        <v>0.443</v>
      </c>
      <c r="U45" s="148" t="s">
        <v>591</v>
      </c>
      <c r="V45" s="150">
        <v>67.849999999999994</v>
      </c>
      <c r="W45" s="151">
        <f>V45*16</f>
        <v>1085.5999999999999</v>
      </c>
    </row>
    <row r="46" spans="1:23" ht="15" customHeight="1" x14ac:dyDescent="0.25">
      <c r="A46" s="148">
        <v>377</v>
      </c>
      <c r="B46" s="148" t="s">
        <v>780</v>
      </c>
      <c r="C46" s="143" t="s">
        <v>2504</v>
      </c>
      <c r="D46" s="143" t="s">
        <v>2504</v>
      </c>
      <c r="E46" s="143" t="s">
        <v>2504</v>
      </c>
      <c r="F46" s="143" t="s">
        <v>2504</v>
      </c>
      <c r="G46" s="143" t="s">
        <v>2504</v>
      </c>
      <c r="H46" s="143" t="s">
        <v>2504</v>
      </c>
      <c r="I46" s="143" t="str">
        <f t="shared" si="16"/>
        <v>NO EXISTE</v>
      </c>
      <c r="J46" s="143" t="str">
        <f t="shared" si="17"/>
        <v>NO EXISTE</v>
      </c>
      <c r="K46" s="143" t="str">
        <f t="shared" si="18"/>
        <v>NO EXISTE</v>
      </c>
      <c r="L46" s="143" t="str">
        <f t="shared" si="19"/>
        <v>NO EXISTE</v>
      </c>
      <c r="M46" s="143" t="str">
        <f t="shared" si="20"/>
        <v>NO EXISTE</v>
      </c>
      <c r="N46" s="143" t="str">
        <f t="shared" si="21"/>
        <v>NO EXISTE</v>
      </c>
      <c r="O46" s="143" t="str">
        <f t="shared" si="22"/>
        <v>NO EXISTE</v>
      </c>
      <c r="P46" s="143" t="str">
        <f t="shared" si="23"/>
        <v>NO EXISTE</v>
      </c>
      <c r="Q46" s="148" t="s">
        <v>781</v>
      </c>
      <c r="R46" s="148" t="s">
        <v>594</v>
      </c>
      <c r="S46" s="148" t="s">
        <v>624</v>
      </c>
      <c r="T46" s="149">
        <v>200</v>
      </c>
      <c r="U46" s="148" t="s">
        <v>591</v>
      </c>
      <c r="V46" s="150">
        <v>21225.919999999998</v>
      </c>
      <c r="W46" s="151">
        <f>V46*16</f>
        <v>339614.71999999997</v>
      </c>
    </row>
    <row r="47" spans="1:23" ht="15" customHeight="1" x14ac:dyDescent="0.25">
      <c r="A47" s="148">
        <v>393</v>
      </c>
      <c r="B47" s="148" t="s">
        <v>784</v>
      </c>
      <c r="C47" s="143" t="s">
        <v>2504</v>
      </c>
      <c r="D47" s="143" t="s">
        <v>2504</v>
      </c>
      <c r="E47" s="143" t="s">
        <v>2504</v>
      </c>
      <c r="F47" s="143" t="s">
        <v>2504</v>
      </c>
      <c r="G47" s="143" t="s">
        <v>2504</v>
      </c>
      <c r="H47" s="143" t="s">
        <v>2504</v>
      </c>
      <c r="I47" s="143" t="str">
        <f t="shared" si="16"/>
        <v>NO EXISTE</v>
      </c>
      <c r="J47" s="143" t="str">
        <f t="shared" si="17"/>
        <v>NO EXISTE</v>
      </c>
      <c r="K47" s="143" t="str">
        <f t="shared" si="18"/>
        <v>NO EXISTE</v>
      </c>
      <c r="L47" s="143" t="str">
        <f t="shared" si="19"/>
        <v>NO EXISTE</v>
      </c>
      <c r="M47" s="143" t="str">
        <f t="shared" si="20"/>
        <v>NO EXISTE</v>
      </c>
      <c r="N47" s="143" t="str">
        <f t="shared" si="21"/>
        <v>NO EXISTE</v>
      </c>
      <c r="O47" s="143" t="str">
        <f t="shared" si="22"/>
        <v>NO EXISTE</v>
      </c>
      <c r="P47" s="143" t="str">
        <f t="shared" si="23"/>
        <v>NO EXISTE</v>
      </c>
      <c r="Q47" s="148" t="s">
        <v>785</v>
      </c>
      <c r="R47" s="148" t="s">
        <v>600</v>
      </c>
      <c r="S47" s="148" t="s">
        <v>783</v>
      </c>
      <c r="T47" s="149">
        <v>0.95</v>
      </c>
      <c r="U47" s="148" t="s">
        <v>591</v>
      </c>
      <c r="V47" s="150">
        <v>111.11</v>
      </c>
      <c r="W47" s="151">
        <v>1703.51</v>
      </c>
    </row>
    <row r="48" spans="1:23" ht="15" customHeight="1" x14ac:dyDescent="0.25">
      <c r="A48" s="148">
        <v>416</v>
      </c>
      <c r="B48" s="148" t="s">
        <v>795</v>
      </c>
      <c r="C48" s="143" t="s">
        <v>2504</v>
      </c>
      <c r="D48" s="143" t="s">
        <v>2504</v>
      </c>
      <c r="E48" s="143" t="s">
        <v>2504</v>
      </c>
      <c r="F48" s="143" t="s">
        <v>2504</v>
      </c>
      <c r="G48" s="143" t="s">
        <v>2504</v>
      </c>
      <c r="H48" s="143" t="s">
        <v>2504</v>
      </c>
      <c r="I48" s="143" t="str">
        <f t="shared" si="16"/>
        <v>NO EXISTE</v>
      </c>
      <c r="J48" s="143" t="str">
        <f t="shared" si="17"/>
        <v>NO EXISTE</v>
      </c>
      <c r="K48" s="143" t="str">
        <f t="shared" si="18"/>
        <v>NO EXISTE</v>
      </c>
      <c r="L48" s="143" t="str">
        <f t="shared" si="19"/>
        <v>NO EXISTE</v>
      </c>
      <c r="M48" s="143" t="str">
        <f t="shared" si="20"/>
        <v>NO EXISTE</v>
      </c>
      <c r="N48" s="143" t="str">
        <f t="shared" si="21"/>
        <v>NO EXISTE</v>
      </c>
      <c r="O48" s="143" t="str">
        <f t="shared" si="22"/>
        <v>NO EXISTE</v>
      </c>
      <c r="P48" s="143" t="str">
        <f t="shared" si="23"/>
        <v>NO EXISTE</v>
      </c>
      <c r="Q48" s="148" t="s">
        <v>796</v>
      </c>
      <c r="R48" s="148" t="s">
        <v>589</v>
      </c>
      <c r="S48" s="148" t="s">
        <v>797</v>
      </c>
      <c r="T48" s="149">
        <v>1</v>
      </c>
      <c r="U48" s="148" t="s">
        <v>591</v>
      </c>
      <c r="V48" s="150">
        <v>50.95</v>
      </c>
      <c r="W48" s="151">
        <v>1974.72</v>
      </c>
    </row>
    <row r="49" spans="1:23" ht="15" customHeight="1" x14ac:dyDescent="0.25">
      <c r="A49" s="148">
        <v>444</v>
      </c>
      <c r="B49" s="148" t="s">
        <v>824</v>
      </c>
      <c r="C49" s="143" t="s">
        <v>2504</v>
      </c>
      <c r="D49" s="143" t="s">
        <v>2504</v>
      </c>
      <c r="E49" s="143" t="s">
        <v>2504</v>
      </c>
      <c r="F49" s="143" t="s">
        <v>2504</v>
      </c>
      <c r="G49" s="143" t="s">
        <v>2504</v>
      </c>
      <c r="H49" s="143" t="s">
        <v>2504</v>
      </c>
      <c r="I49" s="143" t="str">
        <f t="shared" si="16"/>
        <v>NO EXISTE</v>
      </c>
      <c r="J49" s="143" t="str">
        <f t="shared" si="17"/>
        <v>NO EXISTE</v>
      </c>
      <c r="K49" s="143" t="str">
        <f t="shared" si="18"/>
        <v>NO EXISTE</v>
      </c>
      <c r="L49" s="143" t="str">
        <f t="shared" si="19"/>
        <v>NO EXISTE</v>
      </c>
      <c r="M49" s="143" t="str">
        <f t="shared" si="20"/>
        <v>NO EXISTE</v>
      </c>
      <c r="N49" s="143" t="str">
        <f t="shared" si="21"/>
        <v>NO EXISTE</v>
      </c>
      <c r="O49" s="143" t="str">
        <f t="shared" si="22"/>
        <v>NO EXISTE</v>
      </c>
      <c r="P49" s="143" t="str">
        <f t="shared" si="23"/>
        <v>NO EXISTE</v>
      </c>
      <c r="Q49" s="148" t="s">
        <v>825</v>
      </c>
      <c r="R49" s="148" t="s">
        <v>705</v>
      </c>
      <c r="S49" s="148" t="s">
        <v>713</v>
      </c>
      <c r="T49" s="149">
        <v>7</v>
      </c>
      <c r="U49" s="148" t="s">
        <v>591</v>
      </c>
      <c r="V49" s="150">
        <v>791.5</v>
      </c>
      <c r="W49" s="151">
        <v>17259.29</v>
      </c>
    </row>
    <row r="50" spans="1:23" ht="15" customHeight="1" x14ac:dyDescent="0.25">
      <c r="A50" s="148">
        <v>445</v>
      </c>
      <c r="B50" s="148" t="s">
        <v>826</v>
      </c>
      <c r="C50" s="143" t="s">
        <v>2504</v>
      </c>
      <c r="D50" s="143" t="s">
        <v>2504</v>
      </c>
      <c r="E50" s="143" t="s">
        <v>2504</v>
      </c>
      <c r="F50" s="143" t="s">
        <v>2504</v>
      </c>
      <c r="G50" s="143" t="s">
        <v>2504</v>
      </c>
      <c r="H50" s="143" t="s">
        <v>2504</v>
      </c>
      <c r="I50" s="143" t="str">
        <f t="shared" si="16"/>
        <v>NO EXISTE</v>
      </c>
      <c r="J50" s="143" t="str">
        <f t="shared" si="17"/>
        <v>NO EXISTE</v>
      </c>
      <c r="K50" s="143" t="str">
        <f t="shared" si="18"/>
        <v>NO EXISTE</v>
      </c>
      <c r="L50" s="143" t="str">
        <f t="shared" si="19"/>
        <v>NO EXISTE</v>
      </c>
      <c r="M50" s="143" t="str">
        <f t="shared" si="20"/>
        <v>NO EXISTE</v>
      </c>
      <c r="N50" s="143" t="str">
        <f t="shared" si="21"/>
        <v>NO EXISTE</v>
      </c>
      <c r="O50" s="143" t="str">
        <f t="shared" si="22"/>
        <v>NO EXISTE</v>
      </c>
      <c r="P50" s="143" t="str">
        <f t="shared" si="23"/>
        <v>NO EXISTE</v>
      </c>
      <c r="Q50" s="148" t="s">
        <v>827</v>
      </c>
      <c r="R50" s="148" t="s">
        <v>705</v>
      </c>
      <c r="S50" s="148" t="s">
        <v>721</v>
      </c>
      <c r="T50" s="149">
        <v>7</v>
      </c>
      <c r="U50" s="148" t="s">
        <v>591</v>
      </c>
      <c r="V50" s="150">
        <v>1022.17</v>
      </c>
      <c r="W50" s="151">
        <f>V50*16</f>
        <v>16354.72</v>
      </c>
    </row>
    <row r="51" spans="1:23" ht="15" customHeight="1" x14ac:dyDescent="0.25">
      <c r="A51" s="148">
        <v>456</v>
      </c>
      <c r="B51" s="148" t="s">
        <v>833</v>
      </c>
      <c r="C51" s="143" t="s">
        <v>2504</v>
      </c>
      <c r="D51" s="143" t="s">
        <v>2504</v>
      </c>
      <c r="E51" s="143" t="s">
        <v>2504</v>
      </c>
      <c r="F51" s="143" t="s">
        <v>2504</v>
      </c>
      <c r="G51" s="143" t="s">
        <v>2504</v>
      </c>
      <c r="H51" s="143" t="s">
        <v>2504</v>
      </c>
      <c r="I51" s="143" t="str">
        <f t="shared" si="16"/>
        <v>NO EXISTE</v>
      </c>
      <c r="J51" s="143" t="str">
        <f t="shared" si="17"/>
        <v>NO EXISTE</v>
      </c>
      <c r="K51" s="143" t="str">
        <f t="shared" si="18"/>
        <v>NO EXISTE</v>
      </c>
      <c r="L51" s="143" t="str">
        <f t="shared" si="19"/>
        <v>NO EXISTE</v>
      </c>
      <c r="M51" s="143" t="str">
        <f t="shared" si="20"/>
        <v>NO EXISTE</v>
      </c>
      <c r="N51" s="143" t="str">
        <f t="shared" si="21"/>
        <v>NO EXISTE</v>
      </c>
      <c r="O51" s="143" t="str">
        <f t="shared" si="22"/>
        <v>NO EXISTE</v>
      </c>
      <c r="P51" s="143" t="str">
        <f t="shared" si="23"/>
        <v>NO EXISTE</v>
      </c>
      <c r="Q51" s="148" t="s">
        <v>834</v>
      </c>
      <c r="R51" s="148" t="s">
        <v>630</v>
      </c>
      <c r="S51" s="148" t="s">
        <v>835</v>
      </c>
      <c r="T51" s="149">
        <v>1</v>
      </c>
      <c r="U51" s="148" t="s">
        <v>591</v>
      </c>
      <c r="V51" s="150">
        <v>90.11</v>
      </c>
      <c r="W51" s="151">
        <v>1893.43</v>
      </c>
    </row>
    <row r="52" spans="1:23" ht="15" customHeight="1" x14ac:dyDescent="0.25">
      <c r="A52" s="148">
        <v>462</v>
      </c>
      <c r="B52" s="148" t="s">
        <v>841</v>
      </c>
      <c r="C52" s="143" t="s">
        <v>2504</v>
      </c>
      <c r="D52" s="143" t="s">
        <v>2504</v>
      </c>
      <c r="E52" s="143" t="s">
        <v>2504</v>
      </c>
      <c r="F52" s="143" t="s">
        <v>2504</v>
      </c>
      <c r="G52" s="143" t="s">
        <v>2504</v>
      </c>
      <c r="H52" s="143" t="s">
        <v>2504</v>
      </c>
      <c r="I52" s="143" t="str">
        <f t="shared" si="16"/>
        <v>NO EXISTE</v>
      </c>
      <c r="J52" s="143" t="str">
        <f t="shared" si="17"/>
        <v>NO EXISTE</v>
      </c>
      <c r="K52" s="143" t="str">
        <f t="shared" si="18"/>
        <v>NO EXISTE</v>
      </c>
      <c r="L52" s="143" t="str">
        <f t="shared" si="19"/>
        <v>NO EXISTE</v>
      </c>
      <c r="M52" s="143" t="str">
        <f t="shared" si="20"/>
        <v>NO EXISTE</v>
      </c>
      <c r="N52" s="143" t="str">
        <f t="shared" si="21"/>
        <v>NO EXISTE</v>
      </c>
      <c r="O52" s="143" t="str">
        <f t="shared" si="22"/>
        <v>NO EXISTE</v>
      </c>
      <c r="P52" s="143" t="str">
        <f t="shared" si="23"/>
        <v>NO EXISTE</v>
      </c>
      <c r="Q52" s="148" t="s">
        <v>842</v>
      </c>
      <c r="R52" s="148" t="s">
        <v>705</v>
      </c>
      <c r="S52" s="148" t="s">
        <v>727</v>
      </c>
      <c r="T52" s="149">
        <v>7</v>
      </c>
      <c r="U52" s="148" t="s">
        <v>591</v>
      </c>
      <c r="V52" s="150">
        <v>890.25</v>
      </c>
      <c r="W52" s="151">
        <v>1888.64</v>
      </c>
    </row>
    <row r="53" spans="1:23" ht="15" customHeight="1" x14ac:dyDescent="0.25">
      <c r="A53" s="148">
        <v>509</v>
      </c>
      <c r="B53" s="148" t="s">
        <v>859</v>
      </c>
      <c r="C53" s="143" t="s">
        <v>2504</v>
      </c>
      <c r="D53" s="143" t="s">
        <v>2504</v>
      </c>
      <c r="E53" s="143" t="s">
        <v>2504</v>
      </c>
      <c r="F53" s="143" t="s">
        <v>2504</v>
      </c>
      <c r="G53" s="143" t="s">
        <v>2504</v>
      </c>
      <c r="H53" s="143" t="s">
        <v>2504</v>
      </c>
      <c r="I53" s="143" t="str">
        <f t="shared" si="16"/>
        <v>NO EXISTE</v>
      </c>
      <c r="J53" s="143" t="str">
        <f t="shared" si="17"/>
        <v>NO EXISTE</v>
      </c>
      <c r="K53" s="143" t="str">
        <f t="shared" si="18"/>
        <v>NO EXISTE</v>
      </c>
      <c r="L53" s="143" t="str">
        <f t="shared" si="19"/>
        <v>NO EXISTE</v>
      </c>
      <c r="M53" s="143" t="str">
        <f t="shared" si="20"/>
        <v>NO EXISTE</v>
      </c>
      <c r="N53" s="143" t="str">
        <f t="shared" si="21"/>
        <v>NO EXISTE</v>
      </c>
      <c r="O53" s="143" t="str">
        <f t="shared" si="22"/>
        <v>NO EXISTE</v>
      </c>
      <c r="P53" s="143" t="str">
        <f t="shared" si="23"/>
        <v>NO EXISTE</v>
      </c>
      <c r="Q53" s="148" t="s">
        <v>860</v>
      </c>
      <c r="R53" s="148" t="s">
        <v>606</v>
      </c>
      <c r="S53" s="148" t="s">
        <v>852</v>
      </c>
      <c r="T53" s="149">
        <v>200</v>
      </c>
      <c r="U53" s="148" t="s">
        <v>591</v>
      </c>
      <c r="V53" s="150">
        <v>32296.43</v>
      </c>
      <c r="W53" s="151">
        <v>1884.3</v>
      </c>
    </row>
    <row r="54" spans="1:23" ht="15" customHeight="1" x14ac:dyDescent="0.25">
      <c r="A54" s="148">
        <v>510</v>
      </c>
      <c r="B54" s="148" t="s">
        <v>861</v>
      </c>
      <c r="C54" s="143" t="s">
        <v>2504</v>
      </c>
      <c r="D54" s="143" t="s">
        <v>2504</v>
      </c>
      <c r="E54" s="143" t="s">
        <v>2504</v>
      </c>
      <c r="F54" s="143" t="s">
        <v>2504</v>
      </c>
      <c r="G54" s="143" t="s">
        <v>2504</v>
      </c>
      <c r="H54" s="143" t="s">
        <v>2504</v>
      </c>
      <c r="I54" s="143" t="str">
        <f t="shared" si="16"/>
        <v>NO EXISTE</v>
      </c>
      <c r="J54" s="143" t="str">
        <f t="shared" si="17"/>
        <v>NO EXISTE</v>
      </c>
      <c r="K54" s="143" t="str">
        <f t="shared" si="18"/>
        <v>NO EXISTE</v>
      </c>
      <c r="L54" s="143" t="str">
        <f t="shared" si="19"/>
        <v>NO EXISTE</v>
      </c>
      <c r="M54" s="143" t="str">
        <f t="shared" si="20"/>
        <v>NO EXISTE</v>
      </c>
      <c r="N54" s="143" t="str">
        <f t="shared" si="21"/>
        <v>NO EXISTE</v>
      </c>
      <c r="O54" s="143" t="str">
        <f t="shared" si="22"/>
        <v>NO EXISTE</v>
      </c>
      <c r="P54" s="143" t="str">
        <f t="shared" si="23"/>
        <v>NO EXISTE</v>
      </c>
      <c r="Q54" s="148" t="s">
        <v>862</v>
      </c>
      <c r="R54" s="148" t="s">
        <v>606</v>
      </c>
      <c r="S54" s="148" t="s">
        <v>852</v>
      </c>
      <c r="T54" s="149">
        <v>1</v>
      </c>
      <c r="U54" s="148" t="s">
        <v>591</v>
      </c>
      <c r="V54" s="150">
        <v>153.26</v>
      </c>
      <c r="W54" s="151">
        <f>V54*6</f>
        <v>919.56</v>
      </c>
    </row>
    <row r="55" spans="1:23" ht="15" customHeight="1" x14ac:dyDescent="0.25">
      <c r="A55" s="148">
        <v>536</v>
      </c>
      <c r="B55" s="148" t="s">
        <v>872</v>
      </c>
      <c r="C55" s="143" t="s">
        <v>2504</v>
      </c>
      <c r="D55" s="143" t="s">
        <v>2504</v>
      </c>
      <c r="E55" s="143" t="s">
        <v>2504</v>
      </c>
      <c r="F55" s="143" t="s">
        <v>2504</v>
      </c>
      <c r="G55" s="143" t="s">
        <v>2504</v>
      </c>
      <c r="H55" s="143" t="s">
        <v>2504</v>
      </c>
      <c r="I55" s="143" t="str">
        <f t="shared" si="16"/>
        <v>NO EXISTE</v>
      </c>
      <c r="J55" s="143" t="str">
        <f t="shared" si="17"/>
        <v>NO EXISTE</v>
      </c>
      <c r="K55" s="143" t="str">
        <f t="shared" si="18"/>
        <v>NO EXISTE</v>
      </c>
      <c r="L55" s="143" t="str">
        <f t="shared" si="19"/>
        <v>NO EXISTE</v>
      </c>
      <c r="M55" s="143" t="str">
        <f t="shared" si="20"/>
        <v>NO EXISTE</v>
      </c>
      <c r="N55" s="143" t="str">
        <f t="shared" si="21"/>
        <v>NO EXISTE</v>
      </c>
      <c r="O55" s="143" t="str">
        <f t="shared" si="22"/>
        <v>NO EXISTE</v>
      </c>
      <c r="P55" s="143" t="str">
        <f t="shared" si="23"/>
        <v>NO EXISTE</v>
      </c>
      <c r="Q55" s="148" t="s">
        <v>873</v>
      </c>
      <c r="R55" s="148" t="s">
        <v>606</v>
      </c>
      <c r="S55" s="148" t="s">
        <v>645</v>
      </c>
      <c r="T55" s="149">
        <v>5</v>
      </c>
      <c r="U55" s="148" t="s">
        <v>591</v>
      </c>
      <c r="V55" s="150">
        <v>507.3</v>
      </c>
      <c r="W55" s="151">
        <v>20035.990000000002</v>
      </c>
    </row>
    <row r="56" spans="1:23" ht="15" customHeight="1" x14ac:dyDescent="0.25">
      <c r="A56" s="148">
        <v>548</v>
      </c>
      <c r="B56" s="148" t="s">
        <v>876</v>
      </c>
      <c r="C56" s="143" t="s">
        <v>2504</v>
      </c>
      <c r="D56" s="143" t="s">
        <v>2504</v>
      </c>
      <c r="E56" s="143" t="s">
        <v>2504</v>
      </c>
      <c r="F56" s="143" t="s">
        <v>2504</v>
      </c>
      <c r="G56" s="143" t="s">
        <v>2504</v>
      </c>
      <c r="H56" s="143" t="s">
        <v>2504</v>
      </c>
      <c r="I56" s="143" t="str">
        <f t="shared" si="16"/>
        <v>NO EXISTE</v>
      </c>
      <c r="J56" s="143" t="str">
        <f t="shared" si="17"/>
        <v>NO EXISTE</v>
      </c>
      <c r="K56" s="143" t="str">
        <f t="shared" si="18"/>
        <v>NO EXISTE</v>
      </c>
      <c r="L56" s="143" t="str">
        <f t="shared" si="19"/>
        <v>NO EXISTE</v>
      </c>
      <c r="M56" s="143" t="str">
        <f t="shared" si="20"/>
        <v>NO EXISTE</v>
      </c>
      <c r="N56" s="143" t="str">
        <f t="shared" si="21"/>
        <v>NO EXISTE</v>
      </c>
      <c r="O56" s="143" t="str">
        <f t="shared" si="22"/>
        <v>NO EXISTE</v>
      </c>
      <c r="P56" s="143" t="str">
        <f t="shared" si="23"/>
        <v>NO EXISTE</v>
      </c>
      <c r="Q56" s="148" t="s">
        <v>877</v>
      </c>
      <c r="R56" s="148" t="s">
        <v>606</v>
      </c>
      <c r="S56" s="148" t="s">
        <v>661</v>
      </c>
      <c r="T56" s="149">
        <v>1</v>
      </c>
      <c r="U56" s="148" t="s">
        <v>591</v>
      </c>
      <c r="V56" s="150">
        <v>97.84</v>
      </c>
      <c r="W56" s="151">
        <v>20009.310000000001</v>
      </c>
    </row>
    <row r="57" spans="1:23" ht="15" customHeight="1" x14ac:dyDescent="0.25">
      <c r="A57" s="148">
        <v>549</v>
      </c>
      <c r="B57" s="148" t="s">
        <v>878</v>
      </c>
      <c r="C57" s="143" t="s">
        <v>2504</v>
      </c>
      <c r="D57" s="143" t="s">
        <v>2504</v>
      </c>
      <c r="E57" s="143" t="s">
        <v>2504</v>
      </c>
      <c r="F57" s="143" t="s">
        <v>2504</v>
      </c>
      <c r="G57" s="143" t="s">
        <v>2504</v>
      </c>
      <c r="H57" s="143" t="s">
        <v>2504</v>
      </c>
      <c r="I57" s="143" t="str">
        <f t="shared" si="16"/>
        <v>NO EXISTE</v>
      </c>
      <c r="J57" s="143" t="str">
        <f t="shared" si="17"/>
        <v>NO EXISTE</v>
      </c>
      <c r="K57" s="143" t="str">
        <f t="shared" si="18"/>
        <v>NO EXISTE</v>
      </c>
      <c r="L57" s="143" t="str">
        <f t="shared" si="19"/>
        <v>NO EXISTE</v>
      </c>
      <c r="M57" s="143" t="str">
        <f t="shared" si="20"/>
        <v>NO EXISTE</v>
      </c>
      <c r="N57" s="143" t="str">
        <f t="shared" si="21"/>
        <v>NO EXISTE</v>
      </c>
      <c r="O57" s="143" t="str">
        <f t="shared" si="22"/>
        <v>NO EXISTE</v>
      </c>
      <c r="P57" s="143" t="str">
        <f t="shared" si="23"/>
        <v>NO EXISTE</v>
      </c>
      <c r="Q57" s="148" t="s">
        <v>879</v>
      </c>
      <c r="R57" s="148" t="s">
        <v>606</v>
      </c>
      <c r="S57" s="148" t="s">
        <v>661</v>
      </c>
      <c r="T57" s="149">
        <v>1</v>
      </c>
      <c r="U57" s="148" t="s">
        <v>591</v>
      </c>
      <c r="V57" s="150">
        <v>97.77</v>
      </c>
      <c r="W57" s="151">
        <v>19902.939999999999</v>
      </c>
    </row>
    <row r="58" spans="1:23" ht="15" customHeight="1" x14ac:dyDescent="0.25">
      <c r="A58" s="148">
        <v>553</v>
      </c>
      <c r="B58" s="148" t="s">
        <v>880</v>
      </c>
      <c r="C58" s="143" t="s">
        <v>2504</v>
      </c>
      <c r="D58" s="143" t="s">
        <v>2504</v>
      </c>
      <c r="E58" s="143" t="s">
        <v>2504</v>
      </c>
      <c r="F58" s="143" t="s">
        <v>2504</v>
      </c>
      <c r="G58" s="143" t="s">
        <v>2504</v>
      </c>
      <c r="H58" s="143" t="s">
        <v>2504</v>
      </c>
      <c r="I58" s="143" t="str">
        <f t="shared" si="16"/>
        <v>NO EXISTE</v>
      </c>
      <c r="J58" s="143" t="str">
        <f t="shared" si="17"/>
        <v>NO EXISTE</v>
      </c>
      <c r="K58" s="143" t="str">
        <f t="shared" si="18"/>
        <v>NO EXISTE</v>
      </c>
      <c r="L58" s="143" t="str">
        <f t="shared" si="19"/>
        <v>NO EXISTE</v>
      </c>
      <c r="M58" s="143" t="str">
        <f t="shared" si="20"/>
        <v>NO EXISTE</v>
      </c>
      <c r="N58" s="143" t="str">
        <f t="shared" si="21"/>
        <v>NO EXISTE</v>
      </c>
      <c r="O58" s="143" t="str">
        <f t="shared" si="22"/>
        <v>NO EXISTE</v>
      </c>
      <c r="P58" s="143" t="str">
        <f t="shared" si="23"/>
        <v>NO EXISTE</v>
      </c>
      <c r="Q58" s="148" t="s">
        <v>881</v>
      </c>
      <c r="R58" s="148" t="s">
        <v>594</v>
      </c>
      <c r="S58" s="148" t="s">
        <v>776</v>
      </c>
      <c r="T58" s="149">
        <v>1</v>
      </c>
      <c r="U58" s="148" t="s">
        <v>591</v>
      </c>
      <c r="V58" s="150">
        <v>103.87</v>
      </c>
      <c r="W58" s="151">
        <f>V58*4</f>
        <v>415.48</v>
      </c>
    </row>
    <row r="59" spans="1:23" ht="15" customHeight="1" x14ac:dyDescent="0.25">
      <c r="A59" s="148">
        <v>584</v>
      </c>
      <c r="B59" s="148" t="s">
        <v>884</v>
      </c>
      <c r="C59" s="143" t="s">
        <v>2504</v>
      </c>
      <c r="D59" s="143" t="s">
        <v>2504</v>
      </c>
      <c r="E59" s="143" t="s">
        <v>2504</v>
      </c>
      <c r="F59" s="143" t="s">
        <v>2504</v>
      </c>
      <c r="G59" s="143" t="s">
        <v>2504</v>
      </c>
      <c r="H59" s="143" t="s">
        <v>2504</v>
      </c>
      <c r="I59" s="143" t="str">
        <f t="shared" si="16"/>
        <v>NO EXISTE</v>
      </c>
      <c r="J59" s="143" t="str">
        <f t="shared" si="17"/>
        <v>NO EXISTE</v>
      </c>
      <c r="K59" s="143" t="str">
        <f t="shared" si="18"/>
        <v>NO EXISTE</v>
      </c>
      <c r="L59" s="143" t="str">
        <f t="shared" si="19"/>
        <v>NO EXISTE</v>
      </c>
      <c r="M59" s="143" t="str">
        <f t="shared" si="20"/>
        <v>NO EXISTE</v>
      </c>
      <c r="N59" s="143" t="str">
        <f t="shared" si="21"/>
        <v>NO EXISTE</v>
      </c>
      <c r="O59" s="143" t="str">
        <f t="shared" si="22"/>
        <v>NO EXISTE</v>
      </c>
      <c r="P59" s="143" t="str">
        <f t="shared" si="23"/>
        <v>NO EXISTE</v>
      </c>
      <c r="Q59" s="148" t="s">
        <v>885</v>
      </c>
      <c r="R59" s="148" t="s">
        <v>630</v>
      </c>
      <c r="S59" s="148" t="s">
        <v>886</v>
      </c>
      <c r="T59" s="149">
        <v>1</v>
      </c>
      <c r="U59" s="148" t="s">
        <v>591</v>
      </c>
      <c r="V59" s="150">
        <v>98.1</v>
      </c>
      <c r="W59" s="151">
        <f>V59*4</f>
        <v>392.4</v>
      </c>
    </row>
    <row r="60" spans="1:23" ht="15" customHeight="1" x14ac:dyDescent="0.25">
      <c r="A60" s="148">
        <v>586</v>
      </c>
      <c r="B60" s="148" t="s">
        <v>888</v>
      </c>
      <c r="C60" s="143" t="s">
        <v>2504</v>
      </c>
      <c r="D60" s="143" t="s">
        <v>2504</v>
      </c>
      <c r="E60" s="143" t="s">
        <v>2504</v>
      </c>
      <c r="F60" s="143" t="s">
        <v>2504</v>
      </c>
      <c r="G60" s="143" t="s">
        <v>2504</v>
      </c>
      <c r="H60" s="143" t="s">
        <v>2504</v>
      </c>
      <c r="I60" s="143" t="str">
        <f t="shared" si="16"/>
        <v>NO EXISTE</v>
      </c>
      <c r="J60" s="143" t="str">
        <f t="shared" si="17"/>
        <v>NO EXISTE</v>
      </c>
      <c r="K60" s="143" t="str">
        <f t="shared" si="18"/>
        <v>NO EXISTE</v>
      </c>
      <c r="L60" s="143" t="str">
        <f t="shared" si="19"/>
        <v>NO EXISTE</v>
      </c>
      <c r="M60" s="143" t="str">
        <f t="shared" si="20"/>
        <v>NO EXISTE</v>
      </c>
      <c r="N60" s="143" t="str">
        <f t="shared" si="21"/>
        <v>NO EXISTE</v>
      </c>
      <c r="O60" s="143" t="str">
        <f t="shared" si="22"/>
        <v>NO EXISTE</v>
      </c>
      <c r="P60" s="143" t="str">
        <f t="shared" si="23"/>
        <v>NO EXISTE</v>
      </c>
      <c r="Q60" s="148" t="s">
        <v>889</v>
      </c>
      <c r="R60" s="148" t="s">
        <v>705</v>
      </c>
      <c r="S60" s="148" t="s">
        <v>713</v>
      </c>
      <c r="T60" s="149">
        <v>3.5</v>
      </c>
      <c r="U60" s="148" t="s">
        <v>591</v>
      </c>
      <c r="V60" s="150">
        <v>399.36</v>
      </c>
      <c r="W60" s="151">
        <f>V60*4</f>
        <v>1597.44</v>
      </c>
    </row>
    <row r="61" spans="1:23" ht="15" customHeight="1" x14ac:dyDescent="0.25">
      <c r="A61" s="148">
        <v>619</v>
      </c>
      <c r="B61" s="148" t="s">
        <v>903</v>
      </c>
      <c r="C61" s="143" t="s">
        <v>2504</v>
      </c>
      <c r="D61" s="143" t="s">
        <v>2504</v>
      </c>
      <c r="E61" s="143" t="s">
        <v>2504</v>
      </c>
      <c r="F61" s="143" t="s">
        <v>2504</v>
      </c>
      <c r="G61" s="143" t="s">
        <v>2504</v>
      </c>
      <c r="H61" s="143" t="s">
        <v>2504</v>
      </c>
      <c r="I61" s="143" t="str">
        <f t="shared" si="16"/>
        <v>NO EXISTE</v>
      </c>
      <c r="J61" s="143" t="str">
        <f t="shared" si="17"/>
        <v>NO EXISTE</v>
      </c>
      <c r="K61" s="143" t="str">
        <f t="shared" si="18"/>
        <v>NO EXISTE</v>
      </c>
      <c r="L61" s="143" t="str">
        <f t="shared" si="19"/>
        <v>NO EXISTE</v>
      </c>
      <c r="M61" s="143" t="str">
        <f t="shared" si="20"/>
        <v>NO EXISTE</v>
      </c>
      <c r="N61" s="143" t="str">
        <f t="shared" si="21"/>
        <v>NO EXISTE</v>
      </c>
      <c r="O61" s="143" t="str">
        <f t="shared" si="22"/>
        <v>NO EXISTE</v>
      </c>
      <c r="P61" s="143" t="str">
        <f t="shared" si="23"/>
        <v>NO EXISTE</v>
      </c>
      <c r="Q61" s="148" t="s">
        <v>904</v>
      </c>
      <c r="R61" s="148" t="s">
        <v>630</v>
      </c>
      <c r="S61" s="148" t="s">
        <v>631</v>
      </c>
      <c r="T61" s="149">
        <v>200</v>
      </c>
      <c r="U61" s="148" t="s">
        <v>591</v>
      </c>
      <c r="V61" s="150">
        <v>18060.41</v>
      </c>
      <c r="W61" s="151">
        <v>1965.31</v>
      </c>
    </row>
    <row r="62" spans="1:23" ht="15" customHeight="1" x14ac:dyDescent="0.25">
      <c r="A62" s="148">
        <v>620</v>
      </c>
      <c r="B62" s="148" t="s">
        <v>905</v>
      </c>
      <c r="C62" s="143" t="s">
        <v>2504</v>
      </c>
      <c r="D62" s="143" t="s">
        <v>2504</v>
      </c>
      <c r="E62" s="143" t="s">
        <v>2504</v>
      </c>
      <c r="F62" s="143" t="s">
        <v>2504</v>
      </c>
      <c r="G62" s="143" t="s">
        <v>2504</v>
      </c>
      <c r="H62" s="143" t="s">
        <v>2504</v>
      </c>
      <c r="I62" s="143" t="str">
        <f t="shared" si="16"/>
        <v>NO EXISTE</v>
      </c>
      <c r="J62" s="143" t="str">
        <f t="shared" si="17"/>
        <v>NO EXISTE</v>
      </c>
      <c r="K62" s="143" t="str">
        <f t="shared" si="18"/>
        <v>NO EXISTE</v>
      </c>
      <c r="L62" s="143" t="str">
        <f t="shared" si="19"/>
        <v>NO EXISTE</v>
      </c>
      <c r="M62" s="143" t="str">
        <f t="shared" si="20"/>
        <v>NO EXISTE</v>
      </c>
      <c r="N62" s="143" t="str">
        <f t="shared" si="21"/>
        <v>NO EXISTE</v>
      </c>
      <c r="O62" s="143" t="str">
        <f t="shared" si="22"/>
        <v>NO EXISTE</v>
      </c>
      <c r="P62" s="143" t="str">
        <f t="shared" si="23"/>
        <v>NO EXISTE</v>
      </c>
      <c r="Q62" s="148" t="s">
        <v>906</v>
      </c>
      <c r="R62" s="148" t="s">
        <v>630</v>
      </c>
      <c r="S62" s="148" t="s">
        <v>631</v>
      </c>
      <c r="T62" s="149">
        <v>5</v>
      </c>
      <c r="U62" s="148" t="s">
        <v>591</v>
      </c>
      <c r="V62" s="150">
        <v>467.93</v>
      </c>
      <c r="W62" s="151">
        <v>1963.67</v>
      </c>
    </row>
    <row r="63" spans="1:23" ht="15" customHeight="1" x14ac:dyDescent="0.25">
      <c r="A63" s="148">
        <v>633</v>
      </c>
      <c r="B63" s="148" t="s">
        <v>908</v>
      </c>
      <c r="C63" s="143" t="s">
        <v>2504</v>
      </c>
      <c r="D63" s="143" t="s">
        <v>2504</v>
      </c>
      <c r="E63" s="143" t="s">
        <v>2504</v>
      </c>
      <c r="F63" s="143" t="s">
        <v>2504</v>
      </c>
      <c r="G63" s="143" t="s">
        <v>2504</v>
      </c>
      <c r="H63" s="143" t="s">
        <v>2504</v>
      </c>
      <c r="I63" s="143" t="str">
        <f t="shared" si="16"/>
        <v>NO EXISTE</v>
      </c>
      <c r="J63" s="143" t="str">
        <f t="shared" si="17"/>
        <v>NO EXISTE</v>
      </c>
      <c r="K63" s="143" t="str">
        <f t="shared" si="18"/>
        <v>NO EXISTE</v>
      </c>
      <c r="L63" s="143" t="str">
        <f t="shared" si="19"/>
        <v>NO EXISTE</v>
      </c>
      <c r="M63" s="143" t="str">
        <f t="shared" si="20"/>
        <v>NO EXISTE</v>
      </c>
      <c r="N63" s="143" t="str">
        <f t="shared" si="21"/>
        <v>NO EXISTE</v>
      </c>
      <c r="O63" s="143" t="str">
        <f t="shared" si="22"/>
        <v>NO EXISTE</v>
      </c>
      <c r="P63" s="143" t="str">
        <f t="shared" si="23"/>
        <v>NO EXISTE</v>
      </c>
      <c r="Q63" s="148" t="s">
        <v>909</v>
      </c>
      <c r="R63" s="148" t="s">
        <v>606</v>
      </c>
      <c r="S63" s="148" t="s">
        <v>910</v>
      </c>
      <c r="T63" s="149">
        <v>1</v>
      </c>
      <c r="U63" s="148" t="s">
        <v>591</v>
      </c>
      <c r="V63" s="150">
        <v>153.88</v>
      </c>
      <c r="W63" s="151">
        <v>20902.12</v>
      </c>
    </row>
    <row r="64" spans="1:23" ht="15" customHeight="1" x14ac:dyDescent="0.25">
      <c r="A64" s="148">
        <v>634</v>
      </c>
      <c r="B64" s="148" t="s">
        <v>911</v>
      </c>
      <c r="C64" s="143" t="s">
        <v>2504</v>
      </c>
      <c r="D64" s="143" t="s">
        <v>2504</v>
      </c>
      <c r="E64" s="143" t="s">
        <v>2504</v>
      </c>
      <c r="F64" s="143" t="s">
        <v>2504</v>
      </c>
      <c r="G64" s="143" t="s">
        <v>2504</v>
      </c>
      <c r="H64" s="143" t="s">
        <v>2504</v>
      </c>
      <c r="I64" s="143" t="str">
        <f t="shared" si="16"/>
        <v>NO EXISTE</v>
      </c>
      <c r="J64" s="143" t="str">
        <f t="shared" si="17"/>
        <v>NO EXISTE</v>
      </c>
      <c r="K64" s="143" t="str">
        <f t="shared" si="18"/>
        <v>NO EXISTE</v>
      </c>
      <c r="L64" s="143" t="str">
        <f t="shared" si="19"/>
        <v>NO EXISTE</v>
      </c>
      <c r="M64" s="143" t="str">
        <f t="shared" si="20"/>
        <v>NO EXISTE</v>
      </c>
      <c r="N64" s="143" t="str">
        <f t="shared" si="21"/>
        <v>NO EXISTE</v>
      </c>
      <c r="O64" s="143" t="str">
        <f t="shared" si="22"/>
        <v>NO EXISTE</v>
      </c>
      <c r="P64" s="143" t="str">
        <f t="shared" si="23"/>
        <v>NO EXISTE</v>
      </c>
      <c r="Q64" s="148" t="s">
        <v>912</v>
      </c>
      <c r="R64" s="148" t="s">
        <v>606</v>
      </c>
      <c r="S64" s="148" t="s">
        <v>913</v>
      </c>
      <c r="T64" s="149">
        <v>1</v>
      </c>
      <c r="U64" s="148" t="s">
        <v>591</v>
      </c>
      <c r="V64" s="150">
        <v>176.55</v>
      </c>
      <c r="W64" s="151">
        <v>20794.060000000001</v>
      </c>
    </row>
    <row r="65" spans="1:23" ht="15" customHeight="1" x14ac:dyDescent="0.25">
      <c r="A65" s="148">
        <v>636</v>
      </c>
      <c r="B65" s="148" t="s">
        <v>914</v>
      </c>
      <c r="C65" s="143" t="s">
        <v>2504</v>
      </c>
      <c r="D65" s="143" t="s">
        <v>2504</v>
      </c>
      <c r="E65" s="143" t="s">
        <v>2504</v>
      </c>
      <c r="F65" s="143" t="s">
        <v>2504</v>
      </c>
      <c r="G65" s="143" t="s">
        <v>2504</v>
      </c>
      <c r="H65" s="143" t="s">
        <v>2504</v>
      </c>
      <c r="I65" s="143" t="str">
        <f t="shared" si="16"/>
        <v>NO EXISTE</v>
      </c>
      <c r="J65" s="143" t="str">
        <f t="shared" si="17"/>
        <v>NO EXISTE</v>
      </c>
      <c r="K65" s="143" t="str">
        <f t="shared" si="18"/>
        <v>NO EXISTE</v>
      </c>
      <c r="L65" s="143" t="str">
        <f t="shared" si="19"/>
        <v>NO EXISTE</v>
      </c>
      <c r="M65" s="143" t="str">
        <f t="shared" si="20"/>
        <v>NO EXISTE</v>
      </c>
      <c r="N65" s="143" t="str">
        <f t="shared" si="21"/>
        <v>NO EXISTE</v>
      </c>
      <c r="O65" s="143" t="str">
        <f t="shared" si="22"/>
        <v>NO EXISTE</v>
      </c>
      <c r="P65" s="143" t="str">
        <f t="shared" si="23"/>
        <v>NO EXISTE</v>
      </c>
      <c r="Q65" s="148" t="s">
        <v>915</v>
      </c>
      <c r="R65" s="148" t="s">
        <v>606</v>
      </c>
      <c r="S65" s="148" t="s">
        <v>615</v>
      </c>
      <c r="T65" s="149">
        <v>19</v>
      </c>
      <c r="U65" s="148" t="s">
        <v>591</v>
      </c>
      <c r="V65" s="150">
        <v>3647.21</v>
      </c>
      <c r="W65" s="151">
        <v>20773.36</v>
      </c>
    </row>
    <row r="66" spans="1:23" ht="15" customHeight="1" x14ac:dyDescent="0.25">
      <c r="A66" s="148">
        <v>637</v>
      </c>
      <c r="B66" s="148" t="s">
        <v>916</v>
      </c>
      <c r="C66" s="143" t="s">
        <v>2504</v>
      </c>
      <c r="D66" s="143" t="s">
        <v>2504</v>
      </c>
      <c r="E66" s="143" t="s">
        <v>2504</v>
      </c>
      <c r="F66" s="143" t="s">
        <v>2504</v>
      </c>
      <c r="G66" s="143" t="s">
        <v>2504</v>
      </c>
      <c r="H66" s="143" t="s">
        <v>2504</v>
      </c>
      <c r="I66" s="143" t="str">
        <f t="shared" si="16"/>
        <v>NO EXISTE</v>
      </c>
      <c r="J66" s="143" t="str">
        <f t="shared" si="17"/>
        <v>NO EXISTE</v>
      </c>
      <c r="K66" s="143" t="str">
        <f t="shared" si="18"/>
        <v>NO EXISTE</v>
      </c>
      <c r="L66" s="143" t="str">
        <f t="shared" si="19"/>
        <v>NO EXISTE</v>
      </c>
      <c r="M66" s="143" t="str">
        <f t="shared" si="20"/>
        <v>NO EXISTE</v>
      </c>
      <c r="N66" s="143" t="str">
        <f t="shared" si="21"/>
        <v>NO EXISTE</v>
      </c>
      <c r="O66" s="143" t="str">
        <f t="shared" si="22"/>
        <v>NO EXISTE</v>
      </c>
      <c r="P66" s="143" t="str">
        <f t="shared" si="23"/>
        <v>NO EXISTE</v>
      </c>
      <c r="Q66" s="148" t="s">
        <v>917</v>
      </c>
      <c r="R66" s="148" t="s">
        <v>606</v>
      </c>
      <c r="S66" s="148" t="s">
        <v>910</v>
      </c>
      <c r="T66" s="149">
        <v>200</v>
      </c>
      <c r="U66" s="148" t="s">
        <v>591</v>
      </c>
      <c r="V66" s="150">
        <v>33254.53</v>
      </c>
      <c r="W66" s="151">
        <f>V66*15</f>
        <v>498817.94999999995</v>
      </c>
    </row>
    <row r="67" spans="1:23" ht="15" customHeight="1" x14ac:dyDescent="0.25">
      <c r="A67" s="148">
        <v>638</v>
      </c>
      <c r="B67" s="148" t="s">
        <v>918</v>
      </c>
      <c r="C67" s="143" t="s">
        <v>2504</v>
      </c>
      <c r="D67" s="143" t="s">
        <v>2504</v>
      </c>
      <c r="E67" s="143" t="s">
        <v>2504</v>
      </c>
      <c r="F67" s="143" t="s">
        <v>2504</v>
      </c>
      <c r="G67" s="143" t="s">
        <v>2504</v>
      </c>
      <c r="H67" s="143" t="s">
        <v>2504</v>
      </c>
      <c r="I67" s="143" t="str">
        <f t="shared" si="16"/>
        <v>NO EXISTE</v>
      </c>
      <c r="J67" s="143" t="str">
        <f t="shared" si="17"/>
        <v>NO EXISTE</v>
      </c>
      <c r="K67" s="143" t="str">
        <f t="shared" si="18"/>
        <v>NO EXISTE</v>
      </c>
      <c r="L67" s="143" t="str">
        <f t="shared" si="19"/>
        <v>NO EXISTE</v>
      </c>
      <c r="M67" s="143" t="str">
        <f t="shared" si="20"/>
        <v>NO EXISTE</v>
      </c>
      <c r="N67" s="143" t="str">
        <f t="shared" si="21"/>
        <v>NO EXISTE</v>
      </c>
      <c r="O67" s="143" t="str">
        <f t="shared" si="22"/>
        <v>NO EXISTE</v>
      </c>
      <c r="P67" s="143" t="str">
        <f t="shared" si="23"/>
        <v>NO EXISTE</v>
      </c>
      <c r="Q67" s="148" t="s">
        <v>919</v>
      </c>
      <c r="R67" s="148" t="s">
        <v>606</v>
      </c>
      <c r="S67" s="148" t="s">
        <v>913</v>
      </c>
      <c r="T67" s="149">
        <v>200</v>
      </c>
      <c r="U67" s="148" t="s">
        <v>591</v>
      </c>
      <c r="V67" s="150">
        <v>38476.31</v>
      </c>
      <c r="W67" s="151">
        <f>V67*15</f>
        <v>577144.64999999991</v>
      </c>
    </row>
    <row r="68" spans="1:23" ht="15" customHeight="1" x14ac:dyDescent="0.25">
      <c r="A68" s="148">
        <v>650</v>
      </c>
      <c r="B68" s="148" t="s">
        <v>924</v>
      </c>
      <c r="C68" s="143" t="s">
        <v>2504</v>
      </c>
      <c r="D68" s="143" t="s">
        <v>2504</v>
      </c>
      <c r="E68" s="143" t="s">
        <v>2504</v>
      </c>
      <c r="F68" s="143" t="s">
        <v>2504</v>
      </c>
      <c r="G68" s="143" t="s">
        <v>2504</v>
      </c>
      <c r="H68" s="143" t="s">
        <v>2504</v>
      </c>
      <c r="I68" s="143" t="str">
        <f t="shared" si="16"/>
        <v>NO EXISTE</v>
      </c>
      <c r="J68" s="143" t="str">
        <f t="shared" si="17"/>
        <v>NO EXISTE</v>
      </c>
      <c r="K68" s="143" t="str">
        <f t="shared" si="18"/>
        <v>NO EXISTE</v>
      </c>
      <c r="L68" s="143" t="str">
        <f t="shared" si="19"/>
        <v>NO EXISTE</v>
      </c>
      <c r="M68" s="143" t="str">
        <f t="shared" si="20"/>
        <v>NO EXISTE</v>
      </c>
      <c r="N68" s="143" t="str">
        <f t="shared" si="21"/>
        <v>NO EXISTE</v>
      </c>
      <c r="O68" s="143" t="str">
        <f t="shared" si="22"/>
        <v>NO EXISTE</v>
      </c>
      <c r="P68" s="143" t="str">
        <f t="shared" si="23"/>
        <v>NO EXISTE</v>
      </c>
      <c r="Q68" s="148" t="s">
        <v>925</v>
      </c>
      <c r="R68" s="148" t="s">
        <v>630</v>
      </c>
      <c r="S68" s="148" t="s">
        <v>631</v>
      </c>
      <c r="T68" s="149">
        <v>5</v>
      </c>
      <c r="U68" s="148" t="s">
        <v>591</v>
      </c>
      <c r="V68" s="150">
        <v>468.1</v>
      </c>
      <c r="W68" s="151">
        <v>2221.88</v>
      </c>
    </row>
    <row r="69" spans="1:23" ht="15" customHeight="1" x14ac:dyDescent="0.25">
      <c r="A69" s="148">
        <v>687</v>
      </c>
      <c r="B69" s="148" t="s">
        <v>939</v>
      </c>
      <c r="C69" s="143" t="s">
        <v>2504</v>
      </c>
      <c r="D69" s="143" t="s">
        <v>2504</v>
      </c>
      <c r="E69" s="143" t="s">
        <v>2504</v>
      </c>
      <c r="F69" s="143" t="s">
        <v>2504</v>
      </c>
      <c r="G69" s="143" t="s">
        <v>2504</v>
      </c>
      <c r="H69" s="143" t="s">
        <v>2504</v>
      </c>
      <c r="I69" s="143" t="str">
        <f t="shared" si="16"/>
        <v>NO EXISTE</v>
      </c>
      <c r="J69" s="143" t="str">
        <f t="shared" si="17"/>
        <v>NO EXISTE</v>
      </c>
      <c r="K69" s="143" t="str">
        <f t="shared" si="18"/>
        <v>NO EXISTE</v>
      </c>
      <c r="L69" s="143" t="str">
        <f t="shared" si="19"/>
        <v>NO EXISTE</v>
      </c>
      <c r="M69" s="143" t="str">
        <f t="shared" si="20"/>
        <v>NO EXISTE</v>
      </c>
      <c r="N69" s="143" t="str">
        <f t="shared" si="21"/>
        <v>NO EXISTE</v>
      </c>
      <c r="O69" s="143" t="str">
        <f t="shared" si="22"/>
        <v>NO EXISTE</v>
      </c>
      <c r="P69" s="143" t="str">
        <f t="shared" si="23"/>
        <v>NO EXISTE</v>
      </c>
      <c r="Q69" s="148" t="s">
        <v>940</v>
      </c>
      <c r="R69" s="148" t="s">
        <v>694</v>
      </c>
      <c r="S69" s="148" t="s">
        <v>941</v>
      </c>
      <c r="T69" s="149">
        <v>1</v>
      </c>
      <c r="U69" s="148" t="s">
        <v>591</v>
      </c>
      <c r="V69" s="150">
        <v>65.760000000000005</v>
      </c>
      <c r="W69" s="151">
        <v>23479.21</v>
      </c>
    </row>
    <row r="70" spans="1:23" ht="15" customHeight="1" x14ac:dyDescent="0.25">
      <c r="A70" s="148">
        <v>707</v>
      </c>
      <c r="B70" s="148" t="s">
        <v>945</v>
      </c>
      <c r="C70" s="143" t="s">
        <v>2504</v>
      </c>
      <c r="D70" s="143" t="s">
        <v>2504</v>
      </c>
      <c r="E70" s="143" t="s">
        <v>2504</v>
      </c>
      <c r="F70" s="143" t="s">
        <v>2504</v>
      </c>
      <c r="G70" s="143" t="s">
        <v>2504</v>
      </c>
      <c r="H70" s="143" t="s">
        <v>2504</v>
      </c>
      <c r="I70" s="143" t="str">
        <f t="shared" si="16"/>
        <v>NO EXISTE</v>
      </c>
      <c r="J70" s="143" t="str">
        <f t="shared" si="17"/>
        <v>NO EXISTE</v>
      </c>
      <c r="K70" s="143" t="str">
        <f t="shared" si="18"/>
        <v>NO EXISTE</v>
      </c>
      <c r="L70" s="143" t="str">
        <f t="shared" si="19"/>
        <v>NO EXISTE</v>
      </c>
      <c r="M70" s="143" t="str">
        <f t="shared" si="20"/>
        <v>NO EXISTE</v>
      </c>
      <c r="N70" s="143" t="str">
        <f t="shared" si="21"/>
        <v>NO EXISTE</v>
      </c>
      <c r="O70" s="143" t="str">
        <f t="shared" si="22"/>
        <v>NO EXISTE</v>
      </c>
      <c r="P70" s="143" t="str">
        <f t="shared" si="23"/>
        <v>NO EXISTE</v>
      </c>
      <c r="Q70" s="148" t="s">
        <v>946</v>
      </c>
      <c r="R70" s="148" t="s">
        <v>606</v>
      </c>
      <c r="S70" s="148" t="s">
        <v>494</v>
      </c>
      <c r="T70" s="149">
        <v>200</v>
      </c>
      <c r="U70" s="148" t="s">
        <v>591</v>
      </c>
      <c r="V70" s="150">
        <v>100241.53</v>
      </c>
      <c r="W70" s="151">
        <f>V70*16</f>
        <v>1603864.48</v>
      </c>
    </row>
    <row r="71" spans="1:23" ht="15" customHeight="1" x14ac:dyDescent="0.25">
      <c r="A71" s="148">
        <v>766</v>
      </c>
      <c r="B71" s="148" t="s">
        <v>959</v>
      </c>
      <c r="C71" s="143" t="s">
        <v>2504</v>
      </c>
      <c r="D71" s="143" t="s">
        <v>2504</v>
      </c>
      <c r="E71" s="143" t="s">
        <v>2504</v>
      </c>
      <c r="F71" s="143" t="s">
        <v>2504</v>
      </c>
      <c r="G71" s="143" t="s">
        <v>2504</v>
      </c>
      <c r="H71" s="143" t="s">
        <v>2504</v>
      </c>
      <c r="I71" s="143" t="str">
        <f t="shared" si="16"/>
        <v>NO EXISTE</v>
      </c>
      <c r="J71" s="143" t="str">
        <f t="shared" si="17"/>
        <v>NO EXISTE</v>
      </c>
      <c r="K71" s="143" t="str">
        <f t="shared" si="18"/>
        <v>NO EXISTE</v>
      </c>
      <c r="L71" s="143" t="str">
        <f t="shared" si="19"/>
        <v>NO EXISTE</v>
      </c>
      <c r="M71" s="143" t="str">
        <f t="shared" si="20"/>
        <v>NO EXISTE</v>
      </c>
      <c r="N71" s="143" t="str">
        <f t="shared" si="21"/>
        <v>NO EXISTE</v>
      </c>
      <c r="O71" s="143" t="str">
        <f t="shared" si="22"/>
        <v>NO EXISTE</v>
      </c>
      <c r="P71" s="143" t="str">
        <f t="shared" si="23"/>
        <v>NO EXISTE</v>
      </c>
      <c r="Q71" s="148" t="s">
        <v>960</v>
      </c>
      <c r="R71" s="148" t="s">
        <v>606</v>
      </c>
      <c r="S71" s="148" t="s">
        <v>961</v>
      </c>
      <c r="T71" s="149">
        <v>200</v>
      </c>
      <c r="U71" s="148" t="s">
        <v>591</v>
      </c>
      <c r="V71" s="150">
        <v>84812.66</v>
      </c>
      <c r="W71" s="151">
        <f>V71*4</f>
        <v>339250.64</v>
      </c>
    </row>
    <row r="72" spans="1:23" ht="15" customHeight="1" x14ac:dyDescent="0.25">
      <c r="A72" s="148">
        <v>770</v>
      </c>
      <c r="B72" s="148" t="s">
        <v>963</v>
      </c>
      <c r="C72" s="143" t="s">
        <v>2504</v>
      </c>
      <c r="D72" s="143" t="s">
        <v>2504</v>
      </c>
      <c r="E72" s="143" t="s">
        <v>2504</v>
      </c>
      <c r="F72" s="143" t="s">
        <v>2504</v>
      </c>
      <c r="G72" s="143" t="s">
        <v>2504</v>
      </c>
      <c r="H72" s="143" t="s">
        <v>2504</v>
      </c>
      <c r="I72" s="143" t="str">
        <f t="shared" si="16"/>
        <v>NO EXISTE</v>
      </c>
      <c r="J72" s="143" t="str">
        <f t="shared" si="17"/>
        <v>NO EXISTE</v>
      </c>
      <c r="K72" s="143" t="str">
        <f t="shared" si="18"/>
        <v>NO EXISTE</v>
      </c>
      <c r="L72" s="143" t="str">
        <f t="shared" si="19"/>
        <v>NO EXISTE</v>
      </c>
      <c r="M72" s="143" t="str">
        <f t="shared" si="20"/>
        <v>NO EXISTE</v>
      </c>
      <c r="N72" s="143" t="str">
        <f t="shared" si="21"/>
        <v>NO EXISTE</v>
      </c>
      <c r="O72" s="143" t="str">
        <f t="shared" si="22"/>
        <v>NO EXISTE</v>
      </c>
      <c r="P72" s="143" t="str">
        <f t="shared" si="23"/>
        <v>NO EXISTE</v>
      </c>
      <c r="Q72" s="148" t="s">
        <v>964</v>
      </c>
      <c r="R72" s="148" t="s">
        <v>606</v>
      </c>
      <c r="S72" s="148" t="s">
        <v>965</v>
      </c>
      <c r="T72" s="149">
        <v>19</v>
      </c>
      <c r="U72" s="148" t="s">
        <v>591</v>
      </c>
      <c r="V72" s="150">
        <v>8350.8700000000008</v>
      </c>
      <c r="W72" s="151">
        <f>V72*16</f>
        <v>133613.92000000001</v>
      </c>
    </row>
    <row r="73" spans="1:23" ht="15" customHeight="1" x14ac:dyDescent="0.25">
      <c r="A73" s="148">
        <v>771</v>
      </c>
      <c r="B73" s="148" t="s">
        <v>966</v>
      </c>
      <c r="C73" s="143" t="s">
        <v>2504</v>
      </c>
      <c r="D73" s="143" t="s">
        <v>2504</v>
      </c>
      <c r="E73" s="143" t="s">
        <v>2504</v>
      </c>
      <c r="F73" s="143" t="s">
        <v>2504</v>
      </c>
      <c r="G73" s="143" t="s">
        <v>2504</v>
      </c>
      <c r="H73" s="143" t="s">
        <v>2504</v>
      </c>
      <c r="I73" s="143" t="str">
        <f t="shared" si="16"/>
        <v>NO EXISTE</v>
      </c>
      <c r="J73" s="143" t="str">
        <f t="shared" si="17"/>
        <v>NO EXISTE</v>
      </c>
      <c r="K73" s="143" t="str">
        <f t="shared" si="18"/>
        <v>NO EXISTE</v>
      </c>
      <c r="L73" s="143" t="str">
        <f t="shared" si="19"/>
        <v>NO EXISTE</v>
      </c>
      <c r="M73" s="143" t="str">
        <f t="shared" si="20"/>
        <v>NO EXISTE</v>
      </c>
      <c r="N73" s="143" t="str">
        <f t="shared" si="21"/>
        <v>NO EXISTE</v>
      </c>
      <c r="O73" s="143" t="str">
        <f t="shared" si="22"/>
        <v>NO EXISTE</v>
      </c>
      <c r="P73" s="143" t="str">
        <f t="shared" si="23"/>
        <v>NO EXISTE</v>
      </c>
      <c r="Q73" s="148" t="s">
        <v>967</v>
      </c>
      <c r="R73" s="148" t="s">
        <v>606</v>
      </c>
      <c r="S73" s="148" t="s">
        <v>965</v>
      </c>
      <c r="T73" s="149">
        <v>200</v>
      </c>
      <c r="U73" s="148" t="s">
        <v>591</v>
      </c>
      <c r="V73" s="150">
        <v>88030.1</v>
      </c>
      <c r="W73" s="151">
        <f>V73*4</f>
        <v>352120.4</v>
      </c>
    </row>
    <row r="74" spans="1:23" ht="15" customHeight="1" x14ac:dyDescent="0.25">
      <c r="A74" s="148">
        <v>889</v>
      </c>
      <c r="B74" s="148" t="s">
        <v>1007</v>
      </c>
      <c r="C74" s="143" t="s">
        <v>2504</v>
      </c>
      <c r="D74" s="143" t="s">
        <v>2504</v>
      </c>
      <c r="E74" s="143" t="s">
        <v>2504</v>
      </c>
      <c r="F74" s="143" t="s">
        <v>2504</v>
      </c>
      <c r="G74" s="143" t="s">
        <v>2504</v>
      </c>
      <c r="H74" s="143" t="s">
        <v>2504</v>
      </c>
      <c r="I74" s="143" t="str">
        <f t="shared" si="16"/>
        <v>NO EXISTE</v>
      </c>
      <c r="J74" s="143" t="str">
        <f t="shared" si="17"/>
        <v>NO EXISTE</v>
      </c>
      <c r="K74" s="143" t="str">
        <f t="shared" si="18"/>
        <v>NO EXISTE</v>
      </c>
      <c r="L74" s="143" t="str">
        <f t="shared" si="19"/>
        <v>NO EXISTE</v>
      </c>
      <c r="M74" s="143" t="str">
        <f t="shared" si="20"/>
        <v>NO EXISTE</v>
      </c>
      <c r="N74" s="143" t="str">
        <f t="shared" si="21"/>
        <v>NO EXISTE</v>
      </c>
      <c r="O74" s="143" t="str">
        <f t="shared" si="22"/>
        <v>NO EXISTE</v>
      </c>
      <c r="P74" s="143" t="str">
        <f t="shared" si="23"/>
        <v>NO EXISTE</v>
      </c>
      <c r="Q74" s="148" t="s">
        <v>1008</v>
      </c>
      <c r="R74" s="148" t="s">
        <v>630</v>
      </c>
      <c r="S74" s="148" t="s">
        <v>1009</v>
      </c>
      <c r="T74" s="149">
        <v>1</v>
      </c>
      <c r="U74" s="148" t="s">
        <v>591</v>
      </c>
      <c r="V74" s="150">
        <v>158.75</v>
      </c>
      <c r="W74" s="151">
        <v>1830.3</v>
      </c>
    </row>
    <row r="75" spans="1:23" ht="15" customHeight="1" x14ac:dyDescent="0.25">
      <c r="A75" s="148">
        <v>898</v>
      </c>
      <c r="B75" s="148" t="s">
        <v>1013</v>
      </c>
      <c r="C75" s="143" t="s">
        <v>2504</v>
      </c>
      <c r="D75" s="143" t="s">
        <v>2504</v>
      </c>
      <c r="E75" s="143" t="s">
        <v>2504</v>
      </c>
      <c r="F75" s="143" t="s">
        <v>2504</v>
      </c>
      <c r="G75" s="143" t="s">
        <v>2504</v>
      </c>
      <c r="H75" s="143" t="s">
        <v>2504</v>
      </c>
      <c r="I75" s="143" t="str">
        <f t="shared" si="16"/>
        <v>NO EXISTE</v>
      </c>
      <c r="J75" s="143" t="str">
        <f t="shared" si="17"/>
        <v>NO EXISTE</v>
      </c>
      <c r="K75" s="143" t="str">
        <f t="shared" si="18"/>
        <v>NO EXISTE</v>
      </c>
      <c r="L75" s="143" t="str">
        <f t="shared" si="19"/>
        <v>NO EXISTE</v>
      </c>
      <c r="M75" s="143" t="str">
        <f t="shared" si="20"/>
        <v>NO EXISTE</v>
      </c>
      <c r="N75" s="143" t="str">
        <f t="shared" si="21"/>
        <v>NO EXISTE</v>
      </c>
      <c r="O75" s="143" t="str">
        <f t="shared" si="22"/>
        <v>NO EXISTE</v>
      </c>
      <c r="P75" s="143" t="str">
        <f t="shared" si="23"/>
        <v>NO EXISTE</v>
      </c>
      <c r="Q75" s="148" t="s">
        <v>1014</v>
      </c>
      <c r="R75" s="148" t="s">
        <v>594</v>
      </c>
      <c r="S75" s="148" t="s">
        <v>1012</v>
      </c>
      <c r="T75" s="149">
        <v>19</v>
      </c>
      <c r="U75" s="148" t="s">
        <v>591</v>
      </c>
      <c r="V75" s="150">
        <v>2705.2</v>
      </c>
      <c r="W75" s="151">
        <v>19372.91</v>
      </c>
    </row>
    <row r="76" spans="1:23" ht="15" customHeight="1" x14ac:dyDescent="0.25">
      <c r="A76" s="148">
        <v>899</v>
      </c>
      <c r="B76" s="148" t="s">
        <v>1015</v>
      </c>
      <c r="C76" s="143" t="s">
        <v>2504</v>
      </c>
      <c r="D76" s="143" t="s">
        <v>2504</v>
      </c>
      <c r="E76" s="143" t="s">
        <v>2504</v>
      </c>
      <c r="F76" s="143" t="s">
        <v>2504</v>
      </c>
      <c r="G76" s="143" t="s">
        <v>2504</v>
      </c>
      <c r="H76" s="143" t="s">
        <v>2504</v>
      </c>
      <c r="I76" s="143" t="str">
        <f t="shared" si="16"/>
        <v>NO EXISTE</v>
      </c>
      <c r="J76" s="143" t="str">
        <f t="shared" si="17"/>
        <v>NO EXISTE</v>
      </c>
      <c r="K76" s="143" t="str">
        <f t="shared" si="18"/>
        <v>NO EXISTE</v>
      </c>
      <c r="L76" s="143" t="str">
        <f t="shared" si="19"/>
        <v>NO EXISTE</v>
      </c>
      <c r="M76" s="143" t="str">
        <f t="shared" si="20"/>
        <v>NO EXISTE</v>
      </c>
      <c r="N76" s="143" t="str">
        <f t="shared" si="21"/>
        <v>NO EXISTE</v>
      </c>
      <c r="O76" s="143" t="str">
        <f t="shared" si="22"/>
        <v>NO EXISTE</v>
      </c>
      <c r="P76" s="143" t="str">
        <f t="shared" si="23"/>
        <v>NO EXISTE</v>
      </c>
      <c r="Q76" s="148" t="s">
        <v>1016</v>
      </c>
      <c r="R76" s="148" t="s">
        <v>594</v>
      </c>
      <c r="S76" s="148" t="s">
        <v>1012</v>
      </c>
      <c r="T76" s="149">
        <v>200</v>
      </c>
      <c r="U76" s="148" t="s">
        <v>591</v>
      </c>
      <c r="V76" s="150">
        <v>28167.87</v>
      </c>
      <c r="W76" s="151">
        <f>V76*16</f>
        <v>450685.92</v>
      </c>
    </row>
    <row r="77" spans="1:23" ht="15" customHeight="1" x14ac:dyDescent="0.25">
      <c r="A77" s="148">
        <v>904</v>
      </c>
      <c r="B77" s="148" t="s">
        <v>1019</v>
      </c>
      <c r="C77" s="143" t="s">
        <v>2504</v>
      </c>
      <c r="D77" s="143" t="s">
        <v>2504</v>
      </c>
      <c r="E77" s="143" t="s">
        <v>2504</v>
      </c>
      <c r="F77" s="143" t="s">
        <v>2504</v>
      </c>
      <c r="G77" s="143" t="s">
        <v>2504</v>
      </c>
      <c r="H77" s="143" t="s">
        <v>2504</v>
      </c>
      <c r="I77" s="143" t="str">
        <f t="shared" si="16"/>
        <v>NO EXISTE</v>
      </c>
      <c r="J77" s="143" t="str">
        <f t="shared" si="17"/>
        <v>NO EXISTE</v>
      </c>
      <c r="K77" s="143" t="str">
        <f t="shared" si="18"/>
        <v>NO EXISTE</v>
      </c>
      <c r="L77" s="143" t="str">
        <f t="shared" si="19"/>
        <v>NO EXISTE</v>
      </c>
      <c r="M77" s="143" t="str">
        <f t="shared" si="20"/>
        <v>NO EXISTE</v>
      </c>
      <c r="N77" s="143" t="str">
        <f t="shared" si="21"/>
        <v>NO EXISTE</v>
      </c>
      <c r="O77" s="143" t="str">
        <f t="shared" si="22"/>
        <v>NO EXISTE</v>
      </c>
      <c r="P77" s="143" t="str">
        <f t="shared" si="23"/>
        <v>NO EXISTE</v>
      </c>
      <c r="Q77" s="148" t="s">
        <v>1020</v>
      </c>
      <c r="R77" s="148" t="s">
        <v>694</v>
      </c>
      <c r="S77" s="148" t="s">
        <v>698</v>
      </c>
      <c r="T77" s="149">
        <v>1</v>
      </c>
      <c r="U77" s="148" t="s">
        <v>591</v>
      </c>
      <c r="V77" s="150">
        <v>115.36</v>
      </c>
      <c r="W77" s="151">
        <f>V77*4</f>
        <v>461.44</v>
      </c>
    </row>
    <row r="78" spans="1:23" ht="15" customHeight="1" x14ac:dyDescent="0.25">
      <c r="A78" s="148">
        <v>1090</v>
      </c>
      <c r="B78" s="148" t="s">
        <v>1027</v>
      </c>
      <c r="C78" s="143" t="s">
        <v>2504</v>
      </c>
      <c r="D78" s="143" t="s">
        <v>2504</v>
      </c>
      <c r="E78" s="143" t="s">
        <v>2504</v>
      </c>
      <c r="F78" s="143" t="s">
        <v>2504</v>
      </c>
      <c r="G78" s="143" t="s">
        <v>2504</v>
      </c>
      <c r="H78" s="143" t="s">
        <v>2504</v>
      </c>
      <c r="I78" s="143" t="str">
        <f t="shared" si="16"/>
        <v>NO EXISTE</v>
      </c>
      <c r="J78" s="143" t="str">
        <f t="shared" si="17"/>
        <v>NO EXISTE</v>
      </c>
      <c r="K78" s="143" t="str">
        <f t="shared" si="18"/>
        <v>NO EXISTE</v>
      </c>
      <c r="L78" s="143" t="str">
        <f t="shared" si="19"/>
        <v>NO EXISTE</v>
      </c>
      <c r="M78" s="143" t="str">
        <f t="shared" si="20"/>
        <v>NO EXISTE</v>
      </c>
      <c r="N78" s="143" t="str">
        <f t="shared" si="21"/>
        <v>NO EXISTE</v>
      </c>
      <c r="O78" s="143" t="str">
        <f t="shared" si="22"/>
        <v>NO EXISTE</v>
      </c>
      <c r="P78" s="143" t="str">
        <f t="shared" si="23"/>
        <v>NO EXISTE</v>
      </c>
      <c r="Q78" s="148" t="s">
        <v>1028</v>
      </c>
      <c r="R78" s="148" t="s">
        <v>705</v>
      </c>
      <c r="S78" s="148" t="s">
        <v>713</v>
      </c>
      <c r="T78" s="149">
        <v>7</v>
      </c>
      <c r="U78" s="148" t="s">
        <v>591</v>
      </c>
      <c r="V78" s="150">
        <v>792.14</v>
      </c>
      <c r="W78" s="151">
        <v>1825.26</v>
      </c>
    </row>
    <row r="79" spans="1:23" ht="15" customHeight="1" x14ac:dyDescent="0.25">
      <c r="A79" s="148">
        <v>1091</v>
      </c>
      <c r="B79" s="148" t="s">
        <v>1029</v>
      </c>
      <c r="C79" s="143" t="s">
        <v>2504</v>
      </c>
      <c r="D79" s="143" t="s">
        <v>2504</v>
      </c>
      <c r="E79" s="143" t="s">
        <v>2504</v>
      </c>
      <c r="F79" s="143" t="s">
        <v>2504</v>
      </c>
      <c r="G79" s="143" t="s">
        <v>2504</v>
      </c>
      <c r="H79" s="143" t="s">
        <v>2504</v>
      </c>
      <c r="I79" s="143" t="str">
        <f t="shared" si="16"/>
        <v>NO EXISTE</v>
      </c>
      <c r="J79" s="143" t="str">
        <f t="shared" si="17"/>
        <v>NO EXISTE</v>
      </c>
      <c r="K79" s="143" t="str">
        <f t="shared" si="18"/>
        <v>NO EXISTE</v>
      </c>
      <c r="L79" s="143" t="str">
        <f t="shared" si="19"/>
        <v>NO EXISTE</v>
      </c>
      <c r="M79" s="143" t="str">
        <f t="shared" si="20"/>
        <v>NO EXISTE</v>
      </c>
      <c r="N79" s="143" t="str">
        <f t="shared" si="21"/>
        <v>NO EXISTE</v>
      </c>
      <c r="O79" s="143" t="str">
        <f t="shared" si="22"/>
        <v>NO EXISTE</v>
      </c>
      <c r="P79" s="143" t="str">
        <f t="shared" si="23"/>
        <v>NO EXISTE</v>
      </c>
      <c r="Q79" s="148" t="s">
        <v>1030</v>
      </c>
      <c r="R79" s="148" t="s">
        <v>705</v>
      </c>
      <c r="S79" s="148" t="s">
        <v>713</v>
      </c>
      <c r="T79" s="149">
        <v>7</v>
      </c>
      <c r="U79" s="148" t="s">
        <v>591</v>
      </c>
      <c r="V79" s="150">
        <v>793.04</v>
      </c>
      <c r="W79" s="151">
        <v>19318.41</v>
      </c>
    </row>
    <row r="80" spans="1:23" ht="15" customHeight="1" x14ac:dyDescent="0.25">
      <c r="A80" s="148">
        <v>1108</v>
      </c>
      <c r="B80" s="148" t="s">
        <v>1034</v>
      </c>
      <c r="C80" s="143" t="s">
        <v>2504</v>
      </c>
      <c r="D80" s="143" t="s">
        <v>2504</v>
      </c>
      <c r="E80" s="143" t="s">
        <v>2504</v>
      </c>
      <c r="F80" s="143" t="s">
        <v>2504</v>
      </c>
      <c r="G80" s="143" t="s">
        <v>2504</v>
      </c>
      <c r="H80" s="143" t="s">
        <v>2504</v>
      </c>
      <c r="I80" s="143" t="str">
        <f t="shared" si="16"/>
        <v>NO EXISTE</v>
      </c>
      <c r="J80" s="143" t="str">
        <f t="shared" si="17"/>
        <v>NO EXISTE</v>
      </c>
      <c r="K80" s="143" t="str">
        <f t="shared" si="18"/>
        <v>NO EXISTE</v>
      </c>
      <c r="L80" s="143" t="str">
        <f t="shared" si="19"/>
        <v>NO EXISTE</v>
      </c>
      <c r="M80" s="143" t="str">
        <f t="shared" si="20"/>
        <v>NO EXISTE</v>
      </c>
      <c r="N80" s="143" t="str">
        <f t="shared" si="21"/>
        <v>NO EXISTE</v>
      </c>
      <c r="O80" s="143" t="str">
        <f t="shared" si="22"/>
        <v>NO EXISTE</v>
      </c>
      <c r="P80" s="143" t="str">
        <f t="shared" si="23"/>
        <v>NO EXISTE</v>
      </c>
      <c r="Q80" s="148" t="s">
        <v>1035</v>
      </c>
      <c r="R80" s="148" t="s">
        <v>630</v>
      </c>
      <c r="S80" s="148" t="s">
        <v>812</v>
      </c>
      <c r="T80" s="149">
        <v>200</v>
      </c>
      <c r="U80" s="148" t="s">
        <v>591</v>
      </c>
      <c r="V80" s="150">
        <v>43508.17</v>
      </c>
      <c r="W80" s="151">
        <f>V80*16</f>
        <v>696130.72</v>
      </c>
    </row>
    <row r="81" spans="1:23" ht="15" customHeight="1" x14ac:dyDescent="0.25">
      <c r="A81" s="148">
        <v>1162</v>
      </c>
      <c r="B81" s="148" t="s">
        <v>1039</v>
      </c>
      <c r="C81" s="143" t="s">
        <v>2504</v>
      </c>
      <c r="D81" s="143" t="s">
        <v>2504</v>
      </c>
      <c r="E81" s="143" t="s">
        <v>2504</v>
      </c>
      <c r="F81" s="143" t="s">
        <v>2504</v>
      </c>
      <c r="G81" s="143" t="s">
        <v>2504</v>
      </c>
      <c r="H81" s="143" t="s">
        <v>2504</v>
      </c>
      <c r="I81" s="143" t="str">
        <f t="shared" si="16"/>
        <v>NO EXISTE</v>
      </c>
      <c r="J81" s="143" t="str">
        <f t="shared" si="17"/>
        <v>NO EXISTE</v>
      </c>
      <c r="K81" s="143" t="str">
        <f t="shared" si="18"/>
        <v>NO EXISTE</v>
      </c>
      <c r="L81" s="143" t="str">
        <f t="shared" si="19"/>
        <v>NO EXISTE</v>
      </c>
      <c r="M81" s="143" t="str">
        <f t="shared" si="20"/>
        <v>NO EXISTE</v>
      </c>
      <c r="N81" s="143" t="str">
        <f t="shared" si="21"/>
        <v>NO EXISTE</v>
      </c>
      <c r="O81" s="143" t="str">
        <f t="shared" si="22"/>
        <v>NO EXISTE</v>
      </c>
      <c r="P81" s="143" t="str">
        <f t="shared" si="23"/>
        <v>NO EXISTE</v>
      </c>
      <c r="Q81" s="148" t="s">
        <v>1040</v>
      </c>
      <c r="R81" s="148" t="s">
        <v>594</v>
      </c>
      <c r="S81" s="148" t="s">
        <v>1012</v>
      </c>
      <c r="T81" s="149">
        <v>1</v>
      </c>
      <c r="U81" s="148" t="s">
        <v>591</v>
      </c>
      <c r="V81" s="150">
        <v>134.65</v>
      </c>
      <c r="W81" s="151">
        <f>V81*4</f>
        <v>538.6</v>
      </c>
    </row>
    <row r="82" spans="1:23" ht="15" customHeight="1" x14ac:dyDescent="0.25">
      <c r="A82" s="148">
        <v>1170</v>
      </c>
      <c r="B82" s="148" t="s">
        <v>1044</v>
      </c>
      <c r="C82" s="143" t="s">
        <v>2504</v>
      </c>
      <c r="D82" s="143" t="s">
        <v>2504</v>
      </c>
      <c r="E82" s="143" t="s">
        <v>2504</v>
      </c>
      <c r="F82" s="143" t="s">
        <v>2504</v>
      </c>
      <c r="G82" s="143" t="s">
        <v>2504</v>
      </c>
      <c r="H82" s="143" t="s">
        <v>2504</v>
      </c>
      <c r="I82" s="143" t="str">
        <f t="shared" si="16"/>
        <v>NO EXISTE</v>
      </c>
      <c r="J82" s="143" t="str">
        <f t="shared" si="17"/>
        <v>NO EXISTE</v>
      </c>
      <c r="K82" s="143" t="str">
        <f t="shared" si="18"/>
        <v>NO EXISTE</v>
      </c>
      <c r="L82" s="143" t="str">
        <f t="shared" si="19"/>
        <v>NO EXISTE</v>
      </c>
      <c r="M82" s="143" t="str">
        <f t="shared" si="20"/>
        <v>NO EXISTE</v>
      </c>
      <c r="N82" s="143" t="str">
        <f t="shared" si="21"/>
        <v>NO EXISTE</v>
      </c>
      <c r="O82" s="143" t="str">
        <f t="shared" si="22"/>
        <v>NO EXISTE</v>
      </c>
      <c r="P82" s="143" t="str">
        <f t="shared" si="23"/>
        <v>NO EXISTE</v>
      </c>
      <c r="Q82" s="148" t="s">
        <v>1045</v>
      </c>
      <c r="R82" s="148" t="s">
        <v>606</v>
      </c>
      <c r="S82" s="148" t="s">
        <v>661</v>
      </c>
      <c r="T82" s="149">
        <v>1</v>
      </c>
      <c r="U82" s="148" t="s">
        <v>591</v>
      </c>
      <c r="V82" s="150">
        <v>97.8</v>
      </c>
      <c r="W82" s="151">
        <f>V82*16</f>
        <v>1564.8</v>
      </c>
    </row>
    <row r="83" spans="1:23" ht="15" customHeight="1" x14ac:dyDescent="0.25">
      <c r="A83" s="148">
        <v>1293</v>
      </c>
      <c r="B83" s="148" t="s">
        <v>1085</v>
      </c>
      <c r="C83" s="143" t="s">
        <v>2504</v>
      </c>
      <c r="D83" s="143" t="s">
        <v>2504</v>
      </c>
      <c r="E83" s="143" t="s">
        <v>2504</v>
      </c>
      <c r="F83" s="143" t="s">
        <v>2504</v>
      </c>
      <c r="G83" s="143" t="s">
        <v>2504</v>
      </c>
      <c r="H83" s="143" t="s">
        <v>2504</v>
      </c>
      <c r="I83" s="143" t="str">
        <f t="shared" si="16"/>
        <v>NO EXISTE</v>
      </c>
      <c r="J83" s="143" t="str">
        <f t="shared" si="17"/>
        <v>NO EXISTE</v>
      </c>
      <c r="K83" s="143" t="str">
        <f t="shared" si="18"/>
        <v>NO EXISTE</v>
      </c>
      <c r="L83" s="143" t="str">
        <f t="shared" si="19"/>
        <v>NO EXISTE</v>
      </c>
      <c r="M83" s="143" t="str">
        <f t="shared" si="20"/>
        <v>NO EXISTE</v>
      </c>
      <c r="N83" s="143" t="str">
        <f t="shared" si="21"/>
        <v>NO EXISTE</v>
      </c>
      <c r="O83" s="143" t="str">
        <f t="shared" si="22"/>
        <v>NO EXISTE</v>
      </c>
      <c r="P83" s="143" t="str">
        <f t="shared" si="23"/>
        <v>NO EXISTE</v>
      </c>
      <c r="Q83" s="148" t="s">
        <v>1086</v>
      </c>
      <c r="R83" s="148" t="s">
        <v>705</v>
      </c>
      <c r="S83" s="148" t="s">
        <v>1081</v>
      </c>
      <c r="T83" s="149">
        <v>7</v>
      </c>
      <c r="U83" s="148" t="s">
        <v>591</v>
      </c>
      <c r="V83" s="150">
        <v>822.82</v>
      </c>
      <c r="W83" s="151">
        <f>V83*4</f>
        <v>3291.28</v>
      </c>
    </row>
    <row r="84" spans="1:23" ht="15" customHeight="1" x14ac:dyDescent="0.25">
      <c r="A84" s="148">
        <v>1817</v>
      </c>
      <c r="B84" s="148" t="s">
        <v>1098</v>
      </c>
      <c r="C84" s="143" t="s">
        <v>2504</v>
      </c>
      <c r="D84" s="143" t="s">
        <v>2504</v>
      </c>
      <c r="E84" s="143" t="s">
        <v>2504</v>
      </c>
      <c r="F84" s="143" t="s">
        <v>2504</v>
      </c>
      <c r="G84" s="143" t="s">
        <v>2504</v>
      </c>
      <c r="H84" s="143" t="s">
        <v>2504</v>
      </c>
      <c r="I84" s="143" t="str">
        <f t="shared" si="16"/>
        <v>NO EXISTE</v>
      </c>
      <c r="J84" s="143" t="str">
        <f t="shared" si="17"/>
        <v>NO EXISTE</v>
      </c>
      <c r="K84" s="143" t="str">
        <f t="shared" si="18"/>
        <v>NO EXISTE</v>
      </c>
      <c r="L84" s="143" t="str">
        <f t="shared" si="19"/>
        <v>NO EXISTE</v>
      </c>
      <c r="M84" s="143" t="str">
        <f t="shared" si="20"/>
        <v>NO EXISTE</v>
      </c>
      <c r="N84" s="143" t="str">
        <f t="shared" si="21"/>
        <v>NO EXISTE</v>
      </c>
      <c r="O84" s="143" t="str">
        <f t="shared" si="22"/>
        <v>NO EXISTE</v>
      </c>
      <c r="P84" s="143" t="str">
        <f t="shared" si="23"/>
        <v>NO EXISTE</v>
      </c>
      <c r="Q84" s="148" t="s">
        <v>1099</v>
      </c>
      <c r="R84" s="148" t="s">
        <v>594</v>
      </c>
      <c r="S84" s="148" t="s">
        <v>674</v>
      </c>
      <c r="T84" s="149">
        <v>0.25</v>
      </c>
      <c r="U84" s="148" t="s">
        <v>591</v>
      </c>
      <c r="V84" s="150">
        <v>34.29</v>
      </c>
      <c r="W84" s="151">
        <v>1819.8</v>
      </c>
    </row>
    <row r="85" spans="1:23" ht="15" customHeight="1" x14ac:dyDescent="0.25">
      <c r="A85" s="148">
        <v>1967</v>
      </c>
      <c r="B85" s="148" t="s">
        <v>1110</v>
      </c>
      <c r="C85" s="143" t="s">
        <v>2504</v>
      </c>
      <c r="D85" s="143" t="s">
        <v>2504</v>
      </c>
      <c r="E85" s="143" t="s">
        <v>2504</v>
      </c>
      <c r="F85" s="143" t="s">
        <v>2504</v>
      </c>
      <c r="G85" s="143" t="s">
        <v>2504</v>
      </c>
      <c r="H85" s="143" t="s">
        <v>2504</v>
      </c>
      <c r="I85" s="143" t="str">
        <f t="shared" si="16"/>
        <v>NO EXISTE</v>
      </c>
      <c r="J85" s="143" t="str">
        <f t="shared" si="17"/>
        <v>NO EXISTE</v>
      </c>
      <c r="K85" s="143" t="str">
        <f t="shared" si="18"/>
        <v>NO EXISTE</v>
      </c>
      <c r="L85" s="143" t="str">
        <f t="shared" si="19"/>
        <v>NO EXISTE</v>
      </c>
      <c r="M85" s="143" t="str">
        <f t="shared" si="20"/>
        <v>NO EXISTE</v>
      </c>
      <c r="N85" s="143" t="str">
        <f t="shared" si="21"/>
        <v>NO EXISTE</v>
      </c>
      <c r="O85" s="143" t="str">
        <f t="shared" si="22"/>
        <v>NO EXISTE</v>
      </c>
      <c r="P85" s="143" t="str">
        <f t="shared" si="23"/>
        <v>NO EXISTE</v>
      </c>
      <c r="Q85" s="148" t="s">
        <v>1111</v>
      </c>
      <c r="R85" s="148" t="s">
        <v>600</v>
      </c>
      <c r="S85" s="148" t="s">
        <v>613</v>
      </c>
      <c r="T85" s="149">
        <v>200</v>
      </c>
      <c r="U85" s="148" t="s">
        <v>591</v>
      </c>
      <c r="V85" s="150">
        <v>12303.7</v>
      </c>
      <c r="W85" s="151">
        <v>19259.939999999999</v>
      </c>
    </row>
    <row r="86" spans="1:23" ht="15" customHeight="1" x14ac:dyDescent="0.25">
      <c r="A86" s="148">
        <v>1971</v>
      </c>
      <c r="B86" s="148" t="s">
        <v>1114</v>
      </c>
      <c r="C86" s="143" t="s">
        <v>2504</v>
      </c>
      <c r="D86" s="143" t="s">
        <v>2504</v>
      </c>
      <c r="E86" s="143" t="s">
        <v>2504</v>
      </c>
      <c r="F86" s="143" t="s">
        <v>2504</v>
      </c>
      <c r="G86" s="143" t="s">
        <v>2504</v>
      </c>
      <c r="H86" s="143" t="s">
        <v>2504</v>
      </c>
      <c r="I86" s="143" t="str">
        <f t="shared" si="16"/>
        <v>NO EXISTE</v>
      </c>
      <c r="J86" s="143" t="str">
        <f t="shared" si="17"/>
        <v>NO EXISTE</v>
      </c>
      <c r="K86" s="143" t="str">
        <f t="shared" si="18"/>
        <v>NO EXISTE</v>
      </c>
      <c r="L86" s="143" t="str">
        <f t="shared" si="19"/>
        <v>NO EXISTE</v>
      </c>
      <c r="M86" s="143" t="str">
        <f t="shared" si="20"/>
        <v>NO EXISTE</v>
      </c>
      <c r="N86" s="143" t="str">
        <f t="shared" si="21"/>
        <v>NO EXISTE</v>
      </c>
      <c r="O86" s="143" t="str">
        <f t="shared" si="22"/>
        <v>NO EXISTE</v>
      </c>
      <c r="P86" s="143" t="str">
        <f t="shared" si="23"/>
        <v>NO EXISTE</v>
      </c>
      <c r="Q86" s="148" t="s">
        <v>1115</v>
      </c>
      <c r="R86" s="148" t="s">
        <v>600</v>
      </c>
      <c r="S86" s="148" t="s">
        <v>613</v>
      </c>
      <c r="T86" s="149">
        <v>20</v>
      </c>
      <c r="U86" s="148" t="s">
        <v>591</v>
      </c>
      <c r="V86" s="150">
        <v>1931.92</v>
      </c>
      <c r="W86" s="151">
        <f>V86*1000</f>
        <v>1931920</v>
      </c>
    </row>
    <row r="87" spans="1:23" ht="15" customHeight="1" x14ac:dyDescent="0.25">
      <c r="A87" s="148">
        <v>1972</v>
      </c>
      <c r="B87" s="148" t="s">
        <v>1116</v>
      </c>
      <c r="C87" s="143" t="s">
        <v>2504</v>
      </c>
      <c r="D87" s="143" t="s">
        <v>2504</v>
      </c>
      <c r="E87" s="143" t="s">
        <v>2504</v>
      </c>
      <c r="F87" s="143" t="s">
        <v>2504</v>
      </c>
      <c r="G87" s="143" t="s">
        <v>2504</v>
      </c>
      <c r="H87" s="143" t="s">
        <v>2504</v>
      </c>
      <c r="I87" s="143" t="str">
        <f t="shared" si="16"/>
        <v>NO EXISTE</v>
      </c>
      <c r="J87" s="143" t="str">
        <f t="shared" si="17"/>
        <v>NO EXISTE</v>
      </c>
      <c r="K87" s="143" t="str">
        <f t="shared" si="18"/>
        <v>NO EXISTE</v>
      </c>
      <c r="L87" s="143" t="str">
        <f t="shared" si="19"/>
        <v>NO EXISTE</v>
      </c>
      <c r="M87" s="143" t="str">
        <f t="shared" si="20"/>
        <v>NO EXISTE</v>
      </c>
      <c r="N87" s="143" t="str">
        <f t="shared" si="21"/>
        <v>NO EXISTE</v>
      </c>
      <c r="O87" s="143" t="str">
        <f t="shared" si="22"/>
        <v>NO EXISTE</v>
      </c>
      <c r="P87" s="143" t="str">
        <f t="shared" si="23"/>
        <v>NO EXISTE</v>
      </c>
      <c r="Q87" s="148" t="s">
        <v>1117</v>
      </c>
      <c r="R87" s="148" t="s">
        <v>600</v>
      </c>
      <c r="S87" s="148" t="s">
        <v>613</v>
      </c>
      <c r="T87" s="149">
        <v>20</v>
      </c>
      <c r="U87" s="148" t="s">
        <v>591</v>
      </c>
      <c r="V87" s="150">
        <v>1189.6099999999999</v>
      </c>
      <c r="W87" s="151">
        <v>27038.639999999999</v>
      </c>
    </row>
    <row r="88" spans="1:23" ht="15" customHeight="1" x14ac:dyDescent="0.25">
      <c r="A88" s="148">
        <v>1973</v>
      </c>
      <c r="B88" s="148" t="s">
        <v>1118</v>
      </c>
      <c r="C88" s="143" t="s">
        <v>2504</v>
      </c>
      <c r="D88" s="143" t="s">
        <v>2504</v>
      </c>
      <c r="E88" s="143" t="s">
        <v>2504</v>
      </c>
      <c r="F88" s="143" t="s">
        <v>2504</v>
      </c>
      <c r="G88" s="143" t="s">
        <v>2504</v>
      </c>
      <c r="H88" s="143" t="s">
        <v>2504</v>
      </c>
      <c r="I88" s="143" t="str">
        <f t="shared" si="16"/>
        <v>NO EXISTE</v>
      </c>
      <c r="J88" s="143" t="str">
        <f t="shared" si="17"/>
        <v>NO EXISTE</v>
      </c>
      <c r="K88" s="143" t="str">
        <f t="shared" si="18"/>
        <v>NO EXISTE</v>
      </c>
      <c r="L88" s="143" t="str">
        <f t="shared" si="19"/>
        <v>NO EXISTE</v>
      </c>
      <c r="M88" s="143" t="str">
        <f t="shared" si="20"/>
        <v>NO EXISTE</v>
      </c>
      <c r="N88" s="143" t="str">
        <f t="shared" si="21"/>
        <v>NO EXISTE</v>
      </c>
      <c r="O88" s="143" t="str">
        <f t="shared" si="22"/>
        <v>NO EXISTE</v>
      </c>
      <c r="P88" s="143" t="str">
        <f t="shared" si="23"/>
        <v>NO EXISTE</v>
      </c>
      <c r="Q88" s="148" t="s">
        <v>1119</v>
      </c>
      <c r="R88" s="148" t="s">
        <v>600</v>
      </c>
      <c r="S88" s="148" t="s">
        <v>613</v>
      </c>
      <c r="T88" s="149">
        <v>20</v>
      </c>
      <c r="U88" s="148" t="s">
        <v>591</v>
      </c>
      <c r="V88" s="150">
        <v>2417.38</v>
      </c>
      <c r="W88" s="151">
        <v>16163.94</v>
      </c>
    </row>
    <row r="89" spans="1:23" ht="15" customHeight="1" x14ac:dyDescent="0.25">
      <c r="A89" s="148">
        <v>10004</v>
      </c>
      <c r="B89" s="148" t="s">
        <v>1122</v>
      </c>
      <c r="C89" s="143" t="s">
        <v>2504</v>
      </c>
      <c r="D89" s="143" t="s">
        <v>2504</v>
      </c>
      <c r="E89" s="143" t="s">
        <v>2504</v>
      </c>
      <c r="F89" s="143" t="s">
        <v>2504</v>
      </c>
      <c r="G89" s="143" t="s">
        <v>2504</v>
      </c>
      <c r="H89" s="143" t="s">
        <v>2504</v>
      </c>
      <c r="I89" s="143" t="str">
        <f t="shared" si="16"/>
        <v>NO EXISTE</v>
      </c>
      <c r="J89" s="143" t="str">
        <f t="shared" si="17"/>
        <v>NO EXISTE</v>
      </c>
      <c r="K89" s="143" t="str">
        <f t="shared" si="18"/>
        <v>NO EXISTE</v>
      </c>
      <c r="L89" s="143" t="str">
        <f t="shared" si="19"/>
        <v>NO EXISTE</v>
      </c>
      <c r="M89" s="143" t="str">
        <f t="shared" si="20"/>
        <v>NO EXISTE</v>
      </c>
      <c r="N89" s="143" t="str">
        <f t="shared" si="21"/>
        <v>NO EXISTE</v>
      </c>
      <c r="O89" s="143" t="str">
        <f t="shared" si="22"/>
        <v>NO EXISTE</v>
      </c>
      <c r="P89" s="143" t="str">
        <f t="shared" si="23"/>
        <v>NO EXISTE</v>
      </c>
      <c r="Q89" s="148" t="s">
        <v>1123</v>
      </c>
      <c r="R89" s="148" t="s">
        <v>1025</v>
      </c>
      <c r="S89" s="148" t="s">
        <v>1121</v>
      </c>
      <c r="T89" s="149">
        <v>1</v>
      </c>
      <c r="U89" s="148" t="s">
        <v>591</v>
      </c>
      <c r="V89" s="150">
        <v>95.47</v>
      </c>
      <c r="W89" s="151">
        <f>V89*24</f>
        <v>2291.2799999999997</v>
      </c>
    </row>
    <row r="90" spans="1:23" ht="15" customHeight="1" x14ac:dyDescent="0.25">
      <c r="A90" s="148">
        <v>10005</v>
      </c>
      <c r="B90" s="148" t="s">
        <v>1124</v>
      </c>
      <c r="C90" s="143" t="s">
        <v>2504</v>
      </c>
      <c r="D90" s="143" t="s">
        <v>2504</v>
      </c>
      <c r="E90" s="143" t="s">
        <v>2504</v>
      </c>
      <c r="F90" s="143" t="s">
        <v>2504</v>
      </c>
      <c r="G90" s="143" t="s">
        <v>2504</v>
      </c>
      <c r="H90" s="143" t="s">
        <v>2504</v>
      </c>
      <c r="I90" s="143" t="str">
        <f t="shared" si="16"/>
        <v>NO EXISTE</v>
      </c>
      <c r="J90" s="143" t="str">
        <f t="shared" si="17"/>
        <v>NO EXISTE</v>
      </c>
      <c r="K90" s="143" t="str">
        <f t="shared" si="18"/>
        <v>NO EXISTE</v>
      </c>
      <c r="L90" s="143" t="str">
        <f t="shared" si="19"/>
        <v>NO EXISTE</v>
      </c>
      <c r="M90" s="143" t="str">
        <f t="shared" si="20"/>
        <v>NO EXISTE</v>
      </c>
      <c r="N90" s="143" t="str">
        <f t="shared" si="21"/>
        <v>NO EXISTE</v>
      </c>
      <c r="O90" s="143" t="str">
        <f t="shared" si="22"/>
        <v>NO EXISTE</v>
      </c>
      <c r="P90" s="143" t="str">
        <f t="shared" si="23"/>
        <v>NO EXISTE</v>
      </c>
      <c r="Q90" s="148" t="s">
        <v>1125</v>
      </c>
      <c r="R90" s="148" t="s">
        <v>1025</v>
      </c>
      <c r="S90" s="148" t="s">
        <v>1121</v>
      </c>
      <c r="T90" s="149">
        <v>1</v>
      </c>
      <c r="U90" s="148" t="s">
        <v>591</v>
      </c>
      <c r="V90" s="150">
        <v>96.42</v>
      </c>
      <c r="W90" s="151">
        <f>V90*24</f>
        <v>2314.08</v>
      </c>
    </row>
    <row r="91" spans="1:23" ht="15" customHeight="1" x14ac:dyDescent="0.25">
      <c r="A91" s="148">
        <v>10006</v>
      </c>
      <c r="B91" s="148" t="s">
        <v>1126</v>
      </c>
      <c r="C91" s="143" t="s">
        <v>2504</v>
      </c>
      <c r="D91" s="143" t="s">
        <v>2504</v>
      </c>
      <c r="E91" s="143" t="s">
        <v>2504</v>
      </c>
      <c r="F91" s="143" t="s">
        <v>2504</v>
      </c>
      <c r="G91" s="143" t="s">
        <v>2504</v>
      </c>
      <c r="H91" s="143" t="s">
        <v>2504</v>
      </c>
      <c r="I91" s="143" t="str">
        <f t="shared" si="16"/>
        <v>NO EXISTE</v>
      </c>
      <c r="J91" s="143" t="str">
        <f t="shared" si="17"/>
        <v>NO EXISTE</v>
      </c>
      <c r="K91" s="143" t="str">
        <f t="shared" si="18"/>
        <v>NO EXISTE</v>
      </c>
      <c r="L91" s="143" t="str">
        <f t="shared" si="19"/>
        <v>NO EXISTE</v>
      </c>
      <c r="M91" s="143" t="str">
        <f t="shared" si="20"/>
        <v>NO EXISTE</v>
      </c>
      <c r="N91" s="143" t="str">
        <f t="shared" si="21"/>
        <v>NO EXISTE</v>
      </c>
      <c r="O91" s="143" t="str">
        <f t="shared" si="22"/>
        <v>NO EXISTE</v>
      </c>
      <c r="P91" s="143" t="str">
        <f t="shared" si="23"/>
        <v>NO EXISTE</v>
      </c>
      <c r="Q91" s="148" t="s">
        <v>1127</v>
      </c>
      <c r="R91" s="148" t="s">
        <v>1025</v>
      </c>
      <c r="S91" s="148" t="s">
        <v>1121</v>
      </c>
      <c r="T91" s="149">
        <v>1</v>
      </c>
      <c r="U91" s="148" t="s">
        <v>591</v>
      </c>
      <c r="V91" s="150">
        <v>97.16</v>
      </c>
      <c r="W91" s="151">
        <f>V91*12</f>
        <v>1165.92</v>
      </c>
    </row>
    <row r="92" spans="1:23" ht="15" customHeight="1" x14ac:dyDescent="0.25">
      <c r="A92" s="148">
        <v>10007</v>
      </c>
      <c r="B92" s="148" t="s">
        <v>1128</v>
      </c>
      <c r="C92" s="143" t="s">
        <v>2504</v>
      </c>
      <c r="D92" s="143" t="s">
        <v>2504</v>
      </c>
      <c r="E92" s="143" t="s">
        <v>2504</v>
      </c>
      <c r="F92" s="143" t="s">
        <v>2504</v>
      </c>
      <c r="G92" s="143" t="s">
        <v>2504</v>
      </c>
      <c r="H92" s="143" t="s">
        <v>2504</v>
      </c>
      <c r="I92" s="143" t="str">
        <f t="shared" si="16"/>
        <v>NO EXISTE</v>
      </c>
      <c r="J92" s="143" t="str">
        <f t="shared" si="17"/>
        <v>NO EXISTE</v>
      </c>
      <c r="K92" s="143" t="str">
        <f t="shared" si="18"/>
        <v>NO EXISTE</v>
      </c>
      <c r="L92" s="143" t="str">
        <f t="shared" si="19"/>
        <v>NO EXISTE</v>
      </c>
      <c r="M92" s="143" t="str">
        <f t="shared" si="20"/>
        <v>NO EXISTE</v>
      </c>
      <c r="N92" s="143" t="str">
        <f t="shared" si="21"/>
        <v>NO EXISTE</v>
      </c>
      <c r="O92" s="143" t="str">
        <f t="shared" si="22"/>
        <v>NO EXISTE</v>
      </c>
      <c r="P92" s="143" t="str">
        <f t="shared" si="23"/>
        <v>NO EXISTE</v>
      </c>
      <c r="Q92" s="148" t="s">
        <v>1129</v>
      </c>
      <c r="R92" s="148" t="s">
        <v>1025</v>
      </c>
      <c r="S92" s="148" t="s">
        <v>1121</v>
      </c>
      <c r="T92" s="149">
        <v>1</v>
      </c>
      <c r="U92" s="148" t="s">
        <v>591</v>
      </c>
      <c r="V92" s="150">
        <v>97.51</v>
      </c>
      <c r="W92" s="151">
        <v>1740.67</v>
      </c>
    </row>
    <row r="93" spans="1:23" ht="15" customHeight="1" x14ac:dyDescent="0.25">
      <c r="A93" s="148">
        <v>10008</v>
      </c>
      <c r="B93" s="148" t="s">
        <v>1130</v>
      </c>
      <c r="C93" s="143" t="s">
        <v>2504</v>
      </c>
      <c r="D93" s="143" t="s">
        <v>2504</v>
      </c>
      <c r="E93" s="143" t="s">
        <v>2504</v>
      </c>
      <c r="F93" s="143" t="s">
        <v>2504</v>
      </c>
      <c r="G93" s="143" t="s">
        <v>2504</v>
      </c>
      <c r="H93" s="143" t="s">
        <v>2504</v>
      </c>
      <c r="I93" s="143" t="str">
        <f t="shared" si="16"/>
        <v>NO EXISTE</v>
      </c>
      <c r="J93" s="143" t="str">
        <f t="shared" si="17"/>
        <v>NO EXISTE</v>
      </c>
      <c r="K93" s="143" t="str">
        <f t="shared" si="18"/>
        <v>NO EXISTE</v>
      </c>
      <c r="L93" s="143" t="str">
        <f t="shared" si="19"/>
        <v>NO EXISTE</v>
      </c>
      <c r="M93" s="143" t="str">
        <f t="shared" si="20"/>
        <v>NO EXISTE</v>
      </c>
      <c r="N93" s="143" t="str">
        <f t="shared" si="21"/>
        <v>NO EXISTE</v>
      </c>
      <c r="O93" s="143" t="str">
        <f t="shared" si="22"/>
        <v>NO EXISTE</v>
      </c>
      <c r="P93" s="143" t="str">
        <f t="shared" si="23"/>
        <v>NO EXISTE</v>
      </c>
      <c r="Q93" s="148" t="s">
        <v>1131</v>
      </c>
      <c r="R93" s="148" t="s">
        <v>1025</v>
      </c>
      <c r="S93" s="148" t="s">
        <v>1121</v>
      </c>
      <c r="T93" s="149">
        <v>1</v>
      </c>
      <c r="U93" s="148" t="s">
        <v>591</v>
      </c>
      <c r="V93" s="150">
        <v>97.46</v>
      </c>
      <c r="W93" s="151">
        <v>18765.650000000001</v>
      </c>
    </row>
    <row r="94" spans="1:23" ht="15" customHeight="1" x14ac:dyDescent="0.25">
      <c r="A94" s="148">
        <v>10015</v>
      </c>
      <c r="B94" s="148" t="s">
        <v>1132</v>
      </c>
      <c r="C94" s="143" t="s">
        <v>2504</v>
      </c>
      <c r="D94" s="143" t="s">
        <v>2504</v>
      </c>
      <c r="E94" s="143" t="s">
        <v>2504</v>
      </c>
      <c r="F94" s="143" t="s">
        <v>2504</v>
      </c>
      <c r="G94" s="143" t="s">
        <v>2504</v>
      </c>
      <c r="H94" s="143" t="s">
        <v>2504</v>
      </c>
      <c r="I94" s="143" t="str">
        <f t="shared" si="16"/>
        <v>NO EXISTE</v>
      </c>
      <c r="J94" s="143" t="str">
        <f t="shared" si="17"/>
        <v>NO EXISTE</v>
      </c>
      <c r="K94" s="143" t="str">
        <f t="shared" si="18"/>
        <v>NO EXISTE</v>
      </c>
      <c r="L94" s="143" t="str">
        <f t="shared" si="19"/>
        <v>NO EXISTE</v>
      </c>
      <c r="M94" s="143" t="str">
        <f t="shared" si="20"/>
        <v>NO EXISTE</v>
      </c>
      <c r="N94" s="143" t="str">
        <f t="shared" si="21"/>
        <v>NO EXISTE</v>
      </c>
      <c r="O94" s="143" t="str">
        <f t="shared" si="22"/>
        <v>NO EXISTE</v>
      </c>
      <c r="P94" s="143" t="str">
        <f t="shared" si="23"/>
        <v>NO EXISTE</v>
      </c>
      <c r="Q94" s="148" t="s">
        <v>1133</v>
      </c>
      <c r="R94" s="148" t="s">
        <v>1025</v>
      </c>
      <c r="S94" s="148" t="s">
        <v>1134</v>
      </c>
      <c r="T94" s="149">
        <v>1</v>
      </c>
      <c r="U94" s="148" t="s">
        <v>591</v>
      </c>
      <c r="V94" s="150">
        <v>115.15</v>
      </c>
      <c r="W94" s="151">
        <v>1736.68</v>
      </c>
    </row>
    <row r="95" spans="1:23" ht="15" customHeight="1" x14ac:dyDescent="0.25">
      <c r="A95" s="148">
        <v>10016</v>
      </c>
      <c r="B95" s="148" t="s">
        <v>1135</v>
      </c>
      <c r="C95" s="143" t="s">
        <v>2504</v>
      </c>
      <c r="D95" s="143" t="s">
        <v>2504</v>
      </c>
      <c r="E95" s="143" t="s">
        <v>2504</v>
      </c>
      <c r="F95" s="143" t="s">
        <v>2504</v>
      </c>
      <c r="G95" s="143" t="s">
        <v>2504</v>
      </c>
      <c r="H95" s="143" t="s">
        <v>2504</v>
      </c>
      <c r="I95" s="143" t="str">
        <f t="shared" si="16"/>
        <v>NO EXISTE</v>
      </c>
      <c r="J95" s="143" t="str">
        <f t="shared" si="17"/>
        <v>NO EXISTE</v>
      </c>
      <c r="K95" s="143" t="str">
        <f t="shared" si="18"/>
        <v>NO EXISTE</v>
      </c>
      <c r="L95" s="143" t="str">
        <f t="shared" si="19"/>
        <v>NO EXISTE</v>
      </c>
      <c r="M95" s="143" t="str">
        <f t="shared" si="20"/>
        <v>NO EXISTE</v>
      </c>
      <c r="N95" s="143" t="str">
        <f t="shared" si="21"/>
        <v>NO EXISTE</v>
      </c>
      <c r="O95" s="143" t="str">
        <f t="shared" si="22"/>
        <v>NO EXISTE</v>
      </c>
      <c r="P95" s="143" t="str">
        <f t="shared" si="23"/>
        <v>NO EXISTE</v>
      </c>
      <c r="Q95" s="148" t="s">
        <v>1136</v>
      </c>
      <c r="R95" s="148" t="s">
        <v>1025</v>
      </c>
      <c r="S95" s="148" t="s">
        <v>1134</v>
      </c>
      <c r="T95" s="149">
        <v>1</v>
      </c>
      <c r="U95" s="148" t="s">
        <v>591</v>
      </c>
      <c r="V95" s="150">
        <v>128.46</v>
      </c>
      <c r="W95" s="151">
        <v>1735.21</v>
      </c>
    </row>
    <row r="96" spans="1:23" ht="15" customHeight="1" x14ac:dyDescent="0.25">
      <c r="A96" s="148">
        <v>10019</v>
      </c>
      <c r="B96" s="148" t="s">
        <v>1137</v>
      </c>
      <c r="C96" s="143" t="s">
        <v>2504</v>
      </c>
      <c r="D96" s="143" t="s">
        <v>2504</v>
      </c>
      <c r="E96" s="143" t="s">
        <v>2504</v>
      </c>
      <c r="F96" s="143" t="s">
        <v>2504</v>
      </c>
      <c r="G96" s="143" t="s">
        <v>2504</v>
      </c>
      <c r="H96" s="143" t="s">
        <v>2504</v>
      </c>
      <c r="I96" s="143" t="str">
        <f t="shared" si="16"/>
        <v>NO EXISTE</v>
      </c>
      <c r="J96" s="143" t="str">
        <f t="shared" si="17"/>
        <v>NO EXISTE</v>
      </c>
      <c r="K96" s="143" t="str">
        <f t="shared" si="18"/>
        <v>NO EXISTE</v>
      </c>
      <c r="L96" s="143" t="str">
        <f t="shared" si="19"/>
        <v>NO EXISTE</v>
      </c>
      <c r="M96" s="143" t="str">
        <f t="shared" si="20"/>
        <v>NO EXISTE</v>
      </c>
      <c r="N96" s="143" t="str">
        <f t="shared" si="21"/>
        <v>NO EXISTE</v>
      </c>
      <c r="O96" s="143" t="str">
        <f t="shared" si="22"/>
        <v>NO EXISTE</v>
      </c>
      <c r="P96" s="143" t="str">
        <f t="shared" si="23"/>
        <v>NO EXISTE</v>
      </c>
      <c r="Q96" s="148" t="s">
        <v>1138</v>
      </c>
      <c r="R96" s="148" t="s">
        <v>1025</v>
      </c>
      <c r="S96" s="148" t="s">
        <v>1139</v>
      </c>
      <c r="T96" s="149">
        <v>1</v>
      </c>
      <c r="U96" s="148" t="s">
        <v>591</v>
      </c>
      <c r="V96" s="150">
        <v>101.15</v>
      </c>
      <c r="W96" s="151">
        <v>1738.73</v>
      </c>
    </row>
    <row r="97" spans="1:23" ht="15" customHeight="1" x14ac:dyDescent="0.25">
      <c r="A97" s="148">
        <v>10022</v>
      </c>
      <c r="B97" s="148" t="s">
        <v>1140</v>
      </c>
      <c r="C97" s="143" t="s">
        <v>2504</v>
      </c>
      <c r="D97" s="143" t="s">
        <v>2504</v>
      </c>
      <c r="E97" s="143" t="s">
        <v>2504</v>
      </c>
      <c r="F97" s="143" t="s">
        <v>2504</v>
      </c>
      <c r="G97" s="143" t="s">
        <v>2504</v>
      </c>
      <c r="H97" s="143" t="s">
        <v>2504</v>
      </c>
      <c r="I97" s="143" t="str">
        <f t="shared" si="16"/>
        <v>NO EXISTE</v>
      </c>
      <c r="J97" s="143" t="str">
        <f t="shared" si="17"/>
        <v>NO EXISTE</v>
      </c>
      <c r="K97" s="143" t="str">
        <f t="shared" si="18"/>
        <v>NO EXISTE</v>
      </c>
      <c r="L97" s="143" t="str">
        <f t="shared" si="19"/>
        <v>NO EXISTE</v>
      </c>
      <c r="M97" s="143" t="str">
        <f t="shared" si="20"/>
        <v>NO EXISTE</v>
      </c>
      <c r="N97" s="143" t="str">
        <f t="shared" si="21"/>
        <v>NO EXISTE</v>
      </c>
      <c r="O97" s="143" t="str">
        <f t="shared" si="22"/>
        <v>NO EXISTE</v>
      </c>
      <c r="P97" s="143" t="str">
        <f t="shared" si="23"/>
        <v>NO EXISTE</v>
      </c>
      <c r="Q97" s="148" t="s">
        <v>1141</v>
      </c>
      <c r="R97" s="148" t="s">
        <v>1025</v>
      </c>
      <c r="S97" s="148" t="s">
        <v>1142</v>
      </c>
      <c r="T97" s="149">
        <v>1</v>
      </c>
      <c r="U97" s="148" t="s">
        <v>591</v>
      </c>
      <c r="V97" s="150">
        <v>176.43</v>
      </c>
      <c r="W97" s="151">
        <v>18718.46</v>
      </c>
    </row>
    <row r="98" spans="1:23" ht="15" customHeight="1" x14ac:dyDescent="0.25">
      <c r="A98" s="148">
        <v>10024</v>
      </c>
      <c r="B98" s="148" t="s">
        <v>1143</v>
      </c>
      <c r="C98" s="143" t="s">
        <v>2504</v>
      </c>
      <c r="D98" s="143" t="s">
        <v>2504</v>
      </c>
      <c r="E98" s="143" t="s">
        <v>2504</v>
      </c>
      <c r="F98" s="143" t="s">
        <v>2504</v>
      </c>
      <c r="G98" s="143" t="s">
        <v>2504</v>
      </c>
      <c r="H98" s="143" t="s">
        <v>2504</v>
      </c>
      <c r="I98" s="143" t="str">
        <f t="shared" si="16"/>
        <v>NO EXISTE</v>
      </c>
      <c r="J98" s="143" t="str">
        <f t="shared" si="17"/>
        <v>NO EXISTE</v>
      </c>
      <c r="K98" s="143" t="str">
        <f t="shared" si="18"/>
        <v>NO EXISTE</v>
      </c>
      <c r="L98" s="143" t="str">
        <f t="shared" si="19"/>
        <v>NO EXISTE</v>
      </c>
      <c r="M98" s="143" t="str">
        <f t="shared" si="20"/>
        <v>NO EXISTE</v>
      </c>
      <c r="N98" s="143" t="str">
        <f t="shared" si="21"/>
        <v>NO EXISTE</v>
      </c>
      <c r="O98" s="143" t="str">
        <f t="shared" si="22"/>
        <v>NO EXISTE</v>
      </c>
      <c r="P98" s="143" t="str">
        <f t="shared" si="23"/>
        <v>NO EXISTE</v>
      </c>
      <c r="Q98" s="148" t="s">
        <v>1144</v>
      </c>
      <c r="R98" s="148" t="s">
        <v>1025</v>
      </c>
      <c r="S98" s="148" t="s">
        <v>1142</v>
      </c>
      <c r="T98" s="149">
        <v>1</v>
      </c>
      <c r="U98" s="148" t="s">
        <v>591</v>
      </c>
      <c r="V98" s="150">
        <v>197.98</v>
      </c>
      <c r="W98" s="151">
        <v>18702.88</v>
      </c>
    </row>
    <row r="99" spans="1:23" ht="15" customHeight="1" x14ac:dyDescent="0.25">
      <c r="A99" s="148">
        <v>10027</v>
      </c>
      <c r="B99" s="148" t="s">
        <v>1145</v>
      </c>
      <c r="C99" s="143" t="s">
        <v>2504</v>
      </c>
      <c r="D99" s="143" t="s">
        <v>2504</v>
      </c>
      <c r="E99" s="143" t="s">
        <v>2504</v>
      </c>
      <c r="F99" s="143" t="s">
        <v>2504</v>
      </c>
      <c r="G99" s="143" t="s">
        <v>2504</v>
      </c>
      <c r="H99" s="143" t="s">
        <v>2504</v>
      </c>
      <c r="I99" s="143" t="str">
        <f t="shared" ref="I99:I162" si="24">IFERROR(VLOOKUP(B99,Base08,1,FALSE),"NO EXISTE")</f>
        <v>NO EXISTE</v>
      </c>
      <c r="J99" s="143" t="str">
        <f t="shared" ref="J99:J162" si="25">IFERROR(VLOOKUP(B99,Base09,1,FALSE),"NO EXISTE")</f>
        <v>NO EXISTE</v>
      </c>
      <c r="K99" s="143" t="str">
        <f t="shared" ref="K99:K162" si="26">IFERROR(VLOOKUP(B99,Base10,1,FALSE),"NO EXISTE")</f>
        <v>NO EXISTE</v>
      </c>
      <c r="L99" s="143" t="str">
        <f t="shared" ref="L99:L162" si="27">IFERROR(VLOOKUP(B99,Base11,1,FALSE),"NO EXISTE")</f>
        <v>NO EXISTE</v>
      </c>
      <c r="M99" s="143" t="str">
        <f t="shared" ref="M99:M162" si="28">IFERROR(VLOOKUP(B99,Base12,1,FALSE),"NO EXISTE")</f>
        <v>NO EXISTE</v>
      </c>
      <c r="N99" s="143" t="str">
        <f t="shared" ref="N99:N162" si="29">IFERROR(VLOOKUP(B99,Base13,1,FALSE),"NO EXISTE")</f>
        <v>NO EXISTE</v>
      </c>
      <c r="O99" s="143" t="str">
        <f t="shared" ref="O99:O162" si="30">IFERROR(VLOOKUP(B99,Base14,1,FALSE),"NO EXISTE")</f>
        <v>NO EXISTE</v>
      </c>
      <c r="P99" s="143" t="str">
        <f t="shared" ref="P99:P162" si="31">IFERROR(VLOOKUP(B99,Base15,1,FALSE),"NO EXISTE")</f>
        <v>NO EXISTE</v>
      </c>
      <c r="Q99" s="148" t="s">
        <v>1146</v>
      </c>
      <c r="R99" s="148" t="s">
        <v>1025</v>
      </c>
      <c r="S99" s="148" t="s">
        <v>1147</v>
      </c>
      <c r="T99" s="149">
        <v>1</v>
      </c>
      <c r="U99" s="148" t="s">
        <v>591</v>
      </c>
      <c r="V99" s="150">
        <v>99.95</v>
      </c>
      <c r="W99" s="151">
        <v>18740.310000000001</v>
      </c>
    </row>
    <row r="100" spans="1:23" ht="15" customHeight="1" x14ac:dyDescent="0.25">
      <c r="A100" s="148">
        <v>10037</v>
      </c>
      <c r="B100" s="148" t="s">
        <v>1148</v>
      </c>
      <c r="C100" s="143" t="s">
        <v>2504</v>
      </c>
      <c r="D100" s="143" t="s">
        <v>2504</v>
      </c>
      <c r="E100" s="143" t="s">
        <v>2504</v>
      </c>
      <c r="F100" s="143" t="s">
        <v>2504</v>
      </c>
      <c r="G100" s="143" t="s">
        <v>2504</v>
      </c>
      <c r="H100" s="143" t="s">
        <v>2504</v>
      </c>
      <c r="I100" s="143" t="str">
        <f t="shared" si="24"/>
        <v>NO EXISTE</v>
      </c>
      <c r="J100" s="143" t="str">
        <f t="shared" si="25"/>
        <v>NO EXISTE</v>
      </c>
      <c r="K100" s="143" t="str">
        <f t="shared" si="26"/>
        <v>NO EXISTE</v>
      </c>
      <c r="L100" s="143" t="str">
        <f t="shared" si="27"/>
        <v>NO EXISTE</v>
      </c>
      <c r="M100" s="143" t="str">
        <f t="shared" si="28"/>
        <v>NO EXISTE</v>
      </c>
      <c r="N100" s="143" t="str">
        <f t="shared" si="29"/>
        <v>NO EXISTE</v>
      </c>
      <c r="O100" s="143" t="str">
        <f t="shared" si="30"/>
        <v>NO EXISTE</v>
      </c>
      <c r="P100" s="143" t="str">
        <f t="shared" si="31"/>
        <v>NO EXISTE</v>
      </c>
      <c r="Q100" s="148" t="s">
        <v>1149</v>
      </c>
      <c r="R100" s="148" t="s">
        <v>1025</v>
      </c>
      <c r="S100" s="148" t="s">
        <v>1150</v>
      </c>
      <c r="T100" s="149">
        <v>1</v>
      </c>
      <c r="U100" s="148" t="s">
        <v>591</v>
      </c>
      <c r="V100" s="150">
        <v>98.87</v>
      </c>
      <c r="W100" s="151">
        <f>V100*24</f>
        <v>2372.88</v>
      </c>
    </row>
    <row r="101" spans="1:23" ht="15" customHeight="1" x14ac:dyDescent="0.25">
      <c r="A101" s="148">
        <v>10040</v>
      </c>
      <c r="B101" s="148" t="s">
        <v>1151</v>
      </c>
      <c r="C101" s="143" t="s">
        <v>2504</v>
      </c>
      <c r="D101" s="143" t="s">
        <v>2504</v>
      </c>
      <c r="E101" s="143" t="s">
        <v>2504</v>
      </c>
      <c r="F101" s="143" t="s">
        <v>2504</v>
      </c>
      <c r="G101" s="143" t="s">
        <v>2504</v>
      </c>
      <c r="H101" s="143" t="s">
        <v>2504</v>
      </c>
      <c r="I101" s="143" t="str">
        <f t="shared" si="24"/>
        <v>NO EXISTE</v>
      </c>
      <c r="J101" s="143" t="str">
        <f t="shared" si="25"/>
        <v>NO EXISTE</v>
      </c>
      <c r="K101" s="143" t="str">
        <f t="shared" si="26"/>
        <v>NO EXISTE</v>
      </c>
      <c r="L101" s="143" t="str">
        <f t="shared" si="27"/>
        <v>NO EXISTE</v>
      </c>
      <c r="M101" s="143" t="str">
        <f t="shared" si="28"/>
        <v>NO EXISTE</v>
      </c>
      <c r="N101" s="143" t="str">
        <f t="shared" si="29"/>
        <v>NO EXISTE</v>
      </c>
      <c r="O101" s="143" t="str">
        <f t="shared" si="30"/>
        <v>NO EXISTE</v>
      </c>
      <c r="P101" s="143" t="str">
        <f t="shared" si="31"/>
        <v>NO EXISTE</v>
      </c>
      <c r="Q101" s="148" t="s">
        <v>1152</v>
      </c>
      <c r="R101" s="148" t="s">
        <v>1025</v>
      </c>
      <c r="S101" s="148" t="s">
        <v>1150</v>
      </c>
      <c r="T101" s="149">
        <v>1</v>
      </c>
      <c r="U101" s="148" t="s">
        <v>591</v>
      </c>
      <c r="V101" s="150">
        <v>99.43</v>
      </c>
      <c r="W101" s="151">
        <f>V101*24</f>
        <v>2386.3200000000002</v>
      </c>
    </row>
    <row r="102" spans="1:23" ht="15" customHeight="1" x14ac:dyDescent="0.25">
      <c r="A102" s="148">
        <v>10047</v>
      </c>
      <c r="B102" s="148" t="s">
        <v>1153</v>
      </c>
      <c r="C102" s="143" t="s">
        <v>2504</v>
      </c>
      <c r="D102" s="143" t="s">
        <v>2504</v>
      </c>
      <c r="E102" s="143" t="s">
        <v>2504</v>
      </c>
      <c r="F102" s="143" t="s">
        <v>2504</v>
      </c>
      <c r="G102" s="143" t="s">
        <v>2504</v>
      </c>
      <c r="H102" s="143" t="s">
        <v>2504</v>
      </c>
      <c r="I102" s="143" t="str">
        <f t="shared" si="24"/>
        <v>NO EXISTE</v>
      </c>
      <c r="J102" s="143" t="str">
        <f t="shared" si="25"/>
        <v>NO EXISTE</v>
      </c>
      <c r="K102" s="143" t="str">
        <f t="shared" si="26"/>
        <v>NO EXISTE</v>
      </c>
      <c r="L102" s="143" t="str">
        <f t="shared" si="27"/>
        <v>NO EXISTE</v>
      </c>
      <c r="M102" s="143" t="str">
        <f t="shared" si="28"/>
        <v>NO EXISTE</v>
      </c>
      <c r="N102" s="143" t="str">
        <f t="shared" si="29"/>
        <v>NO EXISTE</v>
      </c>
      <c r="O102" s="143" t="str">
        <f t="shared" si="30"/>
        <v>NO EXISTE</v>
      </c>
      <c r="P102" s="143" t="str">
        <f t="shared" si="31"/>
        <v>NO EXISTE</v>
      </c>
      <c r="Q102" s="148" t="s">
        <v>1154</v>
      </c>
      <c r="R102" s="148" t="s">
        <v>1025</v>
      </c>
      <c r="S102" s="148" t="s">
        <v>1155</v>
      </c>
      <c r="T102" s="149">
        <v>1</v>
      </c>
      <c r="U102" s="148" t="s">
        <v>591</v>
      </c>
      <c r="V102" s="150">
        <v>87.62</v>
      </c>
      <c r="W102" s="151">
        <f>V102*12</f>
        <v>1051.44</v>
      </c>
    </row>
    <row r="103" spans="1:23" ht="15" customHeight="1" x14ac:dyDescent="0.25">
      <c r="A103" s="148">
        <v>10049</v>
      </c>
      <c r="B103" s="148" t="s">
        <v>1156</v>
      </c>
      <c r="C103" s="143" t="s">
        <v>2504</v>
      </c>
      <c r="D103" s="143" t="s">
        <v>2504</v>
      </c>
      <c r="E103" s="143" t="s">
        <v>2504</v>
      </c>
      <c r="F103" s="143" t="s">
        <v>2504</v>
      </c>
      <c r="G103" s="143" t="s">
        <v>2504</v>
      </c>
      <c r="H103" s="143" t="s">
        <v>2504</v>
      </c>
      <c r="I103" s="143" t="str">
        <f t="shared" si="24"/>
        <v>NO EXISTE</v>
      </c>
      <c r="J103" s="143" t="str">
        <f t="shared" si="25"/>
        <v>NO EXISTE</v>
      </c>
      <c r="K103" s="143" t="str">
        <f t="shared" si="26"/>
        <v>NO EXISTE</v>
      </c>
      <c r="L103" s="143" t="str">
        <f t="shared" si="27"/>
        <v>NO EXISTE</v>
      </c>
      <c r="M103" s="143" t="str">
        <f t="shared" si="28"/>
        <v>NO EXISTE</v>
      </c>
      <c r="N103" s="143" t="str">
        <f t="shared" si="29"/>
        <v>NO EXISTE</v>
      </c>
      <c r="O103" s="143" t="str">
        <f t="shared" si="30"/>
        <v>NO EXISTE</v>
      </c>
      <c r="P103" s="143" t="str">
        <f t="shared" si="31"/>
        <v>NO EXISTE</v>
      </c>
      <c r="Q103" s="148" t="s">
        <v>1157</v>
      </c>
      <c r="R103" s="148" t="s">
        <v>1025</v>
      </c>
      <c r="S103" s="148" t="s">
        <v>1155</v>
      </c>
      <c r="T103" s="149">
        <v>1</v>
      </c>
      <c r="U103" s="148" t="s">
        <v>591</v>
      </c>
      <c r="V103" s="150">
        <v>94.24</v>
      </c>
      <c r="W103" s="151">
        <v>2262.4699999999998</v>
      </c>
    </row>
    <row r="104" spans="1:23" ht="15" customHeight="1" x14ac:dyDescent="0.25">
      <c r="A104" s="148">
        <v>10050</v>
      </c>
      <c r="B104" s="148" t="s">
        <v>1158</v>
      </c>
      <c r="C104" s="143" t="s">
        <v>2504</v>
      </c>
      <c r="D104" s="143" t="s">
        <v>2504</v>
      </c>
      <c r="E104" s="143" t="s">
        <v>2504</v>
      </c>
      <c r="F104" s="143" t="s">
        <v>2504</v>
      </c>
      <c r="G104" s="143" t="s">
        <v>2504</v>
      </c>
      <c r="H104" s="143" t="s">
        <v>2504</v>
      </c>
      <c r="I104" s="143" t="str">
        <f t="shared" si="24"/>
        <v>NO EXISTE</v>
      </c>
      <c r="J104" s="143" t="str">
        <f t="shared" si="25"/>
        <v>NO EXISTE</v>
      </c>
      <c r="K104" s="143" t="str">
        <f t="shared" si="26"/>
        <v>NO EXISTE</v>
      </c>
      <c r="L104" s="143" t="str">
        <f t="shared" si="27"/>
        <v>NO EXISTE</v>
      </c>
      <c r="M104" s="143" t="str">
        <f t="shared" si="28"/>
        <v>NO EXISTE</v>
      </c>
      <c r="N104" s="143" t="str">
        <f t="shared" si="29"/>
        <v>NO EXISTE</v>
      </c>
      <c r="O104" s="143" t="str">
        <f t="shared" si="30"/>
        <v>NO EXISTE</v>
      </c>
      <c r="P104" s="143" t="str">
        <f t="shared" si="31"/>
        <v>NO EXISTE</v>
      </c>
      <c r="Q104" s="148" t="s">
        <v>1159</v>
      </c>
      <c r="R104" s="148" t="s">
        <v>1025</v>
      </c>
      <c r="S104" s="148" t="s">
        <v>1155</v>
      </c>
      <c r="T104" s="149">
        <v>1</v>
      </c>
      <c r="U104" s="148" t="s">
        <v>591</v>
      </c>
      <c r="V104" s="150">
        <v>95.83</v>
      </c>
      <c r="W104" s="151">
        <v>24304.97</v>
      </c>
    </row>
    <row r="105" spans="1:23" ht="15" customHeight="1" x14ac:dyDescent="0.25">
      <c r="A105" s="148">
        <v>10062</v>
      </c>
      <c r="B105" s="148" t="s">
        <v>1162</v>
      </c>
      <c r="C105" s="143" t="s">
        <v>2504</v>
      </c>
      <c r="D105" s="143" t="s">
        <v>2504</v>
      </c>
      <c r="E105" s="143" t="s">
        <v>2504</v>
      </c>
      <c r="F105" s="143" t="s">
        <v>2504</v>
      </c>
      <c r="G105" s="143" t="s">
        <v>2504</v>
      </c>
      <c r="H105" s="143" t="s">
        <v>2504</v>
      </c>
      <c r="I105" s="143" t="str">
        <f t="shared" si="24"/>
        <v>NO EXISTE</v>
      </c>
      <c r="J105" s="143" t="str">
        <f t="shared" si="25"/>
        <v>NO EXISTE</v>
      </c>
      <c r="K105" s="143" t="str">
        <f t="shared" si="26"/>
        <v>NO EXISTE</v>
      </c>
      <c r="L105" s="143" t="str">
        <f t="shared" si="27"/>
        <v>NO EXISTE</v>
      </c>
      <c r="M105" s="143" t="str">
        <f t="shared" si="28"/>
        <v>NO EXISTE</v>
      </c>
      <c r="N105" s="143" t="str">
        <f t="shared" si="29"/>
        <v>NO EXISTE</v>
      </c>
      <c r="O105" s="143" t="str">
        <f t="shared" si="30"/>
        <v>NO EXISTE</v>
      </c>
      <c r="P105" s="143" t="str">
        <f t="shared" si="31"/>
        <v>NO EXISTE</v>
      </c>
      <c r="Q105" s="148" t="s">
        <v>1163</v>
      </c>
      <c r="R105" s="148" t="s">
        <v>1025</v>
      </c>
      <c r="S105" s="148" t="s">
        <v>1164</v>
      </c>
      <c r="T105" s="149">
        <v>1</v>
      </c>
      <c r="U105" s="148" t="s">
        <v>591</v>
      </c>
      <c r="V105" s="150">
        <v>127.51</v>
      </c>
      <c r="W105" s="151">
        <v>2050.04</v>
      </c>
    </row>
    <row r="106" spans="1:23" ht="15" customHeight="1" x14ac:dyDescent="0.25">
      <c r="A106" s="148">
        <v>10063</v>
      </c>
      <c r="B106" s="148" t="s">
        <v>1165</v>
      </c>
      <c r="C106" s="143" t="s">
        <v>2504</v>
      </c>
      <c r="D106" s="143" t="s">
        <v>2504</v>
      </c>
      <c r="E106" s="143" t="s">
        <v>2504</v>
      </c>
      <c r="F106" s="143" t="s">
        <v>2504</v>
      </c>
      <c r="G106" s="143" t="s">
        <v>2504</v>
      </c>
      <c r="H106" s="143" t="s">
        <v>2504</v>
      </c>
      <c r="I106" s="143" t="str">
        <f t="shared" si="24"/>
        <v>NO EXISTE</v>
      </c>
      <c r="J106" s="143" t="str">
        <f t="shared" si="25"/>
        <v>NO EXISTE</v>
      </c>
      <c r="K106" s="143" t="str">
        <f t="shared" si="26"/>
        <v>NO EXISTE</v>
      </c>
      <c r="L106" s="143" t="str">
        <f t="shared" si="27"/>
        <v>NO EXISTE</v>
      </c>
      <c r="M106" s="143" t="str">
        <f t="shared" si="28"/>
        <v>NO EXISTE</v>
      </c>
      <c r="N106" s="143" t="str">
        <f t="shared" si="29"/>
        <v>NO EXISTE</v>
      </c>
      <c r="O106" s="143" t="str">
        <f t="shared" si="30"/>
        <v>NO EXISTE</v>
      </c>
      <c r="P106" s="143" t="str">
        <f t="shared" si="31"/>
        <v>NO EXISTE</v>
      </c>
      <c r="Q106" s="148" t="s">
        <v>1166</v>
      </c>
      <c r="R106" s="148" t="s">
        <v>1025</v>
      </c>
      <c r="S106" s="148" t="s">
        <v>1164</v>
      </c>
      <c r="T106" s="149">
        <v>1</v>
      </c>
      <c r="U106" s="148" t="s">
        <v>591</v>
      </c>
      <c r="V106" s="150">
        <v>131.03</v>
      </c>
      <c r="W106" s="151">
        <v>22052.73</v>
      </c>
    </row>
    <row r="107" spans="1:23" ht="15" customHeight="1" x14ac:dyDescent="0.25">
      <c r="A107" s="148">
        <v>10065</v>
      </c>
      <c r="B107" s="148" t="s">
        <v>1167</v>
      </c>
      <c r="C107" s="143" t="s">
        <v>2504</v>
      </c>
      <c r="D107" s="143" t="s">
        <v>2504</v>
      </c>
      <c r="E107" s="143" t="s">
        <v>2504</v>
      </c>
      <c r="F107" s="143" t="s">
        <v>2504</v>
      </c>
      <c r="G107" s="143" t="s">
        <v>2504</v>
      </c>
      <c r="H107" s="143" t="s">
        <v>2504</v>
      </c>
      <c r="I107" s="143" t="str">
        <f t="shared" si="24"/>
        <v>NO EXISTE</v>
      </c>
      <c r="J107" s="143" t="str">
        <f t="shared" si="25"/>
        <v>NO EXISTE</v>
      </c>
      <c r="K107" s="143" t="str">
        <f t="shared" si="26"/>
        <v>NO EXISTE</v>
      </c>
      <c r="L107" s="143" t="str">
        <f t="shared" si="27"/>
        <v>NO EXISTE</v>
      </c>
      <c r="M107" s="143" t="str">
        <f t="shared" si="28"/>
        <v>NO EXISTE</v>
      </c>
      <c r="N107" s="143" t="str">
        <f t="shared" si="29"/>
        <v>NO EXISTE</v>
      </c>
      <c r="O107" s="143" t="str">
        <f t="shared" si="30"/>
        <v>NO EXISTE</v>
      </c>
      <c r="P107" s="143" t="str">
        <f t="shared" si="31"/>
        <v>NO EXISTE</v>
      </c>
      <c r="Q107" s="148" t="s">
        <v>1168</v>
      </c>
      <c r="R107" s="148" t="s">
        <v>1025</v>
      </c>
      <c r="S107" s="148" t="s">
        <v>1164</v>
      </c>
      <c r="T107" s="149">
        <v>1</v>
      </c>
      <c r="U107" s="148" t="s">
        <v>591</v>
      </c>
      <c r="V107" s="150">
        <v>133.54</v>
      </c>
      <c r="W107" s="151">
        <v>413.6</v>
      </c>
    </row>
    <row r="108" spans="1:23" ht="15" customHeight="1" x14ac:dyDescent="0.25">
      <c r="A108" s="148">
        <v>10077</v>
      </c>
      <c r="B108" s="148" t="s">
        <v>1169</v>
      </c>
      <c r="C108" s="143" t="s">
        <v>2504</v>
      </c>
      <c r="D108" s="143" t="s">
        <v>2504</v>
      </c>
      <c r="E108" s="143" t="s">
        <v>2504</v>
      </c>
      <c r="F108" s="143" t="s">
        <v>2504</v>
      </c>
      <c r="G108" s="143" t="s">
        <v>2504</v>
      </c>
      <c r="H108" s="143" t="s">
        <v>2504</v>
      </c>
      <c r="I108" s="143" t="str">
        <f t="shared" si="24"/>
        <v>NO EXISTE</v>
      </c>
      <c r="J108" s="143" t="str">
        <f t="shared" si="25"/>
        <v>NO EXISTE</v>
      </c>
      <c r="K108" s="143" t="str">
        <f t="shared" si="26"/>
        <v>NO EXISTE</v>
      </c>
      <c r="L108" s="143" t="str">
        <f t="shared" si="27"/>
        <v>NO EXISTE</v>
      </c>
      <c r="M108" s="143" t="str">
        <f t="shared" si="28"/>
        <v>NO EXISTE</v>
      </c>
      <c r="N108" s="143" t="str">
        <f t="shared" si="29"/>
        <v>NO EXISTE</v>
      </c>
      <c r="O108" s="143" t="str">
        <f t="shared" si="30"/>
        <v>NO EXISTE</v>
      </c>
      <c r="P108" s="143" t="str">
        <f t="shared" si="31"/>
        <v>NO EXISTE</v>
      </c>
      <c r="Q108" s="148" t="s">
        <v>1170</v>
      </c>
      <c r="R108" s="148" t="s">
        <v>1025</v>
      </c>
      <c r="S108" s="148" t="s">
        <v>1171</v>
      </c>
      <c r="T108" s="149">
        <v>1</v>
      </c>
      <c r="U108" s="148" t="s">
        <v>591</v>
      </c>
      <c r="V108" s="150">
        <v>97.1</v>
      </c>
      <c r="W108" s="151">
        <v>820.63</v>
      </c>
    </row>
    <row r="109" spans="1:23" ht="15" customHeight="1" x14ac:dyDescent="0.25">
      <c r="A109" s="148">
        <v>10078</v>
      </c>
      <c r="B109" s="148" t="s">
        <v>1172</v>
      </c>
      <c r="C109" s="143" t="s">
        <v>2504</v>
      </c>
      <c r="D109" s="143" t="s">
        <v>2504</v>
      </c>
      <c r="E109" s="143" t="s">
        <v>2504</v>
      </c>
      <c r="F109" s="143" t="s">
        <v>2504</v>
      </c>
      <c r="G109" s="143" t="s">
        <v>2504</v>
      </c>
      <c r="H109" s="143" t="s">
        <v>2504</v>
      </c>
      <c r="I109" s="143" t="str">
        <f t="shared" si="24"/>
        <v>NO EXISTE</v>
      </c>
      <c r="J109" s="143" t="str">
        <f t="shared" si="25"/>
        <v>NO EXISTE</v>
      </c>
      <c r="K109" s="143" t="str">
        <f t="shared" si="26"/>
        <v>NO EXISTE</v>
      </c>
      <c r="L109" s="143" t="str">
        <f t="shared" si="27"/>
        <v>NO EXISTE</v>
      </c>
      <c r="M109" s="143" t="str">
        <f t="shared" si="28"/>
        <v>NO EXISTE</v>
      </c>
      <c r="N109" s="143" t="str">
        <f t="shared" si="29"/>
        <v>NO EXISTE</v>
      </c>
      <c r="O109" s="143" t="str">
        <f t="shared" si="30"/>
        <v>NO EXISTE</v>
      </c>
      <c r="P109" s="143" t="str">
        <f t="shared" si="31"/>
        <v>NO EXISTE</v>
      </c>
      <c r="Q109" s="148" t="s">
        <v>1173</v>
      </c>
      <c r="R109" s="148" t="s">
        <v>1025</v>
      </c>
      <c r="S109" s="148" t="s">
        <v>1171</v>
      </c>
      <c r="T109" s="149">
        <v>1</v>
      </c>
      <c r="U109" s="148" t="s">
        <v>591</v>
      </c>
      <c r="V109" s="150">
        <v>98.26</v>
      </c>
      <c r="W109" s="151">
        <v>1801.37</v>
      </c>
    </row>
    <row r="110" spans="1:23" ht="15" customHeight="1" x14ac:dyDescent="0.25">
      <c r="A110" s="148">
        <v>10081</v>
      </c>
      <c r="B110" s="148" t="s">
        <v>1174</v>
      </c>
      <c r="C110" s="143" t="s">
        <v>2504</v>
      </c>
      <c r="D110" s="143" t="s">
        <v>2504</v>
      </c>
      <c r="E110" s="143" t="s">
        <v>2504</v>
      </c>
      <c r="F110" s="143" t="s">
        <v>2504</v>
      </c>
      <c r="G110" s="143" t="s">
        <v>2504</v>
      </c>
      <c r="H110" s="143" t="s">
        <v>2504</v>
      </c>
      <c r="I110" s="143" t="str">
        <f t="shared" si="24"/>
        <v>NO EXISTE</v>
      </c>
      <c r="J110" s="143" t="str">
        <f t="shared" si="25"/>
        <v>NO EXISTE</v>
      </c>
      <c r="K110" s="143" t="str">
        <f t="shared" si="26"/>
        <v>NO EXISTE</v>
      </c>
      <c r="L110" s="143" t="str">
        <f t="shared" si="27"/>
        <v>NO EXISTE</v>
      </c>
      <c r="M110" s="143" t="str">
        <f t="shared" si="28"/>
        <v>NO EXISTE</v>
      </c>
      <c r="N110" s="143" t="str">
        <f t="shared" si="29"/>
        <v>NO EXISTE</v>
      </c>
      <c r="O110" s="143" t="str">
        <f t="shared" si="30"/>
        <v>NO EXISTE</v>
      </c>
      <c r="P110" s="143" t="str">
        <f t="shared" si="31"/>
        <v>NO EXISTE</v>
      </c>
      <c r="Q110" s="148" t="s">
        <v>1175</v>
      </c>
      <c r="R110" s="148" t="s">
        <v>1025</v>
      </c>
      <c r="S110" s="148" t="s">
        <v>1176</v>
      </c>
      <c r="T110" s="149">
        <v>1</v>
      </c>
      <c r="U110" s="148" t="s">
        <v>591</v>
      </c>
      <c r="V110" s="150">
        <v>98.76</v>
      </c>
      <c r="W110" s="151">
        <v>19410.560000000001</v>
      </c>
    </row>
    <row r="111" spans="1:23" ht="15" customHeight="1" x14ac:dyDescent="0.25">
      <c r="A111" s="148">
        <v>10084</v>
      </c>
      <c r="B111" s="148" t="s">
        <v>1177</v>
      </c>
      <c r="C111" s="143" t="s">
        <v>2504</v>
      </c>
      <c r="D111" s="143" t="s">
        <v>2504</v>
      </c>
      <c r="E111" s="143" t="s">
        <v>2504</v>
      </c>
      <c r="F111" s="143" t="s">
        <v>2504</v>
      </c>
      <c r="G111" s="143" t="s">
        <v>2504</v>
      </c>
      <c r="H111" s="143" t="s">
        <v>2504</v>
      </c>
      <c r="I111" s="143" t="str">
        <f t="shared" si="24"/>
        <v>NO EXISTE</v>
      </c>
      <c r="J111" s="143" t="str">
        <f t="shared" si="25"/>
        <v>NO EXISTE</v>
      </c>
      <c r="K111" s="143" t="str">
        <f t="shared" si="26"/>
        <v>NO EXISTE</v>
      </c>
      <c r="L111" s="143" t="str">
        <f t="shared" si="27"/>
        <v>NO EXISTE</v>
      </c>
      <c r="M111" s="143" t="str">
        <f t="shared" si="28"/>
        <v>NO EXISTE</v>
      </c>
      <c r="N111" s="143" t="str">
        <f t="shared" si="29"/>
        <v>NO EXISTE</v>
      </c>
      <c r="O111" s="143" t="str">
        <f t="shared" si="30"/>
        <v>NO EXISTE</v>
      </c>
      <c r="P111" s="143" t="str">
        <f t="shared" si="31"/>
        <v>NO EXISTE</v>
      </c>
      <c r="Q111" s="148" t="s">
        <v>1178</v>
      </c>
      <c r="R111" s="148" t="s">
        <v>1025</v>
      </c>
      <c r="S111" s="148" t="s">
        <v>1176</v>
      </c>
      <c r="T111" s="149">
        <v>1</v>
      </c>
      <c r="U111" s="148" t="s">
        <v>591</v>
      </c>
      <c r="V111" s="150">
        <v>99.88</v>
      </c>
      <c r="W111" s="151">
        <v>2461.81</v>
      </c>
    </row>
    <row r="112" spans="1:23" ht="15" customHeight="1" x14ac:dyDescent="0.25">
      <c r="A112" s="148">
        <v>10086</v>
      </c>
      <c r="B112" s="148" t="s">
        <v>1179</v>
      </c>
      <c r="C112" s="143" t="s">
        <v>2504</v>
      </c>
      <c r="D112" s="143" t="s">
        <v>2504</v>
      </c>
      <c r="E112" s="143" t="s">
        <v>2504</v>
      </c>
      <c r="F112" s="143" t="s">
        <v>2504</v>
      </c>
      <c r="G112" s="143" t="s">
        <v>2504</v>
      </c>
      <c r="H112" s="143" t="s">
        <v>2504</v>
      </c>
      <c r="I112" s="143" t="str">
        <f t="shared" si="24"/>
        <v>NO EXISTE</v>
      </c>
      <c r="J112" s="143" t="str">
        <f t="shared" si="25"/>
        <v>NO EXISTE</v>
      </c>
      <c r="K112" s="143" t="str">
        <f t="shared" si="26"/>
        <v>NO EXISTE</v>
      </c>
      <c r="L112" s="143" t="str">
        <f t="shared" si="27"/>
        <v>NO EXISTE</v>
      </c>
      <c r="M112" s="143" t="str">
        <f t="shared" si="28"/>
        <v>NO EXISTE</v>
      </c>
      <c r="N112" s="143" t="str">
        <f t="shared" si="29"/>
        <v>NO EXISTE</v>
      </c>
      <c r="O112" s="143" t="str">
        <f t="shared" si="30"/>
        <v>NO EXISTE</v>
      </c>
      <c r="P112" s="143" t="str">
        <f t="shared" si="31"/>
        <v>NO EXISTE</v>
      </c>
      <c r="Q112" s="148" t="s">
        <v>1180</v>
      </c>
      <c r="R112" s="148" t="s">
        <v>1025</v>
      </c>
      <c r="S112" s="148" t="s">
        <v>1176</v>
      </c>
      <c r="T112" s="149">
        <v>1</v>
      </c>
      <c r="U112" s="148" t="s">
        <v>591</v>
      </c>
      <c r="V112" s="150">
        <v>99.87</v>
      </c>
      <c r="W112" s="151">
        <v>26427.73</v>
      </c>
    </row>
    <row r="113" spans="1:23" ht="15" customHeight="1" x14ac:dyDescent="0.25">
      <c r="A113" s="148">
        <v>10107</v>
      </c>
      <c r="B113" s="148" t="s">
        <v>1181</v>
      </c>
      <c r="C113" s="143" t="s">
        <v>2504</v>
      </c>
      <c r="D113" s="143" t="s">
        <v>2504</v>
      </c>
      <c r="E113" s="143" t="s">
        <v>2504</v>
      </c>
      <c r="F113" s="143" t="s">
        <v>2504</v>
      </c>
      <c r="G113" s="143" t="s">
        <v>2504</v>
      </c>
      <c r="H113" s="143" t="s">
        <v>2504</v>
      </c>
      <c r="I113" s="143" t="str">
        <f t="shared" si="24"/>
        <v>NO EXISTE</v>
      </c>
      <c r="J113" s="143" t="str">
        <f t="shared" si="25"/>
        <v>NO EXISTE</v>
      </c>
      <c r="K113" s="143" t="str">
        <f t="shared" si="26"/>
        <v>NO EXISTE</v>
      </c>
      <c r="L113" s="143" t="str">
        <f t="shared" si="27"/>
        <v>NO EXISTE</v>
      </c>
      <c r="M113" s="143" t="str">
        <f t="shared" si="28"/>
        <v>NO EXISTE</v>
      </c>
      <c r="N113" s="143" t="str">
        <f t="shared" si="29"/>
        <v>NO EXISTE</v>
      </c>
      <c r="O113" s="143" t="str">
        <f t="shared" si="30"/>
        <v>NO EXISTE</v>
      </c>
      <c r="P113" s="143" t="str">
        <f t="shared" si="31"/>
        <v>NO EXISTE</v>
      </c>
      <c r="Q113" s="148" t="s">
        <v>1182</v>
      </c>
      <c r="R113" s="148" t="s">
        <v>1025</v>
      </c>
      <c r="S113" s="148" t="s">
        <v>1183</v>
      </c>
      <c r="T113" s="149">
        <v>1</v>
      </c>
      <c r="U113" s="148" t="s">
        <v>591</v>
      </c>
      <c r="V113" s="150">
        <v>105.38</v>
      </c>
      <c r="W113" s="151">
        <f>V113*15</f>
        <v>1580.6999999999998</v>
      </c>
    </row>
    <row r="114" spans="1:23" ht="15" customHeight="1" x14ac:dyDescent="0.25">
      <c r="A114" s="148">
        <v>10108</v>
      </c>
      <c r="B114" s="148" t="s">
        <v>1184</v>
      </c>
      <c r="C114" s="143" t="s">
        <v>2504</v>
      </c>
      <c r="D114" s="143" t="s">
        <v>2504</v>
      </c>
      <c r="E114" s="143" t="s">
        <v>2504</v>
      </c>
      <c r="F114" s="143" t="s">
        <v>2504</v>
      </c>
      <c r="G114" s="143" t="s">
        <v>2504</v>
      </c>
      <c r="H114" s="143" t="s">
        <v>2504</v>
      </c>
      <c r="I114" s="143" t="str">
        <f t="shared" si="24"/>
        <v>NO EXISTE</v>
      </c>
      <c r="J114" s="143" t="str">
        <f t="shared" si="25"/>
        <v>NO EXISTE</v>
      </c>
      <c r="K114" s="143" t="str">
        <f t="shared" si="26"/>
        <v>NO EXISTE</v>
      </c>
      <c r="L114" s="143" t="str">
        <f t="shared" si="27"/>
        <v>NO EXISTE</v>
      </c>
      <c r="M114" s="143" t="str">
        <f t="shared" si="28"/>
        <v>NO EXISTE</v>
      </c>
      <c r="N114" s="143" t="str">
        <f t="shared" si="29"/>
        <v>NO EXISTE</v>
      </c>
      <c r="O114" s="143" t="str">
        <f t="shared" si="30"/>
        <v>NO EXISTE</v>
      </c>
      <c r="P114" s="143" t="str">
        <f t="shared" si="31"/>
        <v>NO EXISTE</v>
      </c>
      <c r="Q114" s="148" t="s">
        <v>1185</v>
      </c>
      <c r="R114" s="148" t="s">
        <v>1025</v>
      </c>
      <c r="S114" s="148" t="s">
        <v>1183</v>
      </c>
      <c r="T114" s="149">
        <v>1</v>
      </c>
      <c r="U114" s="148" t="s">
        <v>591</v>
      </c>
      <c r="V114" s="150">
        <v>115.35</v>
      </c>
      <c r="W114" s="151">
        <f>V114*1000</f>
        <v>115350</v>
      </c>
    </row>
    <row r="115" spans="1:23" ht="15" customHeight="1" x14ac:dyDescent="0.25">
      <c r="A115" s="148">
        <v>10110</v>
      </c>
      <c r="B115" s="148" t="s">
        <v>1186</v>
      </c>
      <c r="C115" s="143" t="s">
        <v>2504</v>
      </c>
      <c r="D115" s="143" t="s">
        <v>2504</v>
      </c>
      <c r="E115" s="143" t="s">
        <v>2504</v>
      </c>
      <c r="F115" s="143" t="s">
        <v>2504</v>
      </c>
      <c r="G115" s="143" t="s">
        <v>2504</v>
      </c>
      <c r="H115" s="143" t="s">
        <v>2504</v>
      </c>
      <c r="I115" s="143" t="str">
        <f t="shared" si="24"/>
        <v>NO EXISTE</v>
      </c>
      <c r="J115" s="143" t="str">
        <f t="shared" si="25"/>
        <v>NO EXISTE</v>
      </c>
      <c r="K115" s="143" t="str">
        <f t="shared" si="26"/>
        <v>NO EXISTE</v>
      </c>
      <c r="L115" s="143" t="str">
        <f t="shared" si="27"/>
        <v>NO EXISTE</v>
      </c>
      <c r="M115" s="143" t="str">
        <f t="shared" si="28"/>
        <v>NO EXISTE</v>
      </c>
      <c r="N115" s="143" t="str">
        <f t="shared" si="29"/>
        <v>NO EXISTE</v>
      </c>
      <c r="O115" s="143" t="str">
        <f t="shared" si="30"/>
        <v>NO EXISTE</v>
      </c>
      <c r="P115" s="143" t="str">
        <f t="shared" si="31"/>
        <v>NO EXISTE</v>
      </c>
      <c r="Q115" s="148" t="s">
        <v>1187</v>
      </c>
      <c r="R115" s="148" t="s">
        <v>1025</v>
      </c>
      <c r="S115" s="148" t="s">
        <v>1183</v>
      </c>
      <c r="T115" s="149">
        <v>1</v>
      </c>
      <c r="U115" s="148" t="s">
        <v>591</v>
      </c>
      <c r="V115" s="150">
        <v>136.22</v>
      </c>
      <c r="W115" s="151">
        <v>35156.54</v>
      </c>
    </row>
    <row r="116" spans="1:23" ht="15" customHeight="1" x14ac:dyDescent="0.25">
      <c r="A116" s="148">
        <v>10130</v>
      </c>
      <c r="B116" s="148" t="s">
        <v>1190</v>
      </c>
      <c r="C116" s="143" t="s">
        <v>2504</v>
      </c>
      <c r="D116" s="143" t="s">
        <v>2504</v>
      </c>
      <c r="E116" s="143" t="s">
        <v>2504</v>
      </c>
      <c r="F116" s="143" t="s">
        <v>2504</v>
      </c>
      <c r="G116" s="143" t="s">
        <v>2504</v>
      </c>
      <c r="H116" s="143" t="s">
        <v>2504</v>
      </c>
      <c r="I116" s="143" t="str">
        <f t="shared" si="24"/>
        <v>NO EXISTE</v>
      </c>
      <c r="J116" s="143" t="str">
        <f t="shared" si="25"/>
        <v>NO EXISTE</v>
      </c>
      <c r="K116" s="143" t="str">
        <f t="shared" si="26"/>
        <v>NO EXISTE</v>
      </c>
      <c r="L116" s="143" t="str">
        <f t="shared" si="27"/>
        <v>NO EXISTE</v>
      </c>
      <c r="M116" s="143" t="str">
        <f t="shared" si="28"/>
        <v>NO EXISTE</v>
      </c>
      <c r="N116" s="143" t="str">
        <f t="shared" si="29"/>
        <v>NO EXISTE</v>
      </c>
      <c r="O116" s="143" t="str">
        <f t="shared" si="30"/>
        <v>NO EXISTE</v>
      </c>
      <c r="P116" s="143" t="str">
        <f t="shared" si="31"/>
        <v>NO EXISTE</v>
      </c>
      <c r="Q116" s="148" t="s">
        <v>1191</v>
      </c>
      <c r="R116" s="148" t="s">
        <v>1025</v>
      </c>
      <c r="S116" s="148" t="s">
        <v>1192</v>
      </c>
      <c r="T116" s="149">
        <v>1</v>
      </c>
      <c r="U116" s="148" t="s">
        <v>591</v>
      </c>
      <c r="V116" s="150">
        <v>212.62</v>
      </c>
      <c r="W116" s="151">
        <f>V116*4</f>
        <v>850.48</v>
      </c>
    </row>
    <row r="117" spans="1:23" ht="15" customHeight="1" x14ac:dyDescent="0.25">
      <c r="A117" s="148">
        <v>10134</v>
      </c>
      <c r="B117" s="148" t="s">
        <v>1193</v>
      </c>
      <c r="C117" s="143" t="s">
        <v>2504</v>
      </c>
      <c r="D117" s="143" t="s">
        <v>2504</v>
      </c>
      <c r="E117" s="143" t="s">
        <v>2504</v>
      </c>
      <c r="F117" s="143" t="s">
        <v>2504</v>
      </c>
      <c r="G117" s="143" t="s">
        <v>2504</v>
      </c>
      <c r="H117" s="143" t="s">
        <v>2504</v>
      </c>
      <c r="I117" s="143" t="str">
        <f t="shared" si="24"/>
        <v>NO EXISTE</v>
      </c>
      <c r="J117" s="143" t="str">
        <f t="shared" si="25"/>
        <v>NO EXISTE</v>
      </c>
      <c r="K117" s="143" t="str">
        <f t="shared" si="26"/>
        <v>NO EXISTE</v>
      </c>
      <c r="L117" s="143" t="str">
        <f t="shared" si="27"/>
        <v>NO EXISTE</v>
      </c>
      <c r="M117" s="143" t="str">
        <f t="shared" si="28"/>
        <v>NO EXISTE</v>
      </c>
      <c r="N117" s="143" t="str">
        <f t="shared" si="29"/>
        <v>NO EXISTE</v>
      </c>
      <c r="O117" s="143" t="str">
        <f t="shared" si="30"/>
        <v>NO EXISTE</v>
      </c>
      <c r="P117" s="143" t="str">
        <f t="shared" si="31"/>
        <v>NO EXISTE</v>
      </c>
      <c r="Q117" s="148" t="s">
        <v>1194</v>
      </c>
      <c r="R117" s="148" t="s">
        <v>1025</v>
      </c>
      <c r="S117" s="148" t="s">
        <v>1195</v>
      </c>
      <c r="T117" s="149">
        <v>1</v>
      </c>
      <c r="U117" s="148" t="s">
        <v>591</v>
      </c>
      <c r="V117" s="150">
        <v>101.05</v>
      </c>
      <c r="W117" s="151">
        <v>2169.71</v>
      </c>
    </row>
    <row r="118" spans="1:23" ht="15" customHeight="1" x14ac:dyDescent="0.25">
      <c r="A118" s="148">
        <v>10135</v>
      </c>
      <c r="B118" s="148" t="s">
        <v>1196</v>
      </c>
      <c r="C118" s="143" t="s">
        <v>2504</v>
      </c>
      <c r="D118" s="143" t="s">
        <v>2504</v>
      </c>
      <c r="E118" s="143" t="s">
        <v>2504</v>
      </c>
      <c r="F118" s="143" t="s">
        <v>2504</v>
      </c>
      <c r="G118" s="143" t="s">
        <v>2504</v>
      </c>
      <c r="H118" s="143" t="s">
        <v>2504</v>
      </c>
      <c r="I118" s="143" t="str">
        <f t="shared" si="24"/>
        <v>NO EXISTE</v>
      </c>
      <c r="J118" s="143" t="str">
        <f t="shared" si="25"/>
        <v>NO EXISTE</v>
      </c>
      <c r="K118" s="143" t="str">
        <f t="shared" si="26"/>
        <v>NO EXISTE</v>
      </c>
      <c r="L118" s="143" t="str">
        <f t="shared" si="27"/>
        <v>NO EXISTE</v>
      </c>
      <c r="M118" s="143" t="str">
        <f t="shared" si="28"/>
        <v>NO EXISTE</v>
      </c>
      <c r="N118" s="143" t="str">
        <f t="shared" si="29"/>
        <v>NO EXISTE</v>
      </c>
      <c r="O118" s="143" t="str">
        <f t="shared" si="30"/>
        <v>NO EXISTE</v>
      </c>
      <c r="P118" s="143" t="str">
        <f t="shared" si="31"/>
        <v>NO EXISTE</v>
      </c>
      <c r="Q118" s="148" t="s">
        <v>1197</v>
      </c>
      <c r="R118" s="148" t="s">
        <v>1025</v>
      </c>
      <c r="S118" s="148" t="s">
        <v>1198</v>
      </c>
      <c r="T118" s="149">
        <v>1</v>
      </c>
      <c r="U118" s="148" t="s">
        <v>591</v>
      </c>
      <c r="V118" s="150">
        <v>102.93</v>
      </c>
      <c r="W118" s="151">
        <v>2335.2800000000002</v>
      </c>
    </row>
    <row r="119" spans="1:23" ht="15" customHeight="1" x14ac:dyDescent="0.25">
      <c r="A119" s="148">
        <v>10136</v>
      </c>
      <c r="B119" s="148" t="s">
        <v>1199</v>
      </c>
      <c r="C119" s="143" t="s">
        <v>2504</v>
      </c>
      <c r="D119" s="143" t="s">
        <v>2504</v>
      </c>
      <c r="E119" s="143" t="s">
        <v>2504</v>
      </c>
      <c r="F119" s="143" t="s">
        <v>2504</v>
      </c>
      <c r="G119" s="143" t="s">
        <v>2504</v>
      </c>
      <c r="H119" s="143" t="s">
        <v>2504</v>
      </c>
      <c r="I119" s="143" t="str">
        <f t="shared" si="24"/>
        <v>NO EXISTE</v>
      </c>
      <c r="J119" s="143" t="str">
        <f t="shared" si="25"/>
        <v>NO EXISTE</v>
      </c>
      <c r="K119" s="143" t="str">
        <f t="shared" si="26"/>
        <v>NO EXISTE</v>
      </c>
      <c r="L119" s="143" t="str">
        <f t="shared" si="27"/>
        <v>NO EXISTE</v>
      </c>
      <c r="M119" s="143" t="str">
        <f t="shared" si="28"/>
        <v>NO EXISTE</v>
      </c>
      <c r="N119" s="143" t="str">
        <f t="shared" si="29"/>
        <v>NO EXISTE</v>
      </c>
      <c r="O119" s="143" t="str">
        <f t="shared" si="30"/>
        <v>NO EXISTE</v>
      </c>
      <c r="P119" s="143" t="str">
        <f t="shared" si="31"/>
        <v>NO EXISTE</v>
      </c>
      <c r="Q119" s="148" t="s">
        <v>1200</v>
      </c>
      <c r="R119" s="148" t="s">
        <v>1025</v>
      </c>
      <c r="S119" s="148" t="s">
        <v>1201</v>
      </c>
      <c r="T119" s="149">
        <v>1</v>
      </c>
      <c r="U119" s="148" t="s">
        <v>591</v>
      </c>
      <c r="V119" s="150">
        <v>124.23</v>
      </c>
      <c r="W119" s="151">
        <v>24257.18</v>
      </c>
    </row>
    <row r="120" spans="1:23" ht="15" customHeight="1" x14ac:dyDescent="0.25">
      <c r="A120" s="148">
        <v>10137</v>
      </c>
      <c r="B120" s="148" t="s">
        <v>1202</v>
      </c>
      <c r="C120" s="143" t="s">
        <v>2504</v>
      </c>
      <c r="D120" s="143" t="s">
        <v>2504</v>
      </c>
      <c r="E120" s="143" t="s">
        <v>2504</v>
      </c>
      <c r="F120" s="143" t="s">
        <v>2504</v>
      </c>
      <c r="G120" s="143" t="s">
        <v>2504</v>
      </c>
      <c r="H120" s="143" t="s">
        <v>2504</v>
      </c>
      <c r="I120" s="143" t="str">
        <f t="shared" si="24"/>
        <v>NO EXISTE</v>
      </c>
      <c r="J120" s="143" t="str">
        <f t="shared" si="25"/>
        <v>NO EXISTE</v>
      </c>
      <c r="K120" s="143" t="str">
        <f t="shared" si="26"/>
        <v>NO EXISTE</v>
      </c>
      <c r="L120" s="143" t="str">
        <f t="shared" si="27"/>
        <v>NO EXISTE</v>
      </c>
      <c r="M120" s="143" t="str">
        <f t="shared" si="28"/>
        <v>NO EXISTE</v>
      </c>
      <c r="N120" s="143" t="str">
        <f t="shared" si="29"/>
        <v>NO EXISTE</v>
      </c>
      <c r="O120" s="143" t="str">
        <f t="shared" si="30"/>
        <v>NO EXISTE</v>
      </c>
      <c r="P120" s="143" t="str">
        <f t="shared" si="31"/>
        <v>NO EXISTE</v>
      </c>
      <c r="Q120" s="148" t="s">
        <v>1203</v>
      </c>
      <c r="R120" s="148" t="s">
        <v>1025</v>
      </c>
      <c r="S120" s="148" t="s">
        <v>1201</v>
      </c>
      <c r="T120" s="149">
        <v>1</v>
      </c>
      <c r="U120" s="148" t="s">
        <v>591</v>
      </c>
      <c r="V120" s="150">
        <v>124.62</v>
      </c>
      <c r="W120" s="151">
        <f>V120*15</f>
        <v>1869.3000000000002</v>
      </c>
    </row>
    <row r="121" spans="1:23" ht="15" customHeight="1" x14ac:dyDescent="0.25">
      <c r="A121" s="148">
        <v>10139</v>
      </c>
      <c r="B121" s="148" t="s">
        <v>1204</v>
      </c>
      <c r="C121" s="143" t="s">
        <v>2504</v>
      </c>
      <c r="D121" s="143" t="s">
        <v>2504</v>
      </c>
      <c r="E121" s="143" t="s">
        <v>2504</v>
      </c>
      <c r="F121" s="143" t="s">
        <v>2504</v>
      </c>
      <c r="G121" s="143" t="s">
        <v>2504</v>
      </c>
      <c r="H121" s="143" t="s">
        <v>2504</v>
      </c>
      <c r="I121" s="143" t="str">
        <f t="shared" si="24"/>
        <v>NO EXISTE</v>
      </c>
      <c r="J121" s="143" t="str">
        <f t="shared" si="25"/>
        <v>NO EXISTE</v>
      </c>
      <c r="K121" s="143" t="str">
        <f t="shared" si="26"/>
        <v>NO EXISTE</v>
      </c>
      <c r="L121" s="143" t="str">
        <f t="shared" si="27"/>
        <v>NO EXISTE</v>
      </c>
      <c r="M121" s="143" t="str">
        <f t="shared" si="28"/>
        <v>NO EXISTE</v>
      </c>
      <c r="N121" s="143" t="str">
        <f t="shared" si="29"/>
        <v>NO EXISTE</v>
      </c>
      <c r="O121" s="143" t="str">
        <f t="shared" si="30"/>
        <v>NO EXISTE</v>
      </c>
      <c r="P121" s="143" t="str">
        <f t="shared" si="31"/>
        <v>NO EXISTE</v>
      </c>
      <c r="Q121" s="148" t="s">
        <v>1205</v>
      </c>
      <c r="R121" s="148" t="s">
        <v>1025</v>
      </c>
      <c r="S121" s="148" t="s">
        <v>1206</v>
      </c>
      <c r="T121" s="149">
        <v>1</v>
      </c>
      <c r="U121" s="148" t="s">
        <v>591</v>
      </c>
      <c r="V121" s="150">
        <v>119.62</v>
      </c>
      <c r="W121" s="151">
        <v>3360.66</v>
      </c>
    </row>
    <row r="122" spans="1:23" ht="15" customHeight="1" x14ac:dyDescent="0.25">
      <c r="A122" s="148">
        <v>10141</v>
      </c>
      <c r="B122" s="148" t="s">
        <v>1207</v>
      </c>
      <c r="C122" s="143" t="s">
        <v>2504</v>
      </c>
      <c r="D122" s="143" t="s">
        <v>2504</v>
      </c>
      <c r="E122" s="143" t="s">
        <v>2504</v>
      </c>
      <c r="F122" s="143" t="s">
        <v>2504</v>
      </c>
      <c r="G122" s="143" t="s">
        <v>2504</v>
      </c>
      <c r="H122" s="143" t="s">
        <v>2504</v>
      </c>
      <c r="I122" s="143" t="str">
        <f t="shared" si="24"/>
        <v>NO EXISTE</v>
      </c>
      <c r="J122" s="143" t="str">
        <f t="shared" si="25"/>
        <v>NO EXISTE</v>
      </c>
      <c r="K122" s="143" t="str">
        <f t="shared" si="26"/>
        <v>NO EXISTE</v>
      </c>
      <c r="L122" s="143" t="str">
        <f t="shared" si="27"/>
        <v>NO EXISTE</v>
      </c>
      <c r="M122" s="143" t="str">
        <f t="shared" si="28"/>
        <v>NO EXISTE</v>
      </c>
      <c r="N122" s="143" t="str">
        <f t="shared" si="29"/>
        <v>NO EXISTE</v>
      </c>
      <c r="O122" s="143" t="str">
        <f t="shared" si="30"/>
        <v>NO EXISTE</v>
      </c>
      <c r="P122" s="143" t="str">
        <f t="shared" si="31"/>
        <v>NO EXISTE</v>
      </c>
      <c r="Q122" s="148" t="s">
        <v>1208</v>
      </c>
      <c r="R122" s="148" t="s">
        <v>1025</v>
      </c>
      <c r="S122" s="148" t="s">
        <v>1209</v>
      </c>
      <c r="T122" s="149">
        <v>1</v>
      </c>
      <c r="U122" s="148" t="s">
        <v>591</v>
      </c>
      <c r="V122" s="150">
        <v>88.09</v>
      </c>
      <c r="W122" s="151">
        <v>27851.02</v>
      </c>
    </row>
    <row r="123" spans="1:23" ht="15" customHeight="1" x14ac:dyDescent="0.25">
      <c r="A123" s="148">
        <v>10144</v>
      </c>
      <c r="B123" s="148" t="s">
        <v>1210</v>
      </c>
      <c r="C123" s="143" t="s">
        <v>2504</v>
      </c>
      <c r="D123" s="143" t="s">
        <v>2504</v>
      </c>
      <c r="E123" s="143" t="s">
        <v>2504</v>
      </c>
      <c r="F123" s="143" t="s">
        <v>2504</v>
      </c>
      <c r="G123" s="143" t="s">
        <v>2504</v>
      </c>
      <c r="H123" s="143" t="s">
        <v>2504</v>
      </c>
      <c r="I123" s="143" t="str">
        <f t="shared" si="24"/>
        <v>NO EXISTE</v>
      </c>
      <c r="J123" s="143" t="str">
        <f t="shared" si="25"/>
        <v>NO EXISTE</v>
      </c>
      <c r="K123" s="143" t="str">
        <f t="shared" si="26"/>
        <v>NO EXISTE</v>
      </c>
      <c r="L123" s="143" t="str">
        <f t="shared" si="27"/>
        <v>NO EXISTE</v>
      </c>
      <c r="M123" s="143" t="str">
        <f t="shared" si="28"/>
        <v>NO EXISTE</v>
      </c>
      <c r="N123" s="143" t="str">
        <f t="shared" si="29"/>
        <v>NO EXISTE</v>
      </c>
      <c r="O123" s="143" t="str">
        <f t="shared" si="30"/>
        <v>NO EXISTE</v>
      </c>
      <c r="P123" s="143" t="str">
        <f t="shared" si="31"/>
        <v>NO EXISTE</v>
      </c>
      <c r="Q123" s="148" t="s">
        <v>1211</v>
      </c>
      <c r="R123" s="148" t="s">
        <v>1025</v>
      </c>
      <c r="S123" s="148" t="s">
        <v>1212</v>
      </c>
      <c r="T123" s="149">
        <v>1</v>
      </c>
      <c r="U123" s="148" t="s">
        <v>591</v>
      </c>
      <c r="V123" s="150">
        <v>100.09</v>
      </c>
      <c r="W123" s="151">
        <v>5319.69</v>
      </c>
    </row>
    <row r="124" spans="1:23" ht="15" customHeight="1" x14ac:dyDescent="0.25">
      <c r="A124" s="148">
        <v>10148</v>
      </c>
      <c r="B124" s="148" t="s">
        <v>1213</v>
      </c>
      <c r="C124" s="143" t="s">
        <v>2504</v>
      </c>
      <c r="D124" s="143" t="s">
        <v>2504</v>
      </c>
      <c r="E124" s="143" t="s">
        <v>2504</v>
      </c>
      <c r="F124" s="143" t="s">
        <v>2504</v>
      </c>
      <c r="G124" s="143" t="s">
        <v>2504</v>
      </c>
      <c r="H124" s="143" t="s">
        <v>2504</v>
      </c>
      <c r="I124" s="143" t="str">
        <f t="shared" si="24"/>
        <v>NO EXISTE</v>
      </c>
      <c r="J124" s="143" t="str">
        <f t="shared" si="25"/>
        <v>NO EXISTE</v>
      </c>
      <c r="K124" s="143" t="str">
        <f t="shared" si="26"/>
        <v>NO EXISTE</v>
      </c>
      <c r="L124" s="143" t="str">
        <f t="shared" si="27"/>
        <v>NO EXISTE</v>
      </c>
      <c r="M124" s="143" t="str">
        <f t="shared" si="28"/>
        <v>NO EXISTE</v>
      </c>
      <c r="N124" s="143" t="str">
        <f t="shared" si="29"/>
        <v>NO EXISTE</v>
      </c>
      <c r="O124" s="143" t="str">
        <f t="shared" si="30"/>
        <v>NO EXISTE</v>
      </c>
      <c r="P124" s="143" t="str">
        <f t="shared" si="31"/>
        <v>NO EXISTE</v>
      </c>
      <c r="Q124" s="148" t="s">
        <v>1214</v>
      </c>
      <c r="R124" s="148" t="s">
        <v>1025</v>
      </c>
      <c r="S124" s="148" t="s">
        <v>1212</v>
      </c>
      <c r="T124" s="149">
        <v>1</v>
      </c>
      <c r="U124" s="148" t="s">
        <v>591</v>
      </c>
      <c r="V124" s="150">
        <v>108.12</v>
      </c>
      <c r="W124" s="151">
        <f>V124*16</f>
        <v>1729.92</v>
      </c>
    </row>
    <row r="125" spans="1:23" ht="15" customHeight="1" x14ac:dyDescent="0.25">
      <c r="A125" s="148">
        <v>10149</v>
      </c>
      <c r="B125" s="148" t="s">
        <v>1215</v>
      </c>
      <c r="C125" s="143" t="s">
        <v>2504</v>
      </c>
      <c r="D125" s="143" t="s">
        <v>2504</v>
      </c>
      <c r="E125" s="143" t="s">
        <v>2504</v>
      </c>
      <c r="F125" s="143" t="s">
        <v>2504</v>
      </c>
      <c r="G125" s="143" t="s">
        <v>2504</v>
      </c>
      <c r="H125" s="143" t="s">
        <v>2504</v>
      </c>
      <c r="I125" s="143" t="str">
        <f t="shared" si="24"/>
        <v>NO EXISTE</v>
      </c>
      <c r="J125" s="143" t="str">
        <f t="shared" si="25"/>
        <v>NO EXISTE</v>
      </c>
      <c r="K125" s="143" t="str">
        <f t="shared" si="26"/>
        <v>NO EXISTE</v>
      </c>
      <c r="L125" s="143" t="str">
        <f t="shared" si="27"/>
        <v>NO EXISTE</v>
      </c>
      <c r="M125" s="143" t="str">
        <f t="shared" si="28"/>
        <v>NO EXISTE</v>
      </c>
      <c r="N125" s="143" t="str">
        <f t="shared" si="29"/>
        <v>NO EXISTE</v>
      </c>
      <c r="O125" s="143" t="str">
        <f t="shared" si="30"/>
        <v>NO EXISTE</v>
      </c>
      <c r="P125" s="143" t="str">
        <f t="shared" si="31"/>
        <v>NO EXISTE</v>
      </c>
      <c r="Q125" s="148" t="s">
        <v>1216</v>
      </c>
      <c r="R125" s="148" t="s">
        <v>1025</v>
      </c>
      <c r="S125" s="148" t="s">
        <v>1212</v>
      </c>
      <c r="T125" s="149">
        <v>1</v>
      </c>
      <c r="U125" s="148" t="s">
        <v>591</v>
      </c>
      <c r="V125" s="150">
        <v>110.88</v>
      </c>
      <c r="W125" s="151">
        <f>V125*24</f>
        <v>2661.12</v>
      </c>
    </row>
    <row r="126" spans="1:23" ht="15" customHeight="1" x14ac:dyDescent="0.25">
      <c r="A126" s="148">
        <v>10152</v>
      </c>
      <c r="B126" s="148" t="s">
        <v>1217</v>
      </c>
      <c r="C126" s="143" t="s">
        <v>2504</v>
      </c>
      <c r="D126" s="143" t="s">
        <v>2504</v>
      </c>
      <c r="E126" s="143" t="s">
        <v>2504</v>
      </c>
      <c r="F126" s="143" t="s">
        <v>2504</v>
      </c>
      <c r="G126" s="143" t="s">
        <v>2504</v>
      </c>
      <c r="H126" s="143" t="s">
        <v>2504</v>
      </c>
      <c r="I126" s="143" t="str">
        <f t="shared" si="24"/>
        <v>NO EXISTE</v>
      </c>
      <c r="J126" s="143" t="str">
        <f t="shared" si="25"/>
        <v>NO EXISTE</v>
      </c>
      <c r="K126" s="143" t="str">
        <f t="shared" si="26"/>
        <v>NO EXISTE</v>
      </c>
      <c r="L126" s="143" t="str">
        <f t="shared" si="27"/>
        <v>NO EXISTE</v>
      </c>
      <c r="M126" s="143" t="str">
        <f t="shared" si="28"/>
        <v>NO EXISTE</v>
      </c>
      <c r="N126" s="143" t="str">
        <f t="shared" si="29"/>
        <v>NO EXISTE</v>
      </c>
      <c r="O126" s="143" t="str">
        <f t="shared" si="30"/>
        <v>NO EXISTE</v>
      </c>
      <c r="P126" s="143" t="str">
        <f t="shared" si="31"/>
        <v>NO EXISTE</v>
      </c>
      <c r="Q126" s="148" t="s">
        <v>1218</v>
      </c>
      <c r="R126" s="148" t="s">
        <v>1025</v>
      </c>
      <c r="S126" s="148" t="s">
        <v>1212</v>
      </c>
      <c r="T126" s="149">
        <v>1</v>
      </c>
      <c r="U126" s="148" t="s">
        <v>591</v>
      </c>
      <c r="V126" s="150">
        <v>118.53</v>
      </c>
      <c r="W126" s="151">
        <f>V126*6</f>
        <v>711.18000000000006</v>
      </c>
    </row>
    <row r="127" spans="1:23" ht="15" customHeight="1" x14ac:dyDescent="0.25">
      <c r="A127" s="148">
        <v>10154</v>
      </c>
      <c r="B127" s="148" t="s">
        <v>1219</v>
      </c>
      <c r="C127" s="143" t="s">
        <v>2504</v>
      </c>
      <c r="D127" s="143" t="s">
        <v>2504</v>
      </c>
      <c r="E127" s="143" t="s">
        <v>2504</v>
      </c>
      <c r="F127" s="143" t="s">
        <v>2504</v>
      </c>
      <c r="G127" s="143" t="s">
        <v>2504</v>
      </c>
      <c r="H127" s="143" t="s">
        <v>2504</v>
      </c>
      <c r="I127" s="143" t="str">
        <f t="shared" si="24"/>
        <v>NO EXISTE</v>
      </c>
      <c r="J127" s="143" t="str">
        <f t="shared" si="25"/>
        <v>NO EXISTE</v>
      </c>
      <c r="K127" s="143" t="str">
        <f t="shared" si="26"/>
        <v>NO EXISTE</v>
      </c>
      <c r="L127" s="143" t="str">
        <f t="shared" si="27"/>
        <v>NO EXISTE</v>
      </c>
      <c r="M127" s="143" t="str">
        <f t="shared" si="28"/>
        <v>NO EXISTE</v>
      </c>
      <c r="N127" s="143" t="str">
        <f t="shared" si="29"/>
        <v>NO EXISTE</v>
      </c>
      <c r="O127" s="143" t="str">
        <f t="shared" si="30"/>
        <v>NO EXISTE</v>
      </c>
      <c r="P127" s="143" t="str">
        <f t="shared" si="31"/>
        <v>NO EXISTE</v>
      </c>
      <c r="Q127" s="148" t="s">
        <v>1220</v>
      </c>
      <c r="R127" s="148" t="s">
        <v>1025</v>
      </c>
      <c r="S127" s="148" t="s">
        <v>1212</v>
      </c>
      <c r="T127" s="149">
        <v>1</v>
      </c>
      <c r="U127" s="148" t="s">
        <v>591</v>
      </c>
      <c r="V127" s="150">
        <v>103.3</v>
      </c>
      <c r="W127" s="151">
        <f>V127*24</f>
        <v>2479.1999999999998</v>
      </c>
    </row>
    <row r="128" spans="1:23" ht="15" customHeight="1" x14ac:dyDescent="0.25">
      <c r="A128" s="148">
        <v>10167</v>
      </c>
      <c r="B128" s="148" t="s">
        <v>1221</v>
      </c>
      <c r="C128" s="143" t="s">
        <v>2504</v>
      </c>
      <c r="D128" s="143" t="s">
        <v>2504</v>
      </c>
      <c r="E128" s="143" t="s">
        <v>2504</v>
      </c>
      <c r="F128" s="143" t="s">
        <v>2504</v>
      </c>
      <c r="G128" s="143" t="s">
        <v>2504</v>
      </c>
      <c r="H128" s="143" t="s">
        <v>2504</v>
      </c>
      <c r="I128" s="143" t="str">
        <f t="shared" si="24"/>
        <v>NO EXISTE</v>
      </c>
      <c r="J128" s="143" t="str">
        <f t="shared" si="25"/>
        <v>NO EXISTE</v>
      </c>
      <c r="K128" s="143" t="str">
        <f t="shared" si="26"/>
        <v>NO EXISTE</v>
      </c>
      <c r="L128" s="143" t="str">
        <f t="shared" si="27"/>
        <v>NO EXISTE</v>
      </c>
      <c r="M128" s="143" t="str">
        <f t="shared" si="28"/>
        <v>NO EXISTE</v>
      </c>
      <c r="N128" s="143" t="str">
        <f t="shared" si="29"/>
        <v>NO EXISTE</v>
      </c>
      <c r="O128" s="143" t="str">
        <f t="shared" si="30"/>
        <v>NO EXISTE</v>
      </c>
      <c r="P128" s="143" t="str">
        <f t="shared" si="31"/>
        <v>NO EXISTE</v>
      </c>
      <c r="Q128" s="148" t="s">
        <v>1222</v>
      </c>
      <c r="R128" s="148" t="s">
        <v>1025</v>
      </c>
      <c r="S128" s="148" t="s">
        <v>1189</v>
      </c>
      <c r="T128" s="149">
        <v>1</v>
      </c>
      <c r="U128" s="148" t="s">
        <v>591</v>
      </c>
      <c r="V128" s="150">
        <v>178.11</v>
      </c>
      <c r="W128" s="151">
        <v>2069.69</v>
      </c>
    </row>
    <row r="129" spans="1:23" ht="15" customHeight="1" x14ac:dyDescent="0.25">
      <c r="A129" s="148">
        <v>10168</v>
      </c>
      <c r="B129" s="148" t="s">
        <v>1223</v>
      </c>
      <c r="C129" s="143" t="s">
        <v>2504</v>
      </c>
      <c r="D129" s="143" t="s">
        <v>2504</v>
      </c>
      <c r="E129" s="143" t="s">
        <v>2504</v>
      </c>
      <c r="F129" s="143" t="s">
        <v>2504</v>
      </c>
      <c r="G129" s="143" t="s">
        <v>2504</v>
      </c>
      <c r="H129" s="143" t="s">
        <v>2504</v>
      </c>
      <c r="I129" s="143" t="str">
        <f t="shared" si="24"/>
        <v>NO EXISTE</v>
      </c>
      <c r="J129" s="143" t="str">
        <f t="shared" si="25"/>
        <v>NO EXISTE</v>
      </c>
      <c r="K129" s="143" t="str">
        <f t="shared" si="26"/>
        <v>NO EXISTE</v>
      </c>
      <c r="L129" s="143" t="str">
        <f t="shared" si="27"/>
        <v>NO EXISTE</v>
      </c>
      <c r="M129" s="143" t="str">
        <f t="shared" si="28"/>
        <v>NO EXISTE</v>
      </c>
      <c r="N129" s="143" t="str">
        <f t="shared" si="29"/>
        <v>NO EXISTE</v>
      </c>
      <c r="O129" s="143" t="str">
        <f t="shared" si="30"/>
        <v>NO EXISTE</v>
      </c>
      <c r="P129" s="143" t="str">
        <f t="shared" si="31"/>
        <v>NO EXISTE</v>
      </c>
      <c r="Q129" s="148" t="s">
        <v>1224</v>
      </c>
      <c r="R129" s="148" t="s">
        <v>1025</v>
      </c>
      <c r="S129" s="148" t="s">
        <v>1059</v>
      </c>
      <c r="T129" s="149">
        <v>1</v>
      </c>
      <c r="U129" s="148" t="s">
        <v>591</v>
      </c>
      <c r="V129" s="150">
        <v>106.68</v>
      </c>
      <c r="W129" s="151">
        <v>2080.5500000000002</v>
      </c>
    </row>
    <row r="130" spans="1:23" ht="15" customHeight="1" x14ac:dyDescent="0.25">
      <c r="A130" s="148">
        <v>10181</v>
      </c>
      <c r="B130" s="148" t="s">
        <v>1225</v>
      </c>
      <c r="C130" s="143" t="s">
        <v>2504</v>
      </c>
      <c r="D130" s="143" t="s">
        <v>2504</v>
      </c>
      <c r="E130" s="143" t="s">
        <v>2504</v>
      </c>
      <c r="F130" s="143" t="s">
        <v>2504</v>
      </c>
      <c r="G130" s="143" t="s">
        <v>2504</v>
      </c>
      <c r="H130" s="143" t="s">
        <v>2504</v>
      </c>
      <c r="I130" s="143" t="str">
        <f t="shared" si="24"/>
        <v>NO EXISTE</v>
      </c>
      <c r="J130" s="143" t="str">
        <f t="shared" si="25"/>
        <v>NO EXISTE</v>
      </c>
      <c r="K130" s="143" t="str">
        <f t="shared" si="26"/>
        <v>NO EXISTE</v>
      </c>
      <c r="L130" s="143" t="str">
        <f t="shared" si="27"/>
        <v>NO EXISTE</v>
      </c>
      <c r="M130" s="143" t="str">
        <f t="shared" si="28"/>
        <v>NO EXISTE</v>
      </c>
      <c r="N130" s="143" t="str">
        <f t="shared" si="29"/>
        <v>NO EXISTE</v>
      </c>
      <c r="O130" s="143" t="str">
        <f t="shared" si="30"/>
        <v>NO EXISTE</v>
      </c>
      <c r="P130" s="143" t="str">
        <f t="shared" si="31"/>
        <v>NO EXISTE</v>
      </c>
      <c r="Q130" s="148" t="s">
        <v>1226</v>
      </c>
      <c r="R130" s="148" t="s">
        <v>1025</v>
      </c>
      <c r="S130" s="148" t="s">
        <v>1227</v>
      </c>
      <c r="T130" s="149">
        <v>1</v>
      </c>
      <c r="U130" s="148" t="s">
        <v>591</v>
      </c>
      <c r="V130" s="150">
        <v>111.29</v>
      </c>
      <c r="W130" s="151">
        <f>V130*15</f>
        <v>1669.3500000000001</v>
      </c>
    </row>
    <row r="131" spans="1:23" ht="15" customHeight="1" x14ac:dyDescent="0.25">
      <c r="A131" s="148">
        <v>10183</v>
      </c>
      <c r="B131" s="148" t="s">
        <v>1228</v>
      </c>
      <c r="C131" s="143" t="s">
        <v>2504</v>
      </c>
      <c r="D131" s="143" t="s">
        <v>2504</v>
      </c>
      <c r="E131" s="143" t="s">
        <v>2504</v>
      </c>
      <c r="F131" s="143" t="s">
        <v>2504</v>
      </c>
      <c r="G131" s="143" t="s">
        <v>2504</v>
      </c>
      <c r="H131" s="143" t="s">
        <v>2504</v>
      </c>
      <c r="I131" s="143" t="str">
        <f t="shared" si="24"/>
        <v>NO EXISTE</v>
      </c>
      <c r="J131" s="143" t="str">
        <f t="shared" si="25"/>
        <v>NO EXISTE</v>
      </c>
      <c r="K131" s="143" t="str">
        <f t="shared" si="26"/>
        <v>NO EXISTE</v>
      </c>
      <c r="L131" s="143" t="str">
        <f t="shared" si="27"/>
        <v>NO EXISTE</v>
      </c>
      <c r="M131" s="143" t="str">
        <f t="shared" si="28"/>
        <v>NO EXISTE</v>
      </c>
      <c r="N131" s="143" t="str">
        <f t="shared" si="29"/>
        <v>NO EXISTE</v>
      </c>
      <c r="O131" s="143" t="str">
        <f t="shared" si="30"/>
        <v>NO EXISTE</v>
      </c>
      <c r="P131" s="143" t="str">
        <f t="shared" si="31"/>
        <v>NO EXISTE</v>
      </c>
      <c r="Q131" s="148" t="s">
        <v>1229</v>
      </c>
      <c r="R131" s="148" t="s">
        <v>1025</v>
      </c>
      <c r="S131" s="148" t="s">
        <v>1227</v>
      </c>
      <c r="T131" s="149">
        <v>1</v>
      </c>
      <c r="U131" s="148" t="s">
        <v>591</v>
      </c>
      <c r="V131" s="150">
        <v>111.98</v>
      </c>
      <c r="W131" s="151">
        <v>21225.919999999998</v>
      </c>
    </row>
    <row r="132" spans="1:23" ht="15" customHeight="1" x14ac:dyDescent="0.25">
      <c r="A132" s="148">
        <v>10184</v>
      </c>
      <c r="B132" s="148" t="s">
        <v>1230</v>
      </c>
      <c r="C132" s="143" t="s">
        <v>2504</v>
      </c>
      <c r="D132" s="143" t="s">
        <v>2504</v>
      </c>
      <c r="E132" s="143" t="s">
        <v>2504</v>
      </c>
      <c r="F132" s="143" t="s">
        <v>2504</v>
      </c>
      <c r="G132" s="143" t="s">
        <v>2504</v>
      </c>
      <c r="H132" s="143" t="s">
        <v>2504</v>
      </c>
      <c r="I132" s="143" t="str">
        <f t="shared" si="24"/>
        <v>NO EXISTE</v>
      </c>
      <c r="J132" s="143" t="str">
        <f t="shared" si="25"/>
        <v>NO EXISTE</v>
      </c>
      <c r="K132" s="143" t="str">
        <f t="shared" si="26"/>
        <v>NO EXISTE</v>
      </c>
      <c r="L132" s="143" t="str">
        <f t="shared" si="27"/>
        <v>NO EXISTE</v>
      </c>
      <c r="M132" s="143" t="str">
        <f t="shared" si="28"/>
        <v>NO EXISTE</v>
      </c>
      <c r="N132" s="143" t="str">
        <f t="shared" si="29"/>
        <v>NO EXISTE</v>
      </c>
      <c r="O132" s="143" t="str">
        <f t="shared" si="30"/>
        <v>NO EXISTE</v>
      </c>
      <c r="P132" s="143" t="str">
        <f t="shared" si="31"/>
        <v>NO EXISTE</v>
      </c>
      <c r="Q132" s="148" t="s">
        <v>1231</v>
      </c>
      <c r="R132" s="148" t="s">
        <v>1025</v>
      </c>
      <c r="S132" s="148" t="s">
        <v>1164</v>
      </c>
      <c r="T132" s="149">
        <v>1</v>
      </c>
      <c r="U132" s="148" t="s">
        <v>591</v>
      </c>
      <c r="V132" s="150">
        <v>114.1</v>
      </c>
      <c r="W132" s="151">
        <f>V132*24</f>
        <v>2738.3999999999996</v>
      </c>
    </row>
    <row r="133" spans="1:23" ht="15" customHeight="1" x14ac:dyDescent="0.25">
      <c r="A133" s="148">
        <v>10441</v>
      </c>
      <c r="B133" s="148" t="s">
        <v>1530</v>
      </c>
      <c r="C133" s="143" t="s">
        <v>2504</v>
      </c>
      <c r="D133" s="143" t="s">
        <v>2504</v>
      </c>
      <c r="E133" s="143" t="s">
        <v>2504</v>
      </c>
      <c r="F133" s="143" t="s">
        <v>2504</v>
      </c>
      <c r="G133" s="143" t="s">
        <v>2504</v>
      </c>
      <c r="H133" s="143" t="s">
        <v>2504</v>
      </c>
      <c r="I133" s="143" t="str">
        <f t="shared" si="24"/>
        <v>NO EXISTE</v>
      </c>
      <c r="J133" s="143" t="str">
        <f t="shared" si="25"/>
        <v>NO EXISTE</v>
      </c>
      <c r="K133" s="143" t="str">
        <f t="shared" si="26"/>
        <v>NO EXISTE</v>
      </c>
      <c r="L133" s="143" t="str">
        <f t="shared" si="27"/>
        <v>NO EXISTE</v>
      </c>
      <c r="M133" s="143" t="str">
        <f t="shared" si="28"/>
        <v>NO EXISTE</v>
      </c>
      <c r="N133" s="143" t="str">
        <f t="shared" si="29"/>
        <v>NO EXISTE</v>
      </c>
      <c r="O133" s="143" t="str">
        <f t="shared" si="30"/>
        <v>NO EXISTE</v>
      </c>
      <c r="P133" s="143" t="str">
        <f t="shared" si="31"/>
        <v>NO EXISTE</v>
      </c>
      <c r="Q133" s="148" t="s">
        <v>1531</v>
      </c>
      <c r="R133" s="148" t="s">
        <v>1025</v>
      </c>
      <c r="S133" s="148" t="s">
        <v>1209</v>
      </c>
      <c r="T133" s="149">
        <v>19</v>
      </c>
      <c r="U133" s="148" t="s">
        <v>591</v>
      </c>
      <c r="V133" s="150">
        <v>1783.2</v>
      </c>
      <c r="W133" s="151">
        <f>V133*24</f>
        <v>42796.800000000003</v>
      </c>
    </row>
    <row r="134" spans="1:23" ht="15" customHeight="1" x14ac:dyDescent="0.25">
      <c r="A134" s="148">
        <v>10442</v>
      </c>
      <c r="B134" s="148" t="s">
        <v>1532</v>
      </c>
      <c r="C134" s="143" t="s">
        <v>2504</v>
      </c>
      <c r="D134" s="143" t="s">
        <v>2504</v>
      </c>
      <c r="E134" s="143" t="s">
        <v>2504</v>
      </c>
      <c r="F134" s="143" t="s">
        <v>2504</v>
      </c>
      <c r="G134" s="143" t="s">
        <v>2504</v>
      </c>
      <c r="H134" s="143" t="s">
        <v>2504</v>
      </c>
      <c r="I134" s="143" t="str">
        <f t="shared" si="24"/>
        <v>NO EXISTE</v>
      </c>
      <c r="J134" s="143" t="str">
        <f t="shared" si="25"/>
        <v>NO EXISTE</v>
      </c>
      <c r="K134" s="143" t="str">
        <f t="shared" si="26"/>
        <v>NO EXISTE</v>
      </c>
      <c r="L134" s="143" t="str">
        <f t="shared" si="27"/>
        <v>NO EXISTE</v>
      </c>
      <c r="M134" s="143" t="str">
        <f t="shared" si="28"/>
        <v>NO EXISTE</v>
      </c>
      <c r="N134" s="143" t="str">
        <f t="shared" si="29"/>
        <v>NO EXISTE</v>
      </c>
      <c r="O134" s="143" t="str">
        <f t="shared" si="30"/>
        <v>NO EXISTE</v>
      </c>
      <c r="P134" s="143" t="str">
        <f t="shared" si="31"/>
        <v>NO EXISTE</v>
      </c>
      <c r="Q134" s="148" t="s">
        <v>1533</v>
      </c>
      <c r="R134" s="148" t="s">
        <v>1025</v>
      </c>
      <c r="S134" s="148" t="s">
        <v>1513</v>
      </c>
      <c r="T134" s="149">
        <v>19</v>
      </c>
      <c r="U134" s="148" t="s">
        <v>591</v>
      </c>
      <c r="V134" s="150">
        <v>2890.97</v>
      </c>
      <c r="W134" s="151">
        <v>3134.64</v>
      </c>
    </row>
    <row r="135" spans="1:23" ht="15" customHeight="1" x14ac:dyDescent="0.25">
      <c r="A135" s="148">
        <v>10443</v>
      </c>
      <c r="B135" s="148" t="s">
        <v>1534</v>
      </c>
      <c r="C135" s="143" t="s">
        <v>2504</v>
      </c>
      <c r="D135" s="143" t="s">
        <v>2504</v>
      </c>
      <c r="E135" s="143" t="s">
        <v>2504</v>
      </c>
      <c r="F135" s="143" t="s">
        <v>2504</v>
      </c>
      <c r="G135" s="143" t="s">
        <v>2504</v>
      </c>
      <c r="H135" s="143" t="s">
        <v>2504</v>
      </c>
      <c r="I135" s="143" t="str">
        <f t="shared" si="24"/>
        <v>NO EXISTE</v>
      </c>
      <c r="J135" s="143" t="str">
        <f t="shared" si="25"/>
        <v>NO EXISTE</v>
      </c>
      <c r="K135" s="143" t="str">
        <f t="shared" si="26"/>
        <v>NO EXISTE</v>
      </c>
      <c r="L135" s="143" t="str">
        <f t="shared" si="27"/>
        <v>NO EXISTE</v>
      </c>
      <c r="M135" s="143" t="str">
        <f t="shared" si="28"/>
        <v>NO EXISTE</v>
      </c>
      <c r="N135" s="143" t="str">
        <f t="shared" si="29"/>
        <v>NO EXISTE</v>
      </c>
      <c r="O135" s="143" t="str">
        <f t="shared" si="30"/>
        <v>NO EXISTE</v>
      </c>
      <c r="P135" s="143" t="str">
        <f t="shared" si="31"/>
        <v>NO EXISTE</v>
      </c>
      <c r="Q135" s="148" t="s">
        <v>1535</v>
      </c>
      <c r="R135" s="148" t="s">
        <v>1025</v>
      </c>
      <c r="S135" s="148" t="s">
        <v>1527</v>
      </c>
      <c r="T135" s="149">
        <v>19</v>
      </c>
      <c r="U135" s="148" t="s">
        <v>591</v>
      </c>
      <c r="V135" s="150">
        <v>1878.98</v>
      </c>
      <c r="W135" s="151">
        <v>18951.82</v>
      </c>
    </row>
    <row r="136" spans="1:23" ht="15" customHeight="1" x14ac:dyDescent="0.25">
      <c r="A136" s="148">
        <v>10444</v>
      </c>
      <c r="B136" s="148" t="s">
        <v>1536</v>
      </c>
      <c r="C136" s="143" t="s">
        <v>2504</v>
      </c>
      <c r="D136" s="143" t="s">
        <v>2504</v>
      </c>
      <c r="E136" s="143" t="s">
        <v>2504</v>
      </c>
      <c r="F136" s="143" t="s">
        <v>2504</v>
      </c>
      <c r="G136" s="143" t="s">
        <v>2504</v>
      </c>
      <c r="H136" s="143" t="s">
        <v>2504</v>
      </c>
      <c r="I136" s="143" t="str">
        <f t="shared" si="24"/>
        <v>NO EXISTE</v>
      </c>
      <c r="J136" s="143" t="str">
        <f t="shared" si="25"/>
        <v>NO EXISTE</v>
      </c>
      <c r="K136" s="143" t="str">
        <f t="shared" si="26"/>
        <v>NO EXISTE</v>
      </c>
      <c r="L136" s="143" t="str">
        <f t="shared" si="27"/>
        <v>NO EXISTE</v>
      </c>
      <c r="M136" s="143" t="str">
        <f t="shared" si="28"/>
        <v>NO EXISTE</v>
      </c>
      <c r="N136" s="143" t="str">
        <f t="shared" si="29"/>
        <v>NO EXISTE</v>
      </c>
      <c r="O136" s="143" t="str">
        <f t="shared" si="30"/>
        <v>NO EXISTE</v>
      </c>
      <c r="P136" s="143" t="str">
        <f t="shared" si="31"/>
        <v>NO EXISTE</v>
      </c>
      <c r="Q136" s="148" t="s">
        <v>1537</v>
      </c>
      <c r="R136" s="148" t="s">
        <v>1025</v>
      </c>
      <c r="S136" s="148" t="s">
        <v>1212</v>
      </c>
      <c r="T136" s="149">
        <v>19</v>
      </c>
      <c r="U136" s="148" t="s">
        <v>591</v>
      </c>
      <c r="V136" s="150">
        <v>2034.61</v>
      </c>
      <c r="W136" s="151">
        <f>V136*12</f>
        <v>24415.32</v>
      </c>
    </row>
    <row r="137" spans="1:23" ht="15" customHeight="1" x14ac:dyDescent="0.25">
      <c r="A137" s="148">
        <v>10449</v>
      </c>
      <c r="B137" s="148" t="s">
        <v>1538</v>
      </c>
      <c r="C137" s="143" t="s">
        <v>2504</v>
      </c>
      <c r="D137" s="143" t="s">
        <v>2504</v>
      </c>
      <c r="E137" s="143" t="s">
        <v>2504</v>
      </c>
      <c r="F137" s="143" t="s">
        <v>2504</v>
      </c>
      <c r="G137" s="143" t="s">
        <v>2504</v>
      </c>
      <c r="H137" s="143" t="s">
        <v>2504</v>
      </c>
      <c r="I137" s="143" t="str">
        <f t="shared" si="24"/>
        <v>NO EXISTE</v>
      </c>
      <c r="J137" s="143" t="str">
        <f t="shared" si="25"/>
        <v>NO EXISTE</v>
      </c>
      <c r="K137" s="143" t="str">
        <f t="shared" si="26"/>
        <v>NO EXISTE</v>
      </c>
      <c r="L137" s="143" t="str">
        <f t="shared" si="27"/>
        <v>NO EXISTE</v>
      </c>
      <c r="M137" s="143" t="str">
        <f t="shared" si="28"/>
        <v>NO EXISTE</v>
      </c>
      <c r="N137" s="143" t="str">
        <f t="shared" si="29"/>
        <v>NO EXISTE</v>
      </c>
      <c r="O137" s="143" t="str">
        <f t="shared" si="30"/>
        <v>NO EXISTE</v>
      </c>
      <c r="P137" s="143" t="str">
        <f t="shared" si="31"/>
        <v>NO EXISTE</v>
      </c>
      <c r="Q137" s="148" t="s">
        <v>1539</v>
      </c>
      <c r="R137" s="148" t="s">
        <v>1025</v>
      </c>
      <c r="S137" s="148" t="s">
        <v>1212</v>
      </c>
      <c r="T137" s="149">
        <v>19</v>
      </c>
      <c r="U137" s="148" t="s">
        <v>591</v>
      </c>
      <c r="V137" s="150">
        <v>2239.59</v>
      </c>
      <c r="W137" s="151">
        <f>V137*1000</f>
        <v>2239590</v>
      </c>
    </row>
    <row r="138" spans="1:23" ht="15" customHeight="1" x14ac:dyDescent="0.25">
      <c r="A138" s="148">
        <v>10452</v>
      </c>
      <c r="B138" s="148" t="s">
        <v>1540</v>
      </c>
      <c r="C138" s="143" t="s">
        <v>2504</v>
      </c>
      <c r="D138" s="143" t="s">
        <v>2504</v>
      </c>
      <c r="E138" s="143" t="s">
        <v>2504</v>
      </c>
      <c r="F138" s="143" t="s">
        <v>2504</v>
      </c>
      <c r="G138" s="143" t="s">
        <v>2504</v>
      </c>
      <c r="H138" s="143" t="s">
        <v>2504</v>
      </c>
      <c r="I138" s="143" t="str">
        <f t="shared" si="24"/>
        <v>NO EXISTE</v>
      </c>
      <c r="J138" s="143" t="str">
        <f t="shared" si="25"/>
        <v>NO EXISTE</v>
      </c>
      <c r="K138" s="143" t="str">
        <f t="shared" si="26"/>
        <v>NO EXISTE</v>
      </c>
      <c r="L138" s="143" t="str">
        <f t="shared" si="27"/>
        <v>NO EXISTE</v>
      </c>
      <c r="M138" s="143" t="str">
        <f t="shared" si="28"/>
        <v>NO EXISTE</v>
      </c>
      <c r="N138" s="143" t="str">
        <f t="shared" si="29"/>
        <v>NO EXISTE</v>
      </c>
      <c r="O138" s="143" t="str">
        <f t="shared" si="30"/>
        <v>NO EXISTE</v>
      </c>
      <c r="P138" s="143" t="str">
        <f t="shared" si="31"/>
        <v>NO EXISTE</v>
      </c>
      <c r="Q138" s="148" t="s">
        <v>1541</v>
      </c>
      <c r="R138" s="148" t="s">
        <v>1025</v>
      </c>
      <c r="S138" s="148" t="s">
        <v>1212</v>
      </c>
      <c r="T138" s="149">
        <v>19</v>
      </c>
      <c r="U138" s="148" t="s">
        <v>591</v>
      </c>
      <c r="V138" s="150">
        <v>2384.92</v>
      </c>
      <c r="W138" s="151">
        <f>V138*1000</f>
        <v>2384920</v>
      </c>
    </row>
    <row r="139" spans="1:23" ht="15" customHeight="1" x14ac:dyDescent="0.25">
      <c r="A139" s="148">
        <v>10453</v>
      </c>
      <c r="B139" s="148" t="s">
        <v>1542</v>
      </c>
      <c r="C139" s="143" t="s">
        <v>2504</v>
      </c>
      <c r="D139" s="143" t="s">
        <v>2504</v>
      </c>
      <c r="E139" s="143" t="s">
        <v>2504</v>
      </c>
      <c r="F139" s="143" t="s">
        <v>2504</v>
      </c>
      <c r="G139" s="143" t="s">
        <v>2504</v>
      </c>
      <c r="H139" s="143" t="s">
        <v>2504</v>
      </c>
      <c r="I139" s="143" t="str">
        <f t="shared" si="24"/>
        <v>NO EXISTE</v>
      </c>
      <c r="J139" s="143" t="str">
        <f t="shared" si="25"/>
        <v>NO EXISTE</v>
      </c>
      <c r="K139" s="143" t="str">
        <f t="shared" si="26"/>
        <v>NO EXISTE</v>
      </c>
      <c r="L139" s="143" t="str">
        <f t="shared" si="27"/>
        <v>NO EXISTE</v>
      </c>
      <c r="M139" s="143" t="str">
        <f t="shared" si="28"/>
        <v>NO EXISTE</v>
      </c>
      <c r="N139" s="143" t="str">
        <f t="shared" si="29"/>
        <v>NO EXISTE</v>
      </c>
      <c r="O139" s="143" t="str">
        <f t="shared" si="30"/>
        <v>NO EXISTE</v>
      </c>
      <c r="P139" s="143" t="str">
        <f t="shared" si="31"/>
        <v>NO EXISTE</v>
      </c>
      <c r="Q139" s="148" t="s">
        <v>1543</v>
      </c>
      <c r="R139" s="148" t="s">
        <v>1025</v>
      </c>
      <c r="S139" s="148" t="s">
        <v>1212</v>
      </c>
      <c r="T139" s="149">
        <v>19</v>
      </c>
      <c r="U139" s="148" t="s">
        <v>591</v>
      </c>
      <c r="V139" s="150">
        <v>2064.5300000000002</v>
      </c>
      <c r="W139" s="151">
        <v>11259.49</v>
      </c>
    </row>
    <row r="140" spans="1:23" ht="15" customHeight="1" x14ac:dyDescent="0.25">
      <c r="A140" s="148">
        <v>10454</v>
      </c>
      <c r="B140" s="148" t="s">
        <v>1544</v>
      </c>
      <c r="C140" s="143" t="s">
        <v>2504</v>
      </c>
      <c r="D140" s="143" t="s">
        <v>2504</v>
      </c>
      <c r="E140" s="143" t="s">
        <v>2504</v>
      </c>
      <c r="F140" s="143" t="s">
        <v>2504</v>
      </c>
      <c r="G140" s="143" t="s">
        <v>2504</v>
      </c>
      <c r="H140" s="143" t="s">
        <v>2504</v>
      </c>
      <c r="I140" s="143" t="str">
        <f t="shared" si="24"/>
        <v>NO EXISTE</v>
      </c>
      <c r="J140" s="143" t="str">
        <f t="shared" si="25"/>
        <v>NO EXISTE</v>
      </c>
      <c r="K140" s="143" t="str">
        <f t="shared" si="26"/>
        <v>NO EXISTE</v>
      </c>
      <c r="L140" s="143" t="str">
        <f t="shared" si="27"/>
        <v>NO EXISTE</v>
      </c>
      <c r="M140" s="143" t="str">
        <f t="shared" si="28"/>
        <v>NO EXISTE</v>
      </c>
      <c r="N140" s="143" t="str">
        <f t="shared" si="29"/>
        <v>NO EXISTE</v>
      </c>
      <c r="O140" s="143" t="str">
        <f t="shared" si="30"/>
        <v>NO EXISTE</v>
      </c>
      <c r="P140" s="143" t="str">
        <f t="shared" si="31"/>
        <v>NO EXISTE</v>
      </c>
      <c r="Q140" s="148" t="s">
        <v>1545</v>
      </c>
      <c r="R140" s="148" t="s">
        <v>1025</v>
      </c>
      <c r="S140" s="148" t="s">
        <v>1212</v>
      </c>
      <c r="T140" s="149">
        <v>19</v>
      </c>
      <c r="U140" s="148" t="s">
        <v>591</v>
      </c>
      <c r="V140" s="150">
        <v>2095.5700000000002</v>
      </c>
      <c r="W140" s="151">
        <v>1123.6400000000001</v>
      </c>
    </row>
    <row r="141" spans="1:23" ht="15" customHeight="1" x14ac:dyDescent="0.25">
      <c r="A141" s="148">
        <v>10460</v>
      </c>
      <c r="B141" s="148" t="s">
        <v>1546</v>
      </c>
      <c r="C141" s="143" t="s">
        <v>2504</v>
      </c>
      <c r="D141" s="143" t="s">
        <v>2504</v>
      </c>
      <c r="E141" s="143" t="s">
        <v>2504</v>
      </c>
      <c r="F141" s="143" t="s">
        <v>2504</v>
      </c>
      <c r="G141" s="143" t="s">
        <v>2504</v>
      </c>
      <c r="H141" s="143" t="s">
        <v>2504</v>
      </c>
      <c r="I141" s="143" t="str">
        <f t="shared" si="24"/>
        <v>NO EXISTE</v>
      </c>
      <c r="J141" s="143" t="str">
        <f t="shared" si="25"/>
        <v>NO EXISTE</v>
      </c>
      <c r="K141" s="143" t="str">
        <f t="shared" si="26"/>
        <v>NO EXISTE</v>
      </c>
      <c r="L141" s="143" t="str">
        <f t="shared" si="27"/>
        <v>NO EXISTE</v>
      </c>
      <c r="M141" s="143" t="str">
        <f t="shared" si="28"/>
        <v>NO EXISTE</v>
      </c>
      <c r="N141" s="143" t="str">
        <f t="shared" si="29"/>
        <v>NO EXISTE</v>
      </c>
      <c r="O141" s="143" t="str">
        <f t="shared" si="30"/>
        <v>NO EXISTE</v>
      </c>
      <c r="P141" s="143" t="str">
        <f t="shared" si="31"/>
        <v>NO EXISTE</v>
      </c>
      <c r="Q141" s="148" t="s">
        <v>1547</v>
      </c>
      <c r="R141" s="148" t="s">
        <v>1025</v>
      </c>
      <c r="S141" s="148" t="s">
        <v>1548</v>
      </c>
      <c r="T141" s="149">
        <v>19</v>
      </c>
      <c r="U141" s="148" t="s">
        <v>591</v>
      </c>
      <c r="V141" s="150">
        <v>2092.73</v>
      </c>
      <c r="W141" s="151">
        <f>V141*4</f>
        <v>8370.92</v>
      </c>
    </row>
    <row r="142" spans="1:23" ht="15" customHeight="1" x14ac:dyDescent="0.25">
      <c r="A142" s="148">
        <v>10462</v>
      </c>
      <c r="B142" s="148" t="s">
        <v>1549</v>
      </c>
      <c r="C142" s="143" t="s">
        <v>2504</v>
      </c>
      <c r="D142" s="143" t="s">
        <v>2504</v>
      </c>
      <c r="E142" s="143" t="s">
        <v>2504</v>
      </c>
      <c r="F142" s="143" t="s">
        <v>2504</v>
      </c>
      <c r="G142" s="143" t="s">
        <v>2504</v>
      </c>
      <c r="H142" s="143" t="s">
        <v>2504</v>
      </c>
      <c r="I142" s="143" t="str">
        <f t="shared" si="24"/>
        <v>NO EXISTE</v>
      </c>
      <c r="J142" s="143" t="str">
        <f t="shared" si="25"/>
        <v>NO EXISTE</v>
      </c>
      <c r="K142" s="143" t="str">
        <f t="shared" si="26"/>
        <v>NO EXISTE</v>
      </c>
      <c r="L142" s="143" t="str">
        <f t="shared" si="27"/>
        <v>NO EXISTE</v>
      </c>
      <c r="M142" s="143" t="str">
        <f t="shared" si="28"/>
        <v>NO EXISTE</v>
      </c>
      <c r="N142" s="143" t="str">
        <f t="shared" si="29"/>
        <v>NO EXISTE</v>
      </c>
      <c r="O142" s="143" t="str">
        <f t="shared" si="30"/>
        <v>NO EXISTE</v>
      </c>
      <c r="P142" s="143" t="str">
        <f t="shared" si="31"/>
        <v>NO EXISTE</v>
      </c>
      <c r="Q142" s="148" t="s">
        <v>1550</v>
      </c>
      <c r="R142" s="148" t="s">
        <v>1025</v>
      </c>
      <c r="S142" s="148" t="s">
        <v>1548</v>
      </c>
      <c r="T142" s="149">
        <v>19</v>
      </c>
      <c r="U142" s="148" t="s">
        <v>591</v>
      </c>
      <c r="V142" s="150">
        <v>2222.65</v>
      </c>
      <c r="W142" s="151">
        <f>V142*15</f>
        <v>33339.75</v>
      </c>
    </row>
    <row r="143" spans="1:23" ht="15" customHeight="1" x14ac:dyDescent="0.25">
      <c r="A143" s="148">
        <v>10463</v>
      </c>
      <c r="B143" s="148" t="s">
        <v>1551</v>
      </c>
      <c r="C143" s="143" t="s">
        <v>2504</v>
      </c>
      <c r="D143" s="143" t="s">
        <v>2504</v>
      </c>
      <c r="E143" s="143" t="s">
        <v>2504</v>
      </c>
      <c r="F143" s="143" t="s">
        <v>2504</v>
      </c>
      <c r="G143" s="143" t="s">
        <v>2504</v>
      </c>
      <c r="H143" s="143" t="s">
        <v>2504</v>
      </c>
      <c r="I143" s="143" t="str">
        <f t="shared" si="24"/>
        <v>NO EXISTE</v>
      </c>
      <c r="J143" s="143" t="str">
        <f t="shared" si="25"/>
        <v>NO EXISTE</v>
      </c>
      <c r="K143" s="143" t="str">
        <f t="shared" si="26"/>
        <v>NO EXISTE</v>
      </c>
      <c r="L143" s="143" t="str">
        <f t="shared" si="27"/>
        <v>NO EXISTE</v>
      </c>
      <c r="M143" s="143" t="str">
        <f t="shared" si="28"/>
        <v>NO EXISTE</v>
      </c>
      <c r="N143" s="143" t="str">
        <f t="shared" si="29"/>
        <v>NO EXISTE</v>
      </c>
      <c r="O143" s="143" t="str">
        <f t="shared" si="30"/>
        <v>NO EXISTE</v>
      </c>
      <c r="P143" s="143" t="str">
        <f t="shared" si="31"/>
        <v>NO EXISTE</v>
      </c>
      <c r="Q143" s="148" t="s">
        <v>1552</v>
      </c>
      <c r="R143" s="148" t="s">
        <v>1025</v>
      </c>
      <c r="S143" s="148" t="s">
        <v>1548</v>
      </c>
      <c r="T143" s="149">
        <v>19</v>
      </c>
      <c r="U143" s="148" t="s">
        <v>591</v>
      </c>
      <c r="V143" s="150">
        <v>3016.7</v>
      </c>
      <c r="W143" s="151">
        <v>17313.86</v>
      </c>
    </row>
    <row r="144" spans="1:23" ht="15" customHeight="1" x14ac:dyDescent="0.25">
      <c r="A144" s="148">
        <v>10464</v>
      </c>
      <c r="B144" s="148" t="s">
        <v>1553</v>
      </c>
      <c r="C144" s="143" t="s">
        <v>2504</v>
      </c>
      <c r="D144" s="143" t="s">
        <v>2504</v>
      </c>
      <c r="E144" s="143" t="s">
        <v>2504</v>
      </c>
      <c r="F144" s="143" t="s">
        <v>2504</v>
      </c>
      <c r="G144" s="143" t="s">
        <v>2504</v>
      </c>
      <c r="H144" s="143" t="s">
        <v>2504</v>
      </c>
      <c r="I144" s="143" t="str">
        <f t="shared" si="24"/>
        <v>NO EXISTE</v>
      </c>
      <c r="J144" s="143" t="str">
        <f t="shared" si="25"/>
        <v>NO EXISTE</v>
      </c>
      <c r="K144" s="143" t="str">
        <f t="shared" si="26"/>
        <v>NO EXISTE</v>
      </c>
      <c r="L144" s="143" t="str">
        <f t="shared" si="27"/>
        <v>NO EXISTE</v>
      </c>
      <c r="M144" s="143" t="str">
        <f t="shared" si="28"/>
        <v>NO EXISTE</v>
      </c>
      <c r="N144" s="143" t="str">
        <f t="shared" si="29"/>
        <v>NO EXISTE</v>
      </c>
      <c r="O144" s="143" t="str">
        <f t="shared" si="30"/>
        <v>NO EXISTE</v>
      </c>
      <c r="P144" s="143" t="str">
        <f t="shared" si="31"/>
        <v>NO EXISTE</v>
      </c>
      <c r="Q144" s="148" t="s">
        <v>1554</v>
      </c>
      <c r="R144" s="148" t="s">
        <v>1025</v>
      </c>
      <c r="S144" s="148" t="s">
        <v>1548</v>
      </c>
      <c r="T144" s="149">
        <v>19</v>
      </c>
      <c r="U144" s="148" t="s">
        <v>591</v>
      </c>
      <c r="V144" s="150">
        <v>3312.74</v>
      </c>
      <c r="W144" s="151">
        <f>V144*4</f>
        <v>13250.96</v>
      </c>
    </row>
    <row r="145" spans="1:23" ht="15" customHeight="1" x14ac:dyDescent="0.25">
      <c r="A145" s="148">
        <v>10465</v>
      </c>
      <c r="B145" s="148" t="s">
        <v>1555</v>
      </c>
      <c r="C145" s="143" t="s">
        <v>2504</v>
      </c>
      <c r="D145" s="143" t="s">
        <v>2504</v>
      </c>
      <c r="E145" s="143" t="s">
        <v>2504</v>
      </c>
      <c r="F145" s="143" t="s">
        <v>2504</v>
      </c>
      <c r="G145" s="143" t="s">
        <v>2504</v>
      </c>
      <c r="H145" s="143" t="s">
        <v>2504</v>
      </c>
      <c r="I145" s="143" t="str">
        <f t="shared" si="24"/>
        <v>NO EXISTE</v>
      </c>
      <c r="J145" s="143" t="str">
        <f t="shared" si="25"/>
        <v>NO EXISTE</v>
      </c>
      <c r="K145" s="143" t="str">
        <f t="shared" si="26"/>
        <v>NO EXISTE</v>
      </c>
      <c r="L145" s="143" t="str">
        <f t="shared" si="27"/>
        <v>NO EXISTE</v>
      </c>
      <c r="M145" s="143" t="str">
        <f t="shared" si="28"/>
        <v>NO EXISTE</v>
      </c>
      <c r="N145" s="143" t="str">
        <f t="shared" si="29"/>
        <v>NO EXISTE</v>
      </c>
      <c r="O145" s="143" t="str">
        <f t="shared" si="30"/>
        <v>NO EXISTE</v>
      </c>
      <c r="P145" s="143" t="str">
        <f t="shared" si="31"/>
        <v>NO EXISTE</v>
      </c>
      <c r="Q145" s="148" t="s">
        <v>1556</v>
      </c>
      <c r="R145" s="148" t="s">
        <v>1025</v>
      </c>
      <c r="S145" s="148" t="s">
        <v>1548</v>
      </c>
      <c r="T145" s="149">
        <v>19</v>
      </c>
      <c r="U145" s="148" t="s">
        <v>591</v>
      </c>
      <c r="V145" s="150">
        <v>3514.55</v>
      </c>
      <c r="W145" s="151">
        <f>V145*4</f>
        <v>14058.2</v>
      </c>
    </row>
    <row r="146" spans="1:23" ht="15" customHeight="1" x14ac:dyDescent="0.25">
      <c r="A146" s="148">
        <v>10466</v>
      </c>
      <c r="B146" s="148" t="s">
        <v>1557</v>
      </c>
      <c r="C146" s="143" t="s">
        <v>2504</v>
      </c>
      <c r="D146" s="143" t="s">
        <v>2504</v>
      </c>
      <c r="E146" s="143" t="s">
        <v>2504</v>
      </c>
      <c r="F146" s="143" t="s">
        <v>2504</v>
      </c>
      <c r="G146" s="143" t="s">
        <v>2504</v>
      </c>
      <c r="H146" s="143" t="s">
        <v>2504</v>
      </c>
      <c r="I146" s="143" t="str">
        <f t="shared" si="24"/>
        <v>NO EXISTE</v>
      </c>
      <c r="J146" s="143" t="str">
        <f t="shared" si="25"/>
        <v>NO EXISTE</v>
      </c>
      <c r="K146" s="143" t="str">
        <f t="shared" si="26"/>
        <v>NO EXISTE</v>
      </c>
      <c r="L146" s="143" t="str">
        <f t="shared" si="27"/>
        <v>NO EXISTE</v>
      </c>
      <c r="M146" s="143" t="str">
        <f t="shared" si="28"/>
        <v>NO EXISTE</v>
      </c>
      <c r="N146" s="143" t="str">
        <f t="shared" si="29"/>
        <v>NO EXISTE</v>
      </c>
      <c r="O146" s="143" t="str">
        <f t="shared" si="30"/>
        <v>NO EXISTE</v>
      </c>
      <c r="P146" s="143" t="str">
        <f t="shared" si="31"/>
        <v>NO EXISTE</v>
      </c>
      <c r="Q146" s="148" t="s">
        <v>1558</v>
      </c>
      <c r="R146" s="148" t="s">
        <v>1025</v>
      </c>
      <c r="S146" s="148" t="s">
        <v>1548</v>
      </c>
      <c r="T146" s="149">
        <v>19</v>
      </c>
      <c r="U146" s="148" t="s">
        <v>591</v>
      </c>
      <c r="V146" s="150">
        <v>3106.28</v>
      </c>
      <c r="W146" s="151">
        <f>V146*1000</f>
        <v>3106280</v>
      </c>
    </row>
    <row r="147" spans="1:23" ht="15" customHeight="1" x14ac:dyDescent="0.25">
      <c r="A147" s="148">
        <v>10741</v>
      </c>
      <c r="B147" s="148" t="s">
        <v>1818</v>
      </c>
      <c r="C147" s="143" t="s">
        <v>2504</v>
      </c>
      <c r="D147" s="143" t="s">
        <v>2504</v>
      </c>
      <c r="E147" s="143" t="s">
        <v>2504</v>
      </c>
      <c r="F147" s="143" t="s">
        <v>2504</v>
      </c>
      <c r="G147" s="143" t="s">
        <v>2504</v>
      </c>
      <c r="H147" s="143" t="s">
        <v>2504</v>
      </c>
      <c r="I147" s="143" t="str">
        <f t="shared" si="24"/>
        <v>NO EXISTE</v>
      </c>
      <c r="J147" s="143" t="str">
        <f t="shared" si="25"/>
        <v>NO EXISTE</v>
      </c>
      <c r="K147" s="143" t="str">
        <f t="shared" si="26"/>
        <v>NO EXISTE</v>
      </c>
      <c r="L147" s="143" t="str">
        <f t="shared" si="27"/>
        <v>NO EXISTE</v>
      </c>
      <c r="M147" s="143" t="str">
        <f t="shared" si="28"/>
        <v>NO EXISTE</v>
      </c>
      <c r="N147" s="143" t="str">
        <f t="shared" si="29"/>
        <v>NO EXISTE</v>
      </c>
      <c r="O147" s="143" t="str">
        <f t="shared" si="30"/>
        <v>NO EXISTE</v>
      </c>
      <c r="P147" s="143" t="str">
        <f t="shared" si="31"/>
        <v>NO EXISTE</v>
      </c>
      <c r="Q147" s="148" t="s">
        <v>1819</v>
      </c>
      <c r="R147" s="148" t="s">
        <v>1025</v>
      </c>
      <c r="S147" s="148" t="s">
        <v>1209</v>
      </c>
      <c r="T147" s="149">
        <v>200</v>
      </c>
      <c r="U147" s="148" t="s">
        <v>591</v>
      </c>
      <c r="V147" s="150">
        <v>18681.54</v>
      </c>
      <c r="W147" s="151">
        <v>32743.94</v>
      </c>
    </row>
    <row r="148" spans="1:23" ht="15" customHeight="1" x14ac:dyDescent="0.25">
      <c r="A148" s="148">
        <v>10744</v>
      </c>
      <c r="B148" s="148" t="s">
        <v>1820</v>
      </c>
      <c r="C148" s="143" t="s">
        <v>2504</v>
      </c>
      <c r="D148" s="143" t="s">
        <v>2504</v>
      </c>
      <c r="E148" s="143" t="s">
        <v>2504</v>
      </c>
      <c r="F148" s="143" t="s">
        <v>2504</v>
      </c>
      <c r="G148" s="143" t="s">
        <v>2504</v>
      </c>
      <c r="H148" s="143" t="s">
        <v>2504</v>
      </c>
      <c r="I148" s="143" t="str">
        <f t="shared" si="24"/>
        <v>NO EXISTE</v>
      </c>
      <c r="J148" s="143" t="str">
        <f t="shared" si="25"/>
        <v>NO EXISTE</v>
      </c>
      <c r="K148" s="143" t="str">
        <f t="shared" si="26"/>
        <v>NO EXISTE</v>
      </c>
      <c r="L148" s="143" t="str">
        <f t="shared" si="27"/>
        <v>NO EXISTE</v>
      </c>
      <c r="M148" s="143" t="str">
        <f t="shared" si="28"/>
        <v>NO EXISTE</v>
      </c>
      <c r="N148" s="143" t="str">
        <f t="shared" si="29"/>
        <v>NO EXISTE</v>
      </c>
      <c r="O148" s="143" t="str">
        <f t="shared" si="30"/>
        <v>NO EXISTE</v>
      </c>
      <c r="P148" s="143" t="str">
        <f t="shared" si="31"/>
        <v>NO EXISTE</v>
      </c>
      <c r="Q148" s="148" t="s">
        <v>1821</v>
      </c>
      <c r="R148" s="148" t="s">
        <v>1025</v>
      </c>
      <c r="S148" s="148" t="s">
        <v>1212</v>
      </c>
      <c r="T148" s="149">
        <v>200</v>
      </c>
      <c r="U148" s="148" t="s">
        <v>591</v>
      </c>
      <c r="V148" s="150">
        <v>21387.17</v>
      </c>
      <c r="W148" s="151">
        <f>V148*1000</f>
        <v>21387170</v>
      </c>
    </row>
    <row r="149" spans="1:23" ht="15" customHeight="1" x14ac:dyDescent="0.25">
      <c r="A149" s="148">
        <v>10745</v>
      </c>
      <c r="B149" s="148" t="s">
        <v>1822</v>
      </c>
      <c r="C149" s="143" t="s">
        <v>2504</v>
      </c>
      <c r="D149" s="143" t="s">
        <v>2504</v>
      </c>
      <c r="E149" s="143" t="s">
        <v>2504</v>
      </c>
      <c r="F149" s="143" t="s">
        <v>2504</v>
      </c>
      <c r="G149" s="143" t="s">
        <v>2504</v>
      </c>
      <c r="H149" s="143" t="s">
        <v>2504</v>
      </c>
      <c r="I149" s="143" t="str">
        <f t="shared" si="24"/>
        <v>NO EXISTE</v>
      </c>
      <c r="J149" s="143" t="str">
        <f t="shared" si="25"/>
        <v>NO EXISTE</v>
      </c>
      <c r="K149" s="143" t="str">
        <f t="shared" si="26"/>
        <v>NO EXISTE</v>
      </c>
      <c r="L149" s="143" t="str">
        <f t="shared" si="27"/>
        <v>NO EXISTE</v>
      </c>
      <c r="M149" s="143" t="str">
        <f t="shared" si="28"/>
        <v>NO EXISTE</v>
      </c>
      <c r="N149" s="143" t="str">
        <f t="shared" si="29"/>
        <v>NO EXISTE</v>
      </c>
      <c r="O149" s="143" t="str">
        <f t="shared" si="30"/>
        <v>NO EXISTE</v>
      </c>
      <c r="P149" s="143" t="str">
        <f t="shared" si="31"/>
        <v>NO EXISTE</v>
      </c>
      <c r="Q149" s="148" t="s">
        <v>1823</v>
      </c>
      <c r="R149" s="148" t="s">
        <v>1025</v>
      </c>
      <c r="S149" s="148" t="s">
        <v>1212</v>
      </c>
      <c r="T149" s="149">
        <v>200</v>
      </c>
      <c r="U149" s="148" t="s">
        <v>591</v>
      </c>
      <c r="V149" s="150">
        <v>22751.54</v>
      </c>
      <c r="W149" s="151">
        <v>4136.51</v>
      </c>
    </row>
    <row r="150" spans="1:23" ht="15" customHeight="1" x14ac:dyDescent="0.25">
      <c r="A150" s="148">
        <v>10749</v>
      </c>
      <c r="B150" s="148" t="s">
        <v>1824</v>
      </c>
      <c r="C150" s="143" t="s">
        <v>2504</v>
      </c>
      <c r="D150" s="143" t="s">
        <v>2504</v>
      </c>
      <c r="E150" s="143" t="s">
        <v>2504</v>
      </c>
      <c r="F150" s="143" t="s">
        <v>2504</v>
      </c>
      <c r="G150" s="143" t="s">
        <v>2504</v>
      </c>
      <c r="H150" s="143" t="s">
        <v>2504</v>
      </c>
      <c r="I150" s="143" t="str">
        <f t="shared" si="24"/>
        <v>NO EXISTE</v>
      </c>
      <c r="J150" s="143" t="str">
        <f t="shared" si="25"/>
        <v>NO EXISTE</v>
      </c>
      <c r="K150" s="143" t="str">
        <f t="shared" si="26"/>
        <v>NO EXISTE</v>
      </c>
      <c r="L150" s="143" t="str">
        <f t="shared" si="27"/>
        <v>NO EXISTE</v>
      </c>
      <c r="M150" s="143" t="str">
        <f t="shared" si="28"/>
        <v>NO EXISTE</v>
      </c>
      <c r="N150" s="143" t="str">
        <f t="shared" si="29"/>
        <v>NO EXISTE</v>
      </c>
      <c r="O150" s="143" t="str">
        <f t="shared" si="30"/>
        <v>NO EXISTE</v>
      </c>
      <c r="P150" s="143" t="str">
        <f t="shared" si="31"/>
        <v>NO EXISTE</v>
      </c>
      <c r="Q150" s="148" t="s">
        <v>1825</v>
      </c>
      <c r="R150" s="148" t="s">
        <v>1025</v>
      </c>
      <c r="S150" s="148" t="s">
        <v>1212</v>
      </c>
      <c r="T150" s="149">
        <v>200</v>
      </c>
      <c r="U150" s="148" t="s">
        <v>591</v>
      </c>
      <c r="V150" s="150">
        <v>23546.38</v>
      </c>
      <c r="W150" s="151">
        <v>43642.54</v>
      </c>
    </row>
    <row r="151" spans="1:23" ht="15" customHeight="1" x14ac:dyDescent="0.25">
      <c r="A151" s="148">
        <v>10751</v>
      </c>
      <c r="B151" s="148" t="s">
        <v>1826</v>
      </c>
      <c r="C151" s="143" t="s">
        <v>2504</v>
      </c>
      <c r="D151" s="143" t="s">
        <v>2504</v>
      </c>
      <c r="E151" s="143" t="s">
        <v>2504</v>
      </c>
      <c r="F151" s="143" t="s">
        <v>2504</v>
      </c>
      <c r="G151" s="143" t="s">
        <v>2504</v>
      </c>
      <c r="H151" s="143" t="s">
        <v>2504</v>
      </c>
      <c r="I151" s="143" t="str">
        <f t="shared" si="24"/>
        <v>NO EXISTE</v>
      </c>
      <c r="J151" s="143" t="str">
        <f t="shared" si="25"/>
        <v>NO EXISTE</v>
      </c>
      <c r="K151" s="143" t="str">
        <f t="shared" si="26"/>
        <v>NO EXISTE</v>
      </c>
      <c r="L151" s="143" t="str">
        <f t="shared" si="27"/>
        <v>NO EXISTE</v>
      </c>
      <c r="M151" s="143" t="str">
        <f t="shared" si="28"/>
        <v>NO EXISTE</v>
      </c>
      <c r="N151" s="143" t="str">
        <f t="shared" si="29"/>
        <v>NO EXISTE</v>
      </c>
      <c r="O151" s="143" t="str">
        <f t="shared" si="30"/>
        <v>NO EXISTE</v>
      </c>
      <c r="P151" s="143" t="str">
        <f t="shared" si="31"/>
        <v>NO EXISTE</v>
      </c>
      <c r="Q151" s="148" t="s">
        <v>1827</v>
      </c>
      <c r="R151" s="148" t="s">
        <v>1025</v>
      </c>
      <c r="S151" s="148" t="s">
        <v>1212</v>
      </c>
      <c r="T151" s="149">
        <v>200</v>
      </c>
      <c r="U151" s="148" t="s">
        <v>591</v>
      </c>
      <c r="V151" s="150">
        <v>19367.46</v>
      </c>
      <c r="W151" s="151">
        <f>V151*1000</f>
        <v>19367460</v>
      </c>
    </row>
    <row r="152" spans="1:23" ht="15" customHeight="1" x14ac:dyDescent="0.25">
      <c r="A152" s="148">
        <v>10752</v>
      </c>
      <c r="B152" s="148" t="s">
        <v>1828</v>
      </c>
      <c r="C152" s="143" t="s">
        <v>2504</v>
      </c>
      <c r="D152" s="143" t="s">
        <v>2504</v>
      </c>
      <c r="E152" s="143" t="s">
        <v>2504</v>
      </c>
      <c r="F152" s="143" t="s">
        <v>2504</v>
      </c>
      <c r="G152" s="143" t="s">
        <v>2504</v>
      </c>
      <c r="H152" s="143" t="s">
        <v>2504</v>
      </c>
      <c r="I152" s="143" t="str">
        <f t="shared" si="24"/>
        <v>NO EXISTE</v>
      </c>
      <c r="J152" s="143" t="str">
        <f t="shared" si="25"/>
        <v>NO EXISTE</v>
      </c>
      <c r="K152" s="143" t="str">
        <f t="shared" si="26"/>
        <v>NO EXISTE</v>
      </c>
      <c r="L152" s="143" t="str">
        <f t="shared" si="27"/>
        <v>NO EXISTE</v>
      </c>
      <c r="M152" s="143" t="str">
        <f t="shared" si="28"/>
        <v>NO EXISTE</v>
      </c>
      <c r="N152" s="143" t="str">
        <f t="shared" si="29"/>
        <v>NO EXISTE</v>
      </c>
      <c r="O152" s="143" t="str">
        <f t="shared" si="30"/>
        <v>NO EXISTE</v>
      </c>
      <c r="P152" s="143" t="str">
        <f t="shared" si="31"/>
        <v>NO EXISTE</v>
      </c>
      <c r="Q152" s="148" t="s">
        <v>1829</v>
      </c>
      <c r="R152" s="148" t="s">
        <v>1025</v>
      </c>
      <c r="S152" s="148" t="s">
        <v>1212</v>
      </c>
      <c r="T152" s="149">
        <v>200</v>
      </c>
      <c r="U152" s="148" t="s">
        <v>591</v>
      </c>
      <c r="V152" s="150">
        <v>25071.37</v>
      </c>
      <c r="W152" s="151">
        <v>3926.95</v>
      </c>
    </row>
    <row r="153" spans="1:23" ht="15" customHeight="1" x14ac:dyDescent="0.25">
      <c r="A153" s="148">
        <v>10753</v>
      </c>
      <c r="B153" s="148" t="s">
        <v>1830</v>
      </c>
      <c r="C153" s="143" t="s">
        <v>2504</v>
      </c>
      <c r="D153" s="143" t="s">
        <v>2504</v>
      </c>
      <c r="E153" s="143" t="s">
        <v>2504</v>
      </c>
      <c r="F153" s="143" t="s">
        <v>2504</v>
      </c>
      <c r="G153" s="143" t="s">
        <v>2504</v>
      </c>
      <c r="H153" s="143" t="s">
        <v>2504</v>
      </c>
      <c r="I153" s="143" t="str">
        <f t="shared" si="24"/>
        <v>NO EXISTE</v>
      </c>
      <c r="J153" s="143" t="str">
        <f t="shared" si="25"/>
        <v>NO EXISTE</v>
      </c>
      <c r="K153" s="143" t="str">
        <f t="shared" si="26"/>
        <v>NO EXISTE</v>
      </c>
      <c r="L153" s="143" t="str">
        <f t="shared" si="27"/>
        <v>NO EXISTE</v>
      </c>
      <c r="M153" s="143" t="str">
        <f t="shared" si="28"/>
        <v>NO EXISTE</v>
      </c>
      <c r="N153" s="143" t="str">
        <f t="shared" si="29"/>
        <v>NO EXISTE</v>
      </c>
      <c r="O153" s="143" t="str">
        <f t="shared" si="30"/>
        <v>NO EXISTE</v>
      </c>
      <c r="P153" s="143" t="str">
        <f t="shared" si="31"/>
        <v>NO EXISTE</v>
      </c>
      <c r="Q153" s="148" t="s">
        <v>1831</v>
      </c>
      <c r="R153" s="148" t="s">
        <v>1025</v>
      </c>
      <c r="S153" s="148" t="s">
        <v>1212</v>
      </c>
      <c r="T153" s="149">
        <v>200</v>
      </c>
      <c r="U153" s="148" t="s">
        <v>591</v>
      </c>
      <c r="V153" s="150">
        <v>21696.82</v>
      </c>
      <c r="W153" s="151">
        <v>41239.230000000003</v>
      </c>
    </row>
    <row r="154" spans="1:23" ht="15" customHeight="1" x14ac:dyDescent="0.25">
      <c r="A154" s="148">
        <v>10754</v>
      </c>
      <c r="B154" s="148" t="s">
        <v>1832</v>
      </c>
      <c r="C154" s="143" t="s">
        <v>2504</v>
      </c>
      <c r="D154" s="143" t="s">
        <v>2504</v>
      </c>
      <c r="E154" s="143" t="s">
        <v>2504</v>
      </c>
      <c r="F154" s="143" t="s">
        <v>2504</v>
      </c>
      <c r="G154" s="143" t="s">
        <v>2504</v>
      </c>
      <c r="H154" s="143" t="s">
        <v>2504</v>
      </c>
      <c r="I154" s="143" t="str">
        <f t="shared" si="24"/>
        <v>NO EXISTE</v>
      </c>
      <c r="J154" s="143" t="str">
        <f t="shared" si="25"/>
        <v>NO EXISTE</v>
      </c>
      <c r="K154" s="143" t="str">
        <f t="shared" si="26"/>
        <v>NO EXISTE</v>
      </c>
      <c r="L154" s="143" t="str">
        <f t="shared" si="27"/>
        <v>NO EXISTE</v>
      </c>
      <c r="M154" s="143" t="str">
        <f t="shared" si="28"/>
        <v>NO EXISTE</v>
      </c>
      <c r="N154" s="143" t="str">
        <f t="shared" si="29"/>
        <v>NO EXISTE</v>
      </c>
      <c r="O154" s="143" t="str">
        <f t="shared" si="30"/>
        <v>NO EXISTE</v>
      </c>
      <c r="P154" s="143" t="str">
        <f t="shared" si="31"/>
        <v>NO EXISTE</v>
      </c>
      <c r="Q154" s="148" t="s">
        <v>1833</v>
      </c>
      <c r="R154" s="148" t="s">
        <v>1025</v>
      </c>
      <c r="S154" s="148" t="s">
        <v>1212</v>
      </c>
      <c r="T154" s="149">
        <v>200</v>
      </c>
      <c r="U154" s="148" t="s">
        <v>591</v>
      </c>
      <c r="V154" s="150">
        <v>22028.84</v>
      </c>
      <c r="W154" s="151">
        <v>769.39</v>
      </c>
    </row>
    <row r="155" spans="1:23" ht="15" customHeight="1" x14ac:dyDescent="0.25">
      <c r="A155" s="148">
        <v>10755</v>
      </c>
      <c r="B155" s="148" t="s">
        <v>1834</v>
      </c>
      <c r="C155" s="143" t="s">
        <v>2504</v>
      </c>
      <c r="D155" s="143" t="s">
        <v>2504</v>
      </c>
      <c r="E155" s="143" t="s">
        <v>2504</v>
      </c>
      <c r="F155" s="143" t="s">
        <v>2504</v>
      </c>
      <c r="G155" s="143" t="s">
        <v>2504</v>
      </c>
      <c r="H155" s="143" t="s">
        <v>2504</v>
      </c>
      <c r="I155" s="143" t="str">
        <f t="shared" si="24"/>
        <v>NO EXISTE</v>
      </c>
      <c r="J155" s="143" t="str">
        <f t="shared" si="25"/>
        <v>NO EXISTE</v>
      </c>
      <c r="K155" s="143" t="str">
        <f t="shared" si="26"/>
        <v>NO EXISTE</v>
      </c>
      <c r="L155" s="143" t="str">
        <f t="shared" si="27"/>
        <v>NO EXISTE</v>
      </c>
      <c r="M155" s="143" t="str">
        <f t="shared" si="28"/>
        <v>NO EXISTE</v>
      </c>
      <c r="N155" s="143" t="str">
        <f t="shared" si="29"/>
        <v>NO EXISTE</v>
      </c>
      <c r="O155" s="143" t="str">
        <f t="shared" si="30"/>
        <v>NO EXISTE</v>
      </c>
      <c r="P155" s="143" t="str">
        <f t="shared" si="31"/>
        <v>NO EXISTE</v>
      </c>
      <c r="Q155" s="148" t="s">
        <v>1835</v>
      </c>
      <c r="R155" s="148" t="s">
        <v>1025</v>
      </c>
      <c r="S155" s="148" t="s">
        <v>1212</v>
      </c>
      <c r="T155" s="149">
        <v>200</v>
      </c>
      <c r="U155" s="148" t="s">
        <v>591</v>
      </c>
      <c r="V155" s="150">
        <v>21873.54</v>
      </c>
      <c r="W155" s="151">
        <v>791.5</v>
      </c>
    </row>
    <row r="156" spans="1:23" ht="15" customHeight="1" x14ac:dyDescent="0.25">
      <c r="A156" s="148">
        <v>10757</v>
      </c>
      <c r="B156" s="148" t="s">
        <v>1836</v>
      </c>
      <c r="C156" s="143" t="s">
        <v>2504</v>
      </c>
      <c r="D156" s="143" t="s">
        <v>2504</v>
      </c>
      <c r="E156" s="143" t="s">
        <v>2504</v>
      </c>
      <c r="F156" s="143" t="s">
        <v>2504</v>
      </c>
      <c r="G156" s="143" t="s">
        <v>2504</v>
      </c>
      <c r="H156" s="143" t="s">
        <v>2504</v>
      </c>
      <c r="I156" s="143" t="str">
        <f t="shared" si="24"/>
        <v>NO EXISTE</v>
      </c>
      <c r="J156" s="143" t="str">
        <f t="shared" si="25"/>
        <v>NO EXISTE</v>
      </c>
      <c r="K156" s="143" t="str">
        <f t="shared" si="26"/>
        <v>NO EXISTE</v>
      </c>
      <c r="L156" s="143" t="str">
        <f t="shared" si="27"/>
        <v>NO EXISTE</v>
      </c>
      <c r="M156" s="143" t="str">
        <f t="shared" si="28"/>
        <v>NO EXISTE</v>
      </c>
      <c r="N156" s="143" t="str">
        <f t="shared" si="29"/>
        <v>NO EXISTE</v>
      </c>
      <c r="O156" s="143" t="str">
        <f t="shared" si="30"/>
        <v>NO EXISTE</v>
      </c>
      <c r="P156" s="143" t="str">
        <f t="shared" si="31"/>
        <v>NO EXISTE</v>
      </c>
      <c r="Q156" s="148" t="s">
        <v>1837</v>
      </c>
      <c r="R156" s="148" t="s">
        <v>1025</v>
      </c>
      <c r="S156" s="148" t="s">
        <v>1212</v>
      </c>
      <c r="T156" s="149">
        <v>200</v>
      </c>
      <c r="U156" s="148" t="s">
        <v>591</v>
      </c>
      <c r="V156" s="150">
        <v>22211.74</v>
      </c>
      <c r="W156" s="151">
        <v>1022.17</v>
      </c>
    </row>
    <row r="157" spans="1:23" ht="15" customHeight="1" x14ac:dyDescent="0.25">
      <c r="A157" s="148">
        <v>10758</v>
      </c>
      <c r="B157" s="148" t="s">
        <v>1838</v>
      </c>
      <c r="C157" s="143" t="s">
        <v>2504</v>
      </c>
      <c r="D157" s="143" t="s">
        <v>2504</v>
      </c>
      <c r="E157" s="143" t="s">
        <v>2504</v>
      </c>
      <c r="F157" s="143" t="s">
        <v>2504</v>
      </c>
      <c r="G157" s="143" t="s">
        <v>2504</v>
      </c>
      <c r="H157" s="143" t="s">
        <v>2504</v>
      </c>
      <c r="I157" s="143" t="str">
        <f t="shared" si="24"/>
        <v>NO EXISTE</v>
      </c>
      <c r="J157" s="143" t="str">
        <f t="shared" si="25"/>
        <v>NO EXISTE</v>
      </c>
      <c r="K157" s="143" t="str">
        <f t="shared" si="26"/>
        <v>NO EXISTE</v>
      </c>
      <c r="L157" s="143" t="str">
        <f t="shared" si="27"/>
        <v>NO EXISTE</v>
      </c>
      <c r="M157" s="143" t="str">
        <f t="shared" si="28"/>
        <v>NO EXISTE</v>
      </c>
      <c r="N157" s="143" t="str">
        <f t="shared" si="29"/>
        <v>NO EXISTE</v>
      </c>
      <c r="O157" s="143" t="str">
        <f t="shared" si="30"/>
        <v>NO EXISTE</v>
      </c>
      <c r="P157" s="143" t="str">
        <f t="shared" si="31"/>
        <v>NO EXISTE</v>
      </c>
      <c r="Q157" s="148" t="s">
        <v>1839</v>
      </c>
      <c r="R157" s="148" t="s">
        <v>1025</v>
      </c>
      <c r="S157" s="148" t="s">
        <v>1212</v>
      </c>
      <c r="T157" s="149">
        <v>200</v>
      </c>
      <c r="U157" s="148" t="s">
        <v>591</v>
      </c>
      <c r="V157" s="150">
        <v>22476.49</v>
      </c>
      <c r="W157" s="151">
        <f>V157*4</f>
        <v>89905.96</v>
      </c>
    </row>
    <row r="158" spans="1:23" ht="15" customHeight="1" x14ac:dyDescent="0.25">
      <c r="A158" s="148">
        <v>10762</v>
      </c>
      <c r="B158" s="148" t="s">
        <v>1840</v>
      </c>
      <c r="C158" s="143" t="s">
        <v>2504</v>
      </c>
      <c r="D158" s="143" t="s">
        <v>2504</v>
      </c>
      <c r="E158" s="143" t="s">
        <v>2504</v>
      </c>
      <c r="F158" s="143" t="s">
        <v>2504</v>
      </c>
      <c r="G158" s="143" t="s">
        <v>2504</v>
      </c>
      <c r="H158" s="143" t="s">
        <v>2504</v>
      </c>
      <c r="I158" s="143" t="str">
        <f t="shared" si="24"/>
        <v>NO EXISTE</v>
      </c>
      <c r="J158" s="143" t="str">
        <f t="shared" si="25"/>
        <v>NO EXISTE</v>
      </c>
      <c r="K158" s="143" t="str">
        <f t="shared" si="26"/>
        <v>NO EXISTE</v>
      </c>
      <c r="L158" s="143" t="str">
        <f t="shared" si="27"/>
        <v>NO EXISTE</v>
      </c>
      <c r="M158" s="143" t="str">
        <f t="shared" si="28"/>
        <v>NO EXISTE</v>
      </c>
      <c r="N158" s="143" t="str">
        <f t="shared" si="29"/>
        <v>NO EXISTE</v>
      </c>
      <c r="O158" s="143" t="str">
        <f t="shared" si="30"/>
        <v>NO EXISTE</v>
      </c>
      <c r="P158" s="143" t="str">
        <f t="shared" si="31"/>
        <v>NO EXISTE</v>
      </c>
      <c r="Q158" s="148" t="s">
        <v>1841</v>
      </c>
      <c r="R158" s="148" t="s">
        <v>1025</v>
      </c>
      <c r="S158" s="148" t="s">
        <v>1548</v>
      </c>
      <c r="T158" s="149">
        <v>200</v>
      </c>
      <c r="U158" s="148" t="s">
        <v>591</v>
      </c>
      <c r="V158" s="150">
        <v>30279.919999999998</v>
      </c>
      <c r="W158" s="151">
        <v>18085.96</v>
      </c>
    </row>
    <row r="159" spans="1:23" ht="15" customHeight="1" x14ac:dyDescent="0.25">
      <c r="A159" s="148">
        <v>10763</v>
      </c>
      <c r="B159" s="148" t="s">
        <v>1842</v>
      </c>
      <c r="C159" s="143" t="s">
        <v>2504</v>
      </c>
      <c r="D159" s="143" t="s">
        <v>2504</v>
      </c>
      <c r="E159" s="143" t="s">
        <v>2504</v>
      </c>
      <c r="F159" s="143" t="s">
        <v>2504</v>
      </c>
      <c r="G159" s="143" t="s">
        <v>2504</v>
      </c>
      <c r="H159" s="143" t="s">
        <v>2504</v>
      </c>
      <c r="I159" s="143" t="str">
        <f t="shared" si="24"/>
        <v>NO EXISTE</v>
      </c>
      <c r="J159" s="143" t="str">
        <f t="shared" si="25"/>
        <v>NO EXISTE</v>
      </c>
      <c r="K159" s="143" t="str">
        <f t="shared" si="26"/>
        <v>NO EXISTE</v>
      </c>
      <c r="L159" s="143" t="str">
        <f t="shared" si="27"/>
        <v>NO EXISTE</v>
      </c>
      <c r="M159" s="143" t="str">
        <f t="shared" si="28"/>
        <v>NO EXISTE</v>
      </c>
      <c r="N159" s="143" t="str">
        <f t="shared" si="29"/>
        <v>NO EXISTE</v>
      </c>
      <c r="O159" s="143" t="str">
        <f t="shared" si="30"/>
        <v>NO EXISTE</v>
      </c>
      <c r="P159" s="143" t="str">
        <f t="shared" si="31"/>
        <v>NO EXISTE</v>
      </c>
      <c r="Q159" s="148" t="s">
        <v>1843</v>
      </c>
      <c r="R159" s="148" t="s">
        <v>1025</v>
      </c>
      <c r="S159" s="148" t="s">
        <v>1548</v>
      </c>
      <c r="T159" s="149">
        <v>200</v>
      </c>
      <c r="U159" s="148" t="s">
        <v>591</v>
      </c>
      <c r="V159" s="150">
        <v>31665.59</v>
      </c>
      <c r="W159" s="151">
        <f>V159*1000</f>
        <v>31665590</v>
      </c>
    </row>
    <row r="160" spans="1:23" ht="15" customHeight="1" x14ac:dyDescent="0.25">
      <c r="A160" s="148">
        <v>10764</v>
      </c>
      <c r="B160" s="148" t="s">
        <v>1844</v>
      </c>
      <c r="C160" s="143" t="s">
        <v>2504</v>
      </c>
      <c r="D160" s="143" t="s">
        <v>2504</v>
      </c>
      <c r="E160" s="143" t="s">
        <v>2504</v>
      </c>
      <c r="F160" s="143" t="s">
        <v>2504</v>
      </c>
      <c r="G160" s="143" t="s">
        <v>2504</v>
      </c>
      <c r="H160" s="143" t="s">
        <v>2504</v>
      </c>
      <c r="I160" s="143" t="str">
        <f t="shared" si="24"/>
        <v>NO EXISTE</v>
      </c>
      <c r="J160" s="143" t="str">
        <f t="shared" si="25"/>
        <v>NO EXISTE</v>
      </c>
      <c r="K160" s="143" t="str">
        <f t="shared" si="26"/>
        <v>NO EXISTE</v>
      </c>
      <c r="L160" s="143" t="str">
        <f t="shared" si="27"/>
        <v>NO EXISTE</v>
      </c>
      <c r="M160" s="143" t="str">
        <f t="shared" si="28"/>
        <v>NO EXISTE</v>
      </c>
      <c r="N160" s="143" t="str">
        <f t="shared" si="29"/>
        <v>NO EXISTE</v>
      </c>
      <c r="O160" s="143" t="str">
        <f t="shared" si="30"/>
        <v>NO EXISTE</v>
      </c>
      <c r="P160" s="143" t="str">
        <f t="shared" si="31"/>
        <v>NO EXISTE</v>
      </c>
      <c r="Q160" s="148" t="s">
        <v>1845</v>
      </c>
      <c r="R160" s="148" t="s">
        <v>1025</v>
      </c>
      <c r="S160" s="148" t="s">
        <v>1548</v>
      </c>
      <c r="T160" s="149">
        <v>200</v>
      </c>
      <c r="U160" s="148" t="s">
        <v>591</v>
      </c>
      <c r="V160" s="150">
        <v>34781.9</v>
      </c>
      <c r="W160" s="151">
        <v>18786.150000000001</v>
      </c>
    </row>
    <row r="161" spans="1:23" ht="15" customHeight="1" x14ac:dyDescent="0.25">
      <c r="A161" s="148">
        <v>10766</v>
      </c>
      <c r="B161" s="148" t="s">
        <v>1846</v>
      </c>
      <c r="C161" s="143" t="s">
        <v>2504</v>
      </c>
      <c r="D161" s="143" t="s">
        <v>2504</v>
      </c>
      <c r="E161" s="143" t="s">
        <v>2504</v>
      </c>
      <c r="F161" s="143" t="s">
        <v>2504</v>
      </c>
      <c r="G161" s="143" t="s">
        <v>2504</v>
      </c>
      <c r="H161" s="143" t="s">
        <v>2504</v>
      </c>
      <c r="I161" s="143" t="str">
        <f t="shared" si="24"/>
        <v>NO EXISTE</v>
      </c>
      <c r="J161" s="143" t="str">
        <f t="shared" si="25"/>
        <v>NO EXISTE</v>
      </c>
      <c r="K161" s="143" t="str">
        <f t="shared" si="26"/>
        <v>NO EXISTE</v>
      </c>
      <c r="L161" s="143" t="str">
        <f t="shared" si="27"/>
        <v>NO EXISTE</v>
      </c>
      <c r="M161" s="143" t="str">
        <f t="shared" si="28"/>
        <v>NO EXISTE</v>
      </c>
      <c r="N161" s="143" t="str">
        <f t="shared" si="29"/>
        <v>NO EXISTE</v>
      </c>
      <c r="O161" s="143" t="str">
        <f t="shared" si="30"/>
        <v>NO EXISTE</v>
      </c>
      <c r="P161" s="143" t="str">
        <f t="shared" si="31"/>
        <v>NO EXISTE</v>
      </c>
      <c r="Q161" s="148" t="s">
        <v>1847</v>
      </c>
      <c r="R161" s="148" t="s">
        <v>1025</v>
      </c>
      <c r="S161" s="148" t="s">
        <v>1548</v>
      </c>
      <c r="T161" s="149">
        <v>200</v>
      </c>
      <c r="U161" s="148" t="s">
        <v>591</v>
      </c>
      <c r="V161" s="150">
        <v>39581.279999999999</v>
      </c>
      <c r="W161" s="151">
        <v>25205.42</v>
      </c>
    </row>
    <row r="162" spans="1:23" ht="15" customHeight="1" x14ac:dyDescent="0.25">
      <c r="A162" s="148">
        <v>10768</v>
      </c>
      <c r="B162" s="148" t="s">
        <v>1848</v>
      </c>
      <c r="C162" s="143" t="s">
        <v>2504</v>
      </c>
      <c r="D162" s="143" t="s">
        <v>2504</v>
      </c>
      <c r="E162" s="143" t="s">
        <v>2504</v>
      </c>
      <c r="F162" s="143" t="s">
        <v>2504</v>
      </c>
      <c r="G162" s="143" t="s">
        <v>2504</v>
      </c>
      <c r="H162" s="143" t="s">
        <v>2504</v>
      </c>
      <c r="I162" s="143" t="str">
        <f t="shared" si="24"/>
        <v>NO EXISTE</v>
      </c>
      <c r="J162" s="143" t="str">
        <f t="shared" si="25"/>
        <v>NO EXISTE</v>
      </c>
      <c r="K162" s="143" t="str">
        <f t="shared" si="26"/>
        <v>NO EXISTE</v>
      </c>
      <c r="L162" s="143" t="str">
        <f t="shared" si="27"/>
        <v>NO EXISTE</v>
      </c>
      <c r="M162" s="143" t="str">
        <f t="shared" si="28"/>
        <v>NO EXISTE</v>
      </c>
      <c r="N162" s="143" t="str">
        <f t="shared" si="29"/>
        <v>NO EXISTE</v>
      </c>
      <c r="O162" s="143" t="str">
        <f t="shared" si="30"/>
        <v>NO EXISTE</v>
      </c>
      <c r="P162" s="143" t="str">
        <f t="shared" si="31"/>
        <v>NO EXISTE</v>
      </c>
      <c r="Q162" s="148" t="s">
        <v>1849</v>
      </c>
      <c r="R162" s="148" t="s">
        <v>1025</v>
      </c>
      <c r="S162" s="148" t="s">
        <v>1227</v>
      </c>
      <c r="T162" s="149">
        <v>200</v>
      </c>
      <c r="U162" s="148" t="s">
        <v>591</v>
      </c>
      <c r="V162" s="150">
        <v>22696.720000000001</v>
      </c>
      <c r="W162" s="151">
        <v>890.25</v>
      </c>
    </row>
    <row r="163" spans="1:23" ht="15" customHeight="1" x14ac:dyDescent="0.25">
      <c r="A163" s="148">
        <v>11345</v>
      </c>
      <c r="B163" s="148" t="s">
        <v>2027</v>
      </c>
      <c r="C163" s="143" t="s">
        <v>2504</v>
      </c>
      <c r="D163" s="143" t="s">
        <v>2504</v>
      </c>
      <c r="E163" s="143" t="s">
        <v>2504</v>
      </c>
      <c r="F163" s="143" t="s">
        <v>2504</v>
      </c>
      <c r="G163" s="143" t="s">
        <v>2504</v>
      </c>
      <c r="H163" s="143" t="s">
        <v>2504</v>
      </c>
      <c r="I163" s="143" t="str">
        <f t="shared" ref="I163:I226" si="32">IFERROR(VLOOKUP(B163,Base08,1,FALSE),"NO EXISTE")</f>
        <v>NO EXISTE</v>
      </c>
      <c r="J163" s="143" t="str">
        <f t="shared" ref="J163:J226" si="33">IFERROR(VLOOKUP(B163,Base09,1,FALSE),"NO EXISTE")</f>
        <v>NO EXISTE</v>
      </c>
      <c r="K163" s="143" t="str">
        <f t="shared" ref="K163:K226" si="34">IFERROR(VLOOKUP(B163,Base10,1,FALSE),"NO EXISTE")</f>
        <v>NO EXISTE</v>
      </c>
      <c r="L163" s="143" t="str">
        <f t="shared" ref="L163:L226" si="35">IFERROR(VLOOKUP(B163,Base11,1,FALSE),"NO EXISTE")</f>
        <v>NO EXISTE</v>
      </c>
      <c r="M163" s="143" t="str">
        <f t="shared" ref="M163:M226" si="36">IFERROR(VLOOKUP(B163,Base12,1,FALSE),"NO EXISTE")</f>
        <v>NO EXISTE</v>
      </c>
      <c r="N163" s="143" t="str">
        <f t="shared" ref="N163:N226" si="37">IFERROR(VLOOKUP(B163,Base13,1,FALSE),"NO EXISTE")</f>
        <v>NO EXISTE</v>
      </c>
      <c r="O163" s="143" t="str">
        <f t="shared" ref="O163:O226" si="38">IFERROR(VLOOKUP(B163,Base14,1,FALSE),"NO EXISTE")</f>
        <v>NO EXISTE</v>
      </c>
      <c r="P163" s="143" t="str">
        <f t="shared" ref="P163:P226" si="39">IFERROR(VLOOKUP(B163,Base15,1,FALSE),"NO EXISTE")</f>
        <v>NO EXISTE</v>
      </c>
      <c r="Q163" s="148" t="s">
        <v>2028</v>
      </c>
      <c r="R163" s="148" t="s">
        <v>600</v>
      </c>
      <c r="S163" s="148" t="s">
        <v>2029</v>
      </c>
      <c r="T163" s="149">
        <v>200</v>
      </c>
      <c r="U163" s="148" t="s">
        <v>591</v>
      </c>
      <c r="V163" s="150">
        <v>9660.76</v>
      </c>
      <c r="W163" s="151">
        <v>19381.71</v>
      </c>
    </row>
    <row r="164" spans="1:23" ht="15" customHeight="1" x14ac:dyDescent="0.25">
      <c r="A164" s="148">
        <v>11346</v>
      </c>
      <c r="B164" s="148" t="s">
        <v>2030</v>
      </c>
      <c r="C164" s="143" t="s">
        <v>2504</v>
      </c>
      <c r="D164" s="143" t="s">
        <v>2504</v>
      </c>
      <c r="E164" s="143" t="s">
        <v>2504</v>
      </c>
      <c r="F164" s="143" t="s">
        <v>2504</v>
      </c>
      <c r="G164" s="143" t="s">
        <v>2504</v>
      </c>
      <c r="H164" s="143" t="s">
        <v>2504</v>
      </c>
      <c r="I164" s="143" t="str">
        <f t="shared" si="32"/>
        <v>NO EXISTE</v>
      </c>
      <c r="J164" s="143" t="str">
        <f t="shared" si="33"/>
        <v>NO EXISTE</v>
      </c>
      <c r="K164" s="143" t="str">
        <f t="shared" si="34"/>
        <v>NO EXISTE</v>
      </c>
      <c r="L164" s="143" t="str">
        <f t="shared" si="35"/>
        <v>NO EXISTE</v>
      </c>
      <c r="M164" s="143" t="str">
        <f t="shared" si="36"/>
        <v>NO EXISTE</v>
      </c>
      <c r="N164" s="143" t="str">
        <f t="shared" si="37"/>
        <v>NO EXISTE</v>
      </c>
      <c r="O164" s="143" t="str">
        <f t="shared" si="38"/>
        <v>NO EXISTE</v>
      </c>
      <c r="P164" s="143" t="str">
        <f t="shared" si="39"/>
        <v>NO EXISTE</v>
      </c>
      <c r="Q164" s="148" t="s">
        <v>2031</v>
      </c>
      <c r="R164" s="148" t="s">
        <v>2032</v>
      </c>
      <c r="S164" s="148" t="s">
        <v>2033</v>
      </c>
      <c r="T164" s="149">
        <v>200</v>
      </c>
      <c r="U164" s="148" t="s">
        <v>591</v>
      </c>
      <c r="V164" s="150">
        <v>12793.34</v>
      </c>
      <c r="W164" s="151">
        <f>V164*4</f>
        <v>51173.36</v>
      </c>
    </row>
    <row r="165" spans="1:23" ht="15" customHeight="1" x14ac:dyDescent="0.25">
      <c r="A165" s="148">
        <v>16010</v>
      </c>
      <c r="B165" s="148" t="s">
        <v>2047</v>
      </c>
      <c r="C165" s="143" t="s">
        <v>2504</v>
      </c>
      <c r="D165" s="143" t="s">
        <v>2504</v>
      </c>
      <c r="E165" s="143" t="s">
        <v>2504</v>
      </c>
      <c r="F165" s="143" t="s">
        <v>2504</v>
      </c>
      <c r="G165" s="143" t="s">
        <v>2504</v>
      </c>
      <c r="H165" s="143" t="s">
        <v>2504</v>
      </c>
      <c r="I165" s="143" t="str">
        <f t="shared" si="32"/>
        <v>NO EXISTE</v>
      </c>
      <c r="J165" s="143" t="str">
        <f t="shared" si="33"/>
        <v>NO EXISTE</v>
      </c>
      <c r="K165" s="143" t="str">
        <f t="shared" si="34"/>
        <v>NO EXISTE</v>
      </c>
      <c r="L165" s="143" t="str">
        <f t="shared" si="35"/>
        <v>NO EXISTE</v>
      </c>
      <c r="M165" s="143" t="str">
        <f t="shared" si="36"/>
        <v>NO EXISTE</v>
      </c>
      <c r="N165" s="143" t="str">
        <f t="shared" si="37"/>
        <v>NO EXISTE</v>
      </c>
      <c r="O165" s="143" t="str">
        <f t="shared" si="38"/>
        <v>NO EXISTE</v>
      </c>
      <c r="P165" s="143" t="str">
        <f t="shared" si="39"/>
        <v>NO EXISTE</v>
      </c>
      <c r="Q165" s="148" t="s">
        <v>2048</v>
      </c>
      <c r="R165" s="148" t="s">
        <v>594</v>
      </c>
      <c r="S165" s="148" t="s">
        <v>595</v>
      </c>
      <c r="T165" s="149">
        <v>1</v>
      </c>
      <c r="U165" s="148" t="s">
        <v>591</v>
      </c>
      <c r="V165" s="150">
        <v>99.33</v>
      </c>
      <c r="W165" s="151">
        <f>V165*16</f>
        <v>1589.28</v>
      </c>
    </row>
    <row r="166" spans="1:23" ht="15" customHeight="1" x14ac:dyDescent="0.25">
      <c r="A166" s="148">
        <v>16016</v>
      </c>
      <c r="B166" s="148" t="s">
        <v>2055</v>
      </c>
      <c r="C166" s="143" t="s">
        <v>2504</v>
      </c>
      <c r="D166" s="143" t="s">
        <v>2504</v>
      </c>
      <c r="E166" s="143" t="s">
        <v>2504</v>
      </c>
      <c r="F166" s="143" t="s">
        <v>2504</v>
      </c>
      <c r="G166" s="143" t="s">
        <v>2504</v>
      </c>
      <c r="H166" s="143" t="s">
        <v>2504</v>
      </c>
      <c r="I166" s="143" t="str">
        <f t="shared" si="32"/>
        <v>NO EXISTE</v>
      </c>
      <c r="J166" s="143" t="str">
        <f t="shared" si="33"/>
        <v>NO EXISTE</v>
      </c>
      <c r="K166" s="143" t="str">
        <f t="shared" si="34"/>
        <v>NO EXISTE</v>
      </c>
      <c r="L166" s="143" t="str">
        <f t="shared" si="35"/>
        <v>NO EXISTE</v>
      </c>
      <c r="M166" s="143" t="str">
        <f t="shared" si="36"/>
        <v>NO EXISTE</v>
      </c>
      <c r="N166" s="143" t="str">
        <f t="shared" si="37"/>
        <v>NO EXISTE</v>
      </c>
      <c r="O166" s="143" t="str">
        <f t="shared" si="38"/>
        <v>NO EXISTE</v>
      </c>
      <c r="P166" s="143" t="str">
        <f t="shared" si="39"/>
        <v>NO EXISTE</v>
      </c>
      <c r="Q166" s="148" t="s">
        <v>2056</v>
      </c>
      <c r="R166" s="148" t="s">
        <v>594</v>
      </c>
      <c r="S166" s="148" t="s">
        <v>604</v>
      </c>
      <c r="T166" s="149">
        <v>1</v>
      </c>
      <c r="U166" s="148" t="s">
        <v>591</v>
      </c>
      <c r="V166" s="150">
        <v>101.58</v>
      </c>
      <c r="W166" s="151">
        <f>V166*16</f>
        <v>1625.28</v>
      </c>
    </row>
    <row r="167" spans="1:23" ht="15" customHeight="1" x14ac:dyDescent="0.25">
      <c r="A167" s="148">
        <v>16021</v>
      </c>
      <c r="B167" s="148" t="s">
        <v>2062</v>
      </c>
      <c r="C167" s="143" t="s">
        <v>2504</v>
      </c>
      <c r="D167" s="143" t="s">
        <v>2504</v>
      </c>
      <c r="E167" s="143" t="s">
        <v>2504</v>
      </c>
      <c r="F167" s="143" t="s">
        <v>2504</v>
      </c>
      <c r="G167" s="143" t="s">
        <v>2504</v>
      </c>
      <c r="H167" s="143" t="s">
        <v>2504</v>
      </c>
      <c r="I167" s="143" t="str">
        <f t="shared" si="32"/>
        <v>NO EXISTE</v>
      </c>
      <c r="J167" s="143" t="str">
        <f t="shared" si="33"/>
        <v>NO EXISTE</v>
      </c>
      <c r="K167" s="143" t="str">
        <f t="shared" si="34"/>
        <v>NO EXISTE</v>
      </c>
      <c r="L167" s="143" t="str">
        <f t="shared" si="35"/>
        <v>NO EXISTE</v>
      </c>
      <c r="M167" s="143" t="str">
        <f t="shared" si="36"/>
        <v>NO EXISTE</v>
      </c>
      <c r="N167" s="143" t="str">
        <f t="shared" si="37"/>
        <v>NO EXISTE</v>
      </c>
      <c r="O167" s="143" t="str">
        <f t="shared" si="38"/>
        <v>NO EXISTE</v>
      </c>
      <c r="P167" s="143" t="str">
        <f t="shared" si="39"/>
        <v>NO EXISTE</v>
      </c>
      <c r="Q167" s="148" t="s">
        <v>2063</v>
      </c>
      <c r="R167" s="148" t="s">
        <v>594</v>
      </c>
      <c r="S167" s="148" t="s">
        <v>604</v>
      </c>
      <c r="T167" s="149">
        <v>1</v>
      </c>
      <c r="U167" s="148" t="s">
        <v>591</v>
      </c>
      <c r="V167" s="150">
        <v>102.4</v>
      </c>
      <c r="W167" s="151">
        <f>V167*16</f>
        <v>1638.4</v>
      </c>
    </row>
    <row r="168" spans="1:23" ht="15" customHeight="1" x14ac:dyDescent="0.25">
      <c r="A168" s="148">
        <v>16027</v>
      </c>
      <c r="B168" s="148" t="s">
        <v>2069</v>
      </c>
      <c r="C168" s="143" t="s">
        <v>2504</v>
      </c>
      <c r="D168" s="143" t="s">
        <v>2504</v>
      </c>
      <c r="E168" s="143" t="s">
        <v>2504</v>
      </c>
      <c r="F168" s="143" t="s">
        <v>2504</v>
      </c>
      <c r="G168" s="143" t="s">
        <v>2504</v>
      </c>
      <c r="H168" s="143" t="s">
        <v>2504</v>
      </c>
      <c r="I168" s="143" t="str">
        <f t="shared" si="32"/>
        <v>NO EXISTE</v>
      </c>
      <c r="J168" s="143" t="str">
        <f t="shared" si="33"/>
        <v>NO EXISTE</v>
      </c>
      <c r="K168" s="143" t="str">
        <f t="shared" si="34"/>
        <v>NO EXISTE</v>
      </c>
      <c r="L168" s="143" t="str">
        <f t="shared" si="35"/>
        <v>NO EXISTE</v>
      </c>
      <c r="M168" s="143" t="str">
        <f t="shared" si="36"/>
        <v>NO EXISTE</v>
      </c>
      <c r="N168" s="143" t="str">
        <f t="shared" si="37"/>
        <v>NO EXISTE</v>
      </c>
      <c r="O168" s="143" t="str">
        <f t="shared" si="38"/>
        <v>NO EXISTE</v>
      </c>
      <c r="P168" s="143" t="str">
        <f t="shared" si="39"/>
        <v>NO EXISTE</v>
      </c>
      <c r="Q168" s="148" t="s">
        <v>2070</v>
      </c>
      <c r="R168" s="148" t="s">
        <v>589</v>
      </c>
      <c r="S168" s="148" t="s">
        <v>2071</v>
      </c>
      <c r="T168" s="149">
        <v>1</v>
      </c>
      <c r="U168" s="148" t="s">
        <v>591</v>
      </c>
      <c r="V168" s="150">
        <v>83.48</v>
      </c>
      <c r="W168" s="151">
        <v>1722.58</v>
      </c>
    </row>
    <row r="169" spans="1:23" ht="15" customHeight="1" x14ac:dyDescent="0.25">
      <c r="A169" s="148">
        <v>16030</v>
      </c>
      <c r="B169" s="148" t="s">
        <v>2075</v>
      </c>
      <c r="C169" s="143" t="s">
        <v>2504</v>
      </c>
      <c r="D169" s="143" t="s">
        <v>2504</v>
      </c>
      <c r="E169" s="143" t="s">
        <v>2504</v>
      </c>
      <c r="F169" s="143" t="s">
        <v>2504</v>
      </c>
      <c r="G169" s="143" t="s">
        <v>2504</v>
      </c>
      <c r="H169" s="143" t="s">
        <v>2504</v>
      </c>
      <c r="I169" s="143" t="str">
        <f t="shared" si="32"/>
        <v>NO EXISTE</v>
      </c>
      <c r="J169" s="143" t="str">
        <f t="shared" si="33"/>
        <v>NO EXISTE</v>
      </c>
      <c r="K169" s="143" t="str">
        <f t="shared" si="34"/>
        <v>NO EXISTE</v>
      </c>
      <c r="L169" s="143" t="str">
        <f t="shared" si="35"/>
        <v>NO EXISTE</v>
      </c>
      <c r="M169" s="143" t="str">
        <f t="shared" si="36"/>
        <v>NO EXISTE</v>
      </c>
      <c r="N169" s="143" t="str">
        <f t="shared" si="37"/>
        <v>NO EXISTE</v>
      </c>
      <c r="O169" s="143" t="str">
        <f t="shared" si="38"/>
        <v>NO EXISTE</v>
      </c>
      <c r="P169" s="143" t="str">
        <f t="shared" si="39"/>
        <v>NO EXISTE</v>
      </c>
      <c r="Q169" s="148" t="s">
        <v>2076</v>
      </c>
      <c r="R169" s="148" t="s">
        <v>589</v>
      </c>
      <c r="S169" s="148" t="s">
        <v>627</v>
      </c>
      <c r="T169" s="149">
        <v>1</v>
      </c>
      <c r="U169" s="148" t="s">
        <v>591</v>
      </c>
      <c r="V169" s="150">
        <v>63.66</v>
      </c>
      <c r="W169" s="151">
        <v>18236.47</v>
      </c>
    </row>
    <row r="170" spans="1:23" ht="15" customHeight="1" x14ac:dyDescent="0.25">
      <c r="A170" s="148">
        <v>16032</v>
      </c>
      <c r="B170" s="148" t="s">
        <v>2078</v>
      </c>
      <c r="C170" s="143" t="s">
        <v>2504</v>
      </c>
      <c r="D170" s="143" t="s">
        <v>2504</v>
      </c>
      <c r="E170" s="143" t="s">
        <v>2504</v>
      </c>
      <c r="F170" s="143" t="s">
        <v>2504</v>
      </c>
      <c r="G170" s="143" t="s">
        <v>2504</v>
      </c>
      <c r="H170" s="143" t="s">
        <v>2504</v>
      </c>
      <c r="I170" s="143" t="str">
        <f t="shared" si="32"/>
        <v>NO EXISTE</v>
      </c>
      <c r="J170" s="143" t="str">
        <f t="shared" si="33"/>
        <v>NO EXISTE</v>
      </c>
      <c r="K170" s="143" t="str">
        <f t="shared" si="34"/>
        <v>NO EXISTE</v>
      </c>
      <c r="L170" s="143" t="str">
        <f t="shared" si="35"/>
        <v>NO EXISTE</v>
      </c>
      <c r="M170" s="143" t="str">
        <f t="shared" si="36"/>
        <v>NO EXISTE</v>
      </c>
      <c r="N170" s="143" t="str">
        <f t="shared" si="37"/>
        <v>NO EXISTE</v>
      </c>
      <c r="O170" s="143" t="str">
        <f t="shared" si="38"/>
        <v>NO EXISTE</v>
      </c>
      <c r="P170" s="143" t="str">
        <f t="shared" si="39"/>
        <v>NO EXISTE</v>
      </c>
      <c r="Q170" s="148" t="s">
        <v>2079</v>
      </c>
      <c r="R170" s="148" t="s">
        <v>589</v>
      </c>
      <c r="S170" s="148" t="s">
        <v>627</v>
      </c>
      <c r="T170" s="149">
        <v>3.7850000000000001</v>
      </c>
      <c r="U170" s="148" t="s">
        <v>591</v>
      </c>
      <c r="V170" s="150">
        <v>286.97000000000003</v>
      </c>
      <c r="W170" s="151">
        <f>V170*15</f>
        <v>4304.55</v>
      </c>
    </row>
    <row r="171" spans="1:23" ht="15" customHeight="1" x14ac:dyDescent="0.25">
      <c r="A171" s="148">
        <v>16040</v>
      </c>
      <c r="B171" s="148" t="s">
        <v>2089</v>
      </c>
      <c r="C171" s="143" t="s">
        <v>2504</v>
      </c>
      <c r="D171" s="143" t="s">
        <v>2504</v>
      </c>
      <c r="E171" s="143" t="s">
        <v>2504</v>
      </c>
      <c r="F171" s="143" t="s">
        <v>2504</v>
      </c>
      <c r="G171" s="143" t="s">
        <v>2504</v>
      </c>
      <c r="H171" s="143" t="s">
        <v>2504</v>
      </c>
      <c r="I171" s="143" t="str">
        <f t="shared" si="32"/>
        <v>NO EXISTE</v>
      </c>
      <c r="J171" s="143" t="str">
        <f t="shared" si="33"/>
        <v>NO EXISTE</v>
      </c>
      <c r="K171" s="143" t="str">
        <f t="shared" si="34"/>
        <v>NO EXISTE</v>
      </c>
      <c r="L171" s="143" t="str">
        <f t="shared" si="35"/>
        <v>NO EXISTE</v>
      </c>
      <c r="M171" s="143" t="str">
        <f t="shared" si="36"/>
        <v>NO EXISTE</v>
      </c>
      <c r="N171" s="143" t="str">
        <f t="shared" si="37"/>
        <v>NO EXISTE</v>
      </c>
      <c r="O171" s="143" t="str">
        <f t="shared" si="38"/>
        <v>NO EXISTE</v>
      </c>
      <c r="P171" s="143" t="str">
        <f t="shared" si="39"/>
        <v>NO EXISTE</v>
      </c>
      <c r="Q171" s="148" t="s">
        <v>2090</v>
      </c>
      <c r="R171" s="148" t="s">
        <v>594</v>
      </c>
      <c r="S171" s="148" t="s">
        <v>2091</v>
      </c>
      <c r="T171" s="149">
        <v>0.95</v>
      </c>
      <c r="U171" s="148" t="s">
        <v>591</v>
      </c>
      <c r="V171" s="150">
        <v>167.78</v>
      </c>
      <c r="W171" s="151">
        <f>V171*1000</f>
        <v>167780</v>
      </c>
    </row>
    <row r="172" spans="1:23" ht="15" customHeight="1" x14ac:dyDescent="0.25">
      <c r="A172" s="148">
        <v>16048</v>
      </c>
      <c r="B172" s="148" t="s">
        <v>2102</v>
      </c>
      <c r="C172" s="143" t="s">
        <v>2504</v>
      </c>
      <c r="D172" s="143" t="s">
        <v>2504</v>
      </c>
      <c r="E172" s="143" t="s">
        <v>2504</v>
      </c>
      <c r="F172" s="143" t="s">
        <v>2504</v>
      </c>
      <c r="G172" s="143" t="s">
        <v>2504</v>
      </c>
      <c r="H172" s="143" t="s">
        <v>2504</v>
      </c>
      <c r="I172" s="143" t="str">
        <f t="shared" si="32"/>
        <v>NO EXISTE</v>
      </c>
      <c r="J172" s="143" t="str">
        <f t="shared" si="33"/>
        <v>NO EXISTE</v>
      </c>
      <c r="K172" s="143" t="str">
        <f t="shared" si="34"/>
        <v>NO EXISTE</v>
      </c>
      <c r="L172" s="143" t="str">
        <f t="shared" si="35"/>
        <v>NO EXISTE</v>
      </c>
      <c r="M172" s="143" t="str">
        <f t="shared" si="36"/>
        <v>NO EXISTE</v>
      </c>
      <c r="N172" s="143" t="str">
        <f t="shared" si="37"/>
        <v>NO EXISTE</v>
      </c>
      <c r="O172" s="143" t="str">
        <f t="shared" si="38"/>
        <v>NO EXISTE</v>
      </c>
      <c r="P172" s="143" t="str">
        <f t="shared" si="39"/>
        <v>NO EXISTE</v>
      </c>
      <c r="Q172" s="148" t="s">
        <v>2103</v>
      </c>
      <c r="R172" s="148" t="s">
        <v>594</v>
      </c>
      <c r="S172" s="148" t="s">
        <v>643</v>
      </c>
      <c r="T172" s="149">
        <v>0.95</v>
      </c>
      <c r="U172" s="148" t="s">
        <v>591</v>
      </c>
      <c r="V172" s="150">
        <v>122.61</v>
      </c>
      <c r="W172" s="151">
        <f>V172*16</f>
        <v>1961.76</v>
      </c>
    </row>
    <row r="173" spans="1:23" ht="15" customHeight="1" x14ac:dyDescent="0.25">
      <c r="A173" s="148">
        <v>16051</v>
      </c>
      <c r="B173" s="148" t="s">
        <v>2108</v>
      </c>
      <c r="C173" s="143" t="s">
        <v>2504</v>
      </c>
      <c r="D173" s="143" t="s">
        <v>2504</v>
      </c>
      <c r="E173" s="143" t="s">
        <v>2504</v>
      </c>
      <c r="F173" s="143" t="s">
        <v>2504</v>
      </c>
      <c r="G173" s="143" t="s">
        <v>2504</v>
      </c>
      <c r="H173" s="143" t="s">
        <v>2504</v>
      </c>
      <c r="I173" s="143" t="str">
        <f t="shared" si="32"/>
        <v>NO EXISTE</v>
      </c>
      <c r="J173" s="143" t="str">
        <f t="shared" si="33"/>
        <v>NO EXISTE</v>
      </c>
      <c r="K173" s="143" t="str">
        <f t="shared" si="34"/>
        <v>NO EXISTE</v>
      </c>
      <c r="L173" s="143" t="str">
        <f t="shared" si="35"/>
        <v>NO EXISTE</v>
      </c>
      <c r="M173" s="143" t="str">
        <f t="shared" si="36"/>
        <v>NO EXISTE</v>
      </c>
      <c r="N173" s="143" t="str">
        <f t="shared" si="37"/>
        <v>NO EXISTE</v>
      </c>
      <c r="O173" s="143" t="str">
        <f t="shared" si="38"/>
        <v>NO EXISTE</v>
      </c>
      <c r="P173" s="143" t="str">
        <f t="shared" si="39"/>
        <v>NO EXISTE</v>
      </c>
      <c r="Q173" s="148" t="s">
        <v>2109</v>
      </c>
      <c r="R173" s="148" t="s">
        <v>594</v>
      </c>
      <c r="S173" s="148" t="s">
        <v>643</v>
      </c>
      <c r="T173" s="149">
        <v>200</v>
      </c>
      <c r="U173" s="148" t="s">
        <v>591</v>
      </c>
      <c r="V173" s="150">
        <v>25250.05</v>
      </c>
      <c r="W173" s="151">
        <f t="shared" ref="W173:W180" si="40">V173*4</f>
        <v>101000.2</v>
      </c>
    </row>
    <row r="174" spans="1:23" ht="15" customHeight="1" x14ac:dyDescent="0.25">
      <c r="A174" s="148">
        <v>16054</v>
      </c>
      <c r="B174" s="148" t="s">
        <v>2112</v>
      </c>
      <c r="C174" s="143" t="s">
        <v>2504</v>
      </c>
      <c r="D174" s="143" t="s">
        <v>2504</v>
      </c>
      <c r="E174" s="143" t="s">
        <v>2504</v>
      </c>
      <c r="F174" s="143" t="s">
        <v>2504</v>
      </c>
      <c r="G174" s="143" t="s">
        <v>2504</v>
      </c>
      <c r="H174" s="143" t="s">
        <v>2504</v>
      </c>
      <c r="I174" s="143" t="str">
        <f t="shared" si="32"/>
        <v>NO EXISTE</v>
      </c>
      <c r="J174" s="143" t="str">
        <f t="shared" si="33"/>
        <v>NO EXISTE</v>
      </c>
      <c r="K174" s="143" t="str">
        <f t="shared" si="34"/>
        <v>NO EXISTE</v>
      </c>
      <c r="L174" s="143" t="str">
        <f t="shared" si="35"/>
        <v>NO EXISTE</v>
      </c>
      <c r="M174" s="143" t="str">
        <f t="shared" si="36"/>
        <v>NO EXISTE</v>
      </c>
      <c r="N174" s="143" t="str">
        <f t="shared" si="37"/>
        <v>NO EXISTE</v>
      </c>
      <c r="O174" s="143" t="str">
        <f t="shared" si="38"/>
        <v>NO EXISTE</v>
      </c>
      <c r="P174" s="143" t="str">
        <f t="shared" si="39"/>
        <v>NO EXISTE</v>
      </c>
      <c r="Q174" s="148" t="s">
        <v>2113</v>
      </c>
      <c r="R174" s="148" t="s">
        <v>594</v>
      </c>
      <c r="S174" s="148" t="s">
        <v>643</v>
      </c>
      <c r="T174" s="149">
        <v>5</v>
      </c>
      <c r="U174" s="148" t="s">
        <v>591</v>
      </c>
      <c r="V174" s="150">
        <v>603.79</v>
      </c>
      <c r="W174" s="151">
        <f t="shared" si="40"/>
        <v>2415.16</v>
      </c>
    </row>
    <row r="175" spans="1:23" ht="15" customHeight="1" x14ac:dyDescent="0.25">
      <c r="A175" s="148">
        <v>16069</v>
      </c>
      <c r="B175" s="148" t="s">
        <v>2126</v>
      </c>
      <c r="C175" s="143" t="s">
        <v>2504</v>
      </c>
      <c r="D175" s="143" t="s">
        <v>2504</v>
      </c>
      <c r="E175" s="143" t="s">
        <v>2504</v>
      </c>
      <c r="F175" s="143" t="s">
        <v>2504</v>
      </c>
      <c r="G175" s="143" t="s">
        <v>2504</v>
      </c>
      <c r="H175" s="143" t="s">
        <v>2504</v>
      </c>
      <c r="I175" s="143" t="str">
        <f t="shared" si="32"/>
        <v>NO EXISTE</v>
      </c>
      <c r="J175" s="143" t="str">
        <f t="shared" si="33"/>
        <v>NO EXISTE</v>
      </c>
      <c r="K175" s="143" t="str">
        <f t="shared" si="34"/>
        <v>NO EXISTE</v>
      </c>
      <c r="L175" s="143" t="str">
        <f t="shared" si="35"/>
        <v>NO EXISTE</v>
      </c>
      <c r="M175" s="143" t="str">
        <f t="shared" si="36"/>
        <v>NO EXISTE</v>
      </c>
      <c r="N175" s="143" t="str">
        <f t="shared" si="37"/>
        <v>NO EXISTE</v>
      </c>
      <c r="O175" s="143" t="str">
        <f t="shared" si="38"/>
        <v>NO EXISTE</v>
      </c>
      <c r="P175" s="143" t="str">
        <f t="shared" si="39"/>
        <v>NO EXISTE</v>
      </c>
      <c r="Q175" s="148" t="s">
        <v>2127</v>
      </c>
      <c r="R175" s="148" t="s">
        <v>594</v>
      </c>
      <c r="S175" s="148" t="s">
        <v>2128</v>
      </c>
      <c r="T175" s="149">
        <v>5</v>
      </c>
      <c r="U175" s="148" t="s">
        <v>591</v>
      </c>
      <c r="V175" s="150">
        <v>653.75</v>
      </c>
      <c r="W175" s="151">
        <f t="shared" si="40"/>
        <v>2615</v>
      </c>
    </row>
    <row r="176" spans="1:23" ht="15" customHeight="1" x14ac:dyDescent="0.25">
      <c r="A176" s="148">
        <v>16070</v>
      </c>
      <c r="B176" s="148" t="s">
        <v>2129</v>
      </c>
      <c r="C176" s="143" t="s">
        <v>2504</v>
      </c>
      <c r="D176" s="143" t="s">
        <v>2504</v>
      </c>
      <c r="E176" s="143" t="s">
        <v>2504</v>
      </c>
      <c r="F176" s="143" t="s">
        <v>2504</v>
      </c>
      <c r="G176" s="143" t="s">
        <v>2504</v>
      </c>
      <c r="H176" s="143" t="s">
        <v>2504</v>
      </c>
      <c r="I176" s="143" t="str">
        <f t="shared" si="32"/>
        <v>NO EXISTE</v>
      </c>
      <c r="J176" s="143" t="str">
        <f t="shared" si="33"/>
        <v>NO EXISTE</v>
      </c>
      <c r="K176" s="143" t="str">
        <f t="shared" si="34"/>
        <v>NO EXISTE</v>
      </c>
      <c r="L176" s="143" t="str">
        <f t="shared" si="35"/>
        <v>NO EXISTE</v>
      </c>
      <c r="M176" s="143" t="str">
        <f t="shared" si="36"/>
        <v>NO EXISTE</v>
      </c>
      <c r="N176" s="143" t="str">
        <f t="shared" si="37"/>
        <v>NO EXISTE</v>
      </c>
      <c r="O176" s="143" t="str">
        <f t="shared" si="38"/>
        <v>NO EXISTE</v>
      </c>
      <c r="P176" s="143" t="str">
        <f t="shared" si="39"/>
        <v>NO EXISTE</v>
      </c>
      <c r="Q176" s="148" t="s">
        <v>2130</v>
      </c>
      <c r="R176" s="148" t="s">
        <v>594</v>
      </c>
      <c r="S176" s="148" t="s">
        <v>2128</v>
      </c>
      <c r="T176" s="149">
        <v>19</v>
      </c>
      <c r="U176" s="148" t="s">
        <v>591</v>
      </c>
      <c r="V176" s="150">
        <v>2415.38</v>
      </c>
      <c r="W176" s="151">
        <f t="shared" si="40"/>
        <v>9661.52</v>
      </c>
    </row>
    <row r="177" spans="1:23" ht="15" customHeight="1" x14ac:dyDescent="0.25">
      <c r="A177" s="148">
        <v>16077</v>
      </c>
      <c r="B177" s="148" t="s">
        <v>2135</v>
      </c>
      <c r="C177" s="143" t="s">
        <v>2504</v>
      </c>
      <c r="D177" s="143" t="s">
        <v>2504</v>
      </c>
      <c r="E177" s="143" t="s">
        <v>2504</v>
      </c>
      <c r="F177" s="143" t="s">
        <v>2504</v>
      </c>
      <c r="G177" s="143" t="s">
        <v>2504</v>
      </c>
      <c r="H177" s="143" t="s">
        <v>2504</v>
      </c>
      <c r="I177" s="143" t="str">
        <f t="shared" si="32"/>
        <v>NO EXISTE</v>
      </c>
      <c r="J177" s="143" t="str">
        <f t="shared" si="33"/>
        <v>NO EXISTE</v>
      </c>
      <c r="K177" s="143" t="str">
        <f t="shared" si="34"/>
        <v>NO EXISTE</v>
      </c>
      <c r="L177" s="143" t="str">
        <f t="shared" si="35"/>
        <v>NO EXISTE</v>
      </c>
      <c r="M177" s="143" t="str">
        <f t="shared" si="36"/>
        <v>NO EXISTE</v>
      </c>
      <c r="N177" s="143" t="str">
        <f t="shared" si="37"/>
        <v>NO EXISTE</v>
      </c>
      <c r="O177" s="143" t="str">
        <f t="shared" si="38"/>
        <v>NO EXISTE</v>
      </c>
      <c r="P177" s="143" t="str">
        <f t="shared" si="39"/>
        <v>NO EXISTE</v>
      </c>
      <c r="Q177" s="148" t="s">
        <v>2136</v>
      </c>
      <c r="R177" s="148" t="s">
        <v>630</v>
      </c>
      <c r="S177" s="148" t="s">
        <v>631</v>
      </c>
      <c r="T177" s="149">
        <v>0.95</v>
      </c>
      <c r="U177" s="148" t="s">
        <v>591</v>
      </c>
      <c r="V177" s="150">
        <v>83.83</v>
      </c>
      <c r="W177" s="151">
        <f t="shared" si="40"/>
        <v>335.32</v>
      </c>
    </row>
    <row r="178" spans="1:23" ht="15" customHeight="1" x14ac:dyDescent="0.25">
      <c r="A178" s="148">
        <v>16106</v>
      </c>
      <c r="B178" s="148" t="s">
        <v>2146</v>
      </c>
      <c r="C178" s="143" t="s">
        <v>2504</v>
      </c>
      <c r="D178" s="143" t="s">
        <v>2504</v>
      </c>
      <c r="E178" s="143" t="s">
        <v>2504</v>
      </c>
      <c r="F178" s="143" t="s">
        <v>2504</v>
      </c>
      <c r="G178" s="143" t="s">
        <v>2504</v>
      </c>
      <c r="H178" s="143" t="s">
        <v>2504</v>
      </c>
      <c r="I178" s="143" t="str">
        <f t="shared" si="32"/>
        <v>NO EXISTE</v>
      </c>
      <c r="J178" s="143" t="str">
        <f t="shared" si="33"/>
        <v>NO EXISTE</v>
      </c>
      <c r="K178" s="143" t="str">
        <f t="shared" si="34"/>
        <v>NO EXISTE</v>
      </c>
      <c r="L178" s="143" t="str">
        <f t="shared" si="35"/>
        <v>NO EXISTE</v>
      </c>
      <c r="M178" s="143" t="str">
        <f t="shared" si="36"/>
        <v>NO EXISTE</v>
      </c>
      <c r="N178" s="143" t="str">
        <f t="shared" si="37"/>
        <v>NO EXISTE</v>
      </c>
      <c r="O178" s="143" t="str">
        <f t="shared" si="38"/>
        <v>NO EXISTE</v>
      </c>
      <c r="P178" s="143" t="str">
        <f t="shared" si="39"/>
        <v>NO EXISTE</v>
      </c>
      <c r="Q178" s="148" t="s">
        <v>2147</v>
      </c>
      <c r="R178" s="148" t="s">
        <v>630</v>
      </c>
      <c r="S178" s="148" t="s">
        <v>631</v>
      </c>
      <c r="T178" s="149">
        <v>4</v>
      </c>
      <c r="U178" s="148" t="s">
        <v>591</v>
      </c>
      <c r="V178" s="150">
        <v>349.78</v>
      </c>
      <c r="W178" s="151">
        <f t="shared" si="40"/>
        <v>1399.12</v>
      </c>
    </row>
    <row r="179" spans="1:23" ht="15" customHeight="1" x14ac:dyDescent="0.25">
      <c r="A179" s="148">
        <v>16110</v>
      </c>
      <c r="B179" s="148" t="s">
        <v>2148</v>
      </c>
      <c r="C179" s="143" t="s">
        <v>2504</v>
      </c>
      <c r="D179" s="143" t="s">
        <v>2504</v>
      </c>
      <c r="E179" s="143" t="s">
        <v>2504</v>
      </c>
      <c r="F179" s="143" t="s">
        <v>2504</v>
      </c>
      <c r="G179" s="143" t="s">
        <v>2504</v>
      </c>
      <c r="H179" s="143" t="s">
        <v>2504</v>
      </c>
      <c r="I179" s="143" t="str">
        <f t="shared" si="32"/>
        <v>NO EXISTE</v>
      </c>
      <c r="J179" s="143" t="str">
        <f t="shared" si="33"/>
        <v>NO EXISTE</v>
      </c>
      <c r="K179" s="143" t="str">
        <f t="shared" si="34"/>
        <v>NO EXISTE</v>
      </c>
      <c r="L179" s="143" t="str">
        <f t="shared" si="35"/>
        <v>NO EXISTE</v>
      </c>
      <c r="M179" s="143" t="str">
        <f t="shared" si="36"/>
        <v>NO EXISTE</v>
      </c>
      <c r="N179" s="143" t="str">
        <f t="shared" si="37"/>
        <v>NO EXISTE</v>
      </c>
      <c r="O179" s="143" t="str">
        <f t="shared" si="38"/>
        <v>NO EXISTE</v>
      </c>
      <c r="P179" s="143" t="str">
        <f t="shared" si="39"/>
        <v>NO EXISTE</v>
      </c>
      <c r="Q179" s="148" t="s">
        <v>2149</v>
      </c>
      <c r="R179" s="148" t="s">
        <v>594</v>
      </c>
      <c r="S179" s="148" t="s">
        <v>776</v>
      </c>
      <c r="T179" s="149">
        <v>0.95</v>
      </c>
      <c r="U179" s="148" t="s">
        <v>591</v>
      </c>
      <c r="V179" s="150">
        <v>118.61</v>
      </c>
      <c r="W179" s="151">
        <f t="shared" si="40"/>
        <v>474.44</v>
      </c>
    </row>
    <row r="180" spans="1:23" ht="15" customHeight="1" x14ac:dyDescent="0.25">
      <c r="A180" s="148">
        <v>16111</v>
      </c>
      <c r="B180" s="148" t="s">
        <v>2150</v>
      </c>
      <c r="C180" s="143" t="s">
        <v>2504</v>
      </c>
      <c r="D180" s="143" t="s">
        <v>2504</v>
      </c>
      <c r="E180" s="143" t="s">
        <v>2504</v>
      </c>
      <c r="F180" s="143" t="s">
        <v>2504</v>
      </c>
      <c r="G180" s="143" t="s">
        <v>2504</v>
      </c>
      <c r="H180" s="143" t="s">
        <v>2504</v>
      </c>
      <c r="I180" s="143" t="str">
        <f t="shared" si="32"/>
        <v>NO EXISTE</v>
      </c>
      <c r="J180" s="143" t="str">
        <f t="shared" si="33"/>
        <v>NO EXISTE</v>
      </c>
      <c r="K180" s="143" t="str">
        <f t="shared" si="34"/>
        <v>NO EXISTE</v>
      </c>
      <c r="L180" s="143" t="str">
        <f t="shared" si="35"/>
        <v>NO EXISTE</v>
      </c>
      <c r="M180" s="143" t="str">
        <f t="shared" si="36"/>
        <v>NO EXISTE</v>
      </c>
      <c r="N180" s="143" t="str">
        <f t="shared" si="37"/>
        <v>NO EXISTE</v>
      </c>
      <c r="O180" s="143" t="str">
        <f t="shared" si="38"/>
        <v>NO EXISTE</v>
      </c>
      <c r="P180" s="143" t="str">
        <f t="shared" si="39"/>
        <v>NO EXISTE</v>
      </c>
      <c r="Q180" s="148" t="s">
        <v>2151</v>
      </c>
      <c r="R180" s="148" t="s">
        <v>594</v>
      </c>
      <c r="S180" s="148" t="s">
        <v>776</v>
      </c>
      <c r="T180" s="149">
        <v>0.95</v>
      </c>
      <c r="U180" s="148" t="s">
        <v>591</v>
      </c>
      <c r="V180" s="150">
        <v>140.33000000000001</v>
      </c>
      <c r="W180" s="151">
        <f t="shared" si="40"/>
        <v>561.32000000000005</v>
      </c>
    </row>
    <row r="181" spans="1:23" ht="15" customHeight="1" x14ac:dyDescent="0.25">
      <c r="A181" s="148">
        <v>16112</v>
      </c>
      <c r="B181" s="148" t="s">
        <v>2152</v>
      </c>
      <c r="C181" s="143" t="s">
        <v>2504</v>
      </c>
      <c r="D181" s="143" t="s">
        <v>2504</v>
      </c>
      <c r="E181" s="143" t="s">
        <v>2504</v>
      </c>
      <c r="F181" s="143" t="s">
        <v>2504</v>
      </c>
      <c r="G181" s="143" t="s">
        <v>2504</v>
      </c>
      <c r="H181" s="143" t="s">
        <v>2504</v>
      </c>
      <c r="I181" s="143" t="str">
        <f t="shared" si="32"/>
        <v>NO EXISTE</v>
      </c>
      <c r="J181" s="143" t="str">
        <f t="shared" si="33"/>
        <v>NO EXISTE</v>
      </c>
      <c r="K181" s="143" t="str">
        <f t="shared" si="34"/>
        <v>NO EXISTE</v>
      </c>
      <c r="L181" s="143" t="str">
        <f t="shared" si="35"/>
        <v>NO EXISTE</v>
      </c>
      <c r="M181" s="143" t="str">
        <f t="shared" si="36"/>
        <v>NO EXISTE</v>
      </c>
      <c r="N181" s="143" t="str">
        <f t="shared" si="37"/>
        <v>NO EXISTE</v>
      </c>
      <c r="O181" s="143" t="str">
        <f t="shared" si="38"/>
        <v>NO EXISTE</v>
      </c>
      <c r="P181" s="143" t="str">
        <f t="shared" si="39"/>
        <v>NO EXISTE</v>
      </c>
      <c r="Q181" s="148" t="s">
        <v>2153</v>
      </c>
      <c r="R181" s="148" t="s">
        <v>594</v>
      </c>
      <c r="S181" s="148" t="s">
        <v>776</v>
      </c>
      <c r="T181" s="149">
        <v>0.95</v>
      </c>
      <c r="U181" s="148" t="s">
        <v>591</v>
      </c>
      <c r="V181" s="150">
        <v>109.34</v>
      </c>
      <c r="W181" s="151">
        <f>V181*1000</f>
        <v>109340</v>
      </c>
    </row>
    <row r="182" spans="1:23" ht="15" customHeight="1" x14ac:dyDescent="0.25">
      <c r="A182" s="148">
        <v>16113</v>
      </c>
      <c r="B182" s="148" t="s">
        <v>2154</v>
      </c>
      <c r="C182" s="143" t="s">
        <v>2504</v>
      </c>
      <c r="D182" s="143" t="s">
        <v>2504</v>
      </c>
      <c r="E182" s="143" t="s">
        <v>2504</v>
      </c>
      <c r="F182" s="143" t="s">
        <v>2504</v>
      </c>
      <c r="G182" s="143" t="s">
        <v>2504</v>
      </c>
      <c r="H182" s="143" t="s">
        <v>2504</v>
      </c>
      <c r="I182" s="143" t="str">
        <f t="shared" si="32"/>
        <v>NO EXISTE</v>
      </c>
      <c r="J182" s="143" t="str">
        <f t="shared" si="33"/>
        <v>NO EXISTE</v>
      </c>
      <c r="K182" s="143" t="str">
        <f t="shared" si="34"/>
        <v>NO EXISTE</v>
      </c>
      <c r="L182" s="143" t="str">
        <f t="shared" si="35"/>
        <v>NO EXISTE</v>
      </c>
      <c r="M182" s="143" t="str">
        <f t="shared" si="36"/>
        <v>NO EXISTE</v>
      </c>
      <c r="N182" s="143" t="str">
        <f t="shared" si="37"/>
        <v>NO EXISTE</v>
      </c>
      <c r="O182" s="143" t="str">
        <f t="shared" si="38"/>
        <v>NO EXISTE</v>
      </c>
      <c r="P182" s="143" t="str">
        <f t="shared" si="39"/>
        <v>NO EXISTE</v>
      </c>
      <c r="Q182" s="148" t="s">
        <v>2155</v>
      </c>
      <c r="R182" s="148" t="s">
        <v>594</v>
      </c>
      <c r="S182" s="148" t="s">
        <v>674</v>
      </c>
      <c r="T182" s="149">
        <v>0.95</v>
      </c>
      <c r="U182" s="148" t="s">
        <v>591</v>
      </c>
      <c r="V182" s="150">
        <v>113.38</v>
      </c>
      <c r="W182" s="151">
        <f>V182*1000</f>
        <v>113380</v>
      </c>
    </row>
    <row r="183" spans="1:23" ht="15" customHeight="1" x14ac:dyDescent="0.25">
      <c r="A183" s="148">
        <v>16115</v>
      </c>
      <c r="B183" s="148" t="s">
        <v>2156</v>
      </c>
      <c r="C183" s="143" t="s">
        <v>2504</v>
      </c>
      <c r="D183" s="143" t="s">
        <v>2504</v>
      </c>
      <c r="E183" s="143" t="s">
        <v>2504</v>
      </c>
      <c r="F183" s="143" t="s">
        <v>2504</v>
      </c>
      <c r="G183" s="143" t="s">
        <v>2504</v>
      </c>
      <c r="H183" s="143" t="s">
        <v>2504</v>
      </c>
      <c r="I183" s="143" t="str">
        <f t="shared" si="32"/>
        <v>NO EXISTE</v>
      </c>
      <c r="J183" s="143" t="str">
        <f t="shared" si="33"/>
        <v>NO EXISTE</v>
      </c>
      <c r="K183" s="143" t="str">
        <f t="shared" si="34"/>
        <v>NO EXISTE</v>
      </c>
      <c r="L183" s="143" t="str">
        <f t="shared" si="35"/>
        <v>NO EXISTE</v>
      </c>
      <c r="M183" s="143" t="str">
        <f t="shared" si="36"/>
        <v>NO EXISTE</v>
      </c>
      <c r="N183" s="143" t="str">
        <f t="shared" si="37"/>
        <v>NO EXISTE</v>
      </c>
      <c r="O183" s="143" t="str">
        <f t="shared" si="38"/>
        <v>NO EXISTE</v>
      </c>
      <c r="P183" s="143" t="str">
        <f t="shared" si="39"/>
        <v>NO EXISTE</v>
      </c>
      <c r="Q183" s="148" t="s">
        <v>2157</v>
      </c>
      <c r="R183" s="148" t="s">
        <v>594</v>
      </c>
      <c r="S183" s="148" t="s">
        <v>776</v>
      </c>
      <c r="T183" s="149">
        <v>200</v>
      </c>
      <c r="U183" s="148" t="s">
        <v>591</v>
      </c>
      <c r="V183" s="150">
        <v>24141.11</v>
      </c>
      <c r="W183" s="151">
        <f>V183*1000</f>
        <v>24141110</v>
      </c>
    </row>
    <row r="184" spans="1:23" ht="15" customHeight="1" x14ac:dyDescent="0.25">
      <c r="A184" s="148">
        <v>16116</v>
      </c>
      <c r="B184" s="148" t="s">
        <v>2158</v>
      </c>
      <c r="C184" s="143" t="s">
        <v>2504</v>
      </c>
      <c r="D184" s="143" t="s">
        <v>2504</v>
      </c>
      <c r="E184" s="143" t="s">
        <v>2504</v>
      </c>
      <c r="F184" s="143" t="s">
        <v>2504</v>
      </c>
      <c r="G184" s="143" t="s">
        <v>2504</v>
      </c>
      <c r="H184" s="143" t="s">
        <v>2504</v>
      </c>
      <c r="I184" s="143" t="str">
        <f t="shared" si="32"/>
        <v>NO EXISTE</v>
      </c>
      <c r="J184" s="143" t="str">
        <f t="shared" si="33"/>
        <v>NO EXISTE</v>
      </c>
      <c r="K184" s="143" t="str">
        <f t="shared" si="34"/>
        <v>NO EXISTE</v>
      </c>
      <c r="L184" s="143" t="str">
        <f t="shared" si="35"/>
        <v>NO EXISTE</v>
      </c>
      <c r="M184" s="143" t="str">
        <f t="shared" si="36"/>
        <v>NO EXISTE</v>
      </c>
      <c r="N184" s="143" t="str">
        <f t="shared" si="37"/>
        <v>NO EXISTE</v>
      </c>
      <c r="O184" s="143" t="str">
        <f t="shared" si="38"/>
        <v>NO EXISTE</v>
      </c>
      <c r="P184" s="143" t="str">
        <f t="shared" si="39"/>
        <v>NO EXISTE</v>
      </c>
      <c r="Q184" s="148" t="s">
        <v>2159</v>
      </c>
      <c r="R184" s="148" t="s">
        <v>594</v>
      </c>
      <c r="S184" s="148" t="s">
        <v>776</v>
      </c>
      <c r="T184" s="149">
        <v>19</v>
      </c>
      <c r="U184" s="148" t="s">
        <v>591</v>
      </c>
      <c r="V184" s="150">
        <v>2741.03</v>
      </c>
      <c r="W184" s="151">
        <v>2723.76</v>
      </c>
    </row>
    <row r="185" spans="1:23" ht="15" customHeight="1" x14ac:dyDescent="0.25">
      <c r="A185" s="148">
        <v>16117</v>
      </c>
      <c r="B185" s="148" t="s">
        <v>2160</v>
      </c>
      <c r="C185" s="143" t="s">
        <v>2504</v>
      </c>
      <c r="D185" s="143" t="s">
        <v>2504</v>
      </c>
      <c r="E185" s="143" t="s">
        <v>2504</v>
      </c>
      <c r="F185" s="143" t="s">
        <v>2504</v>
      </c>
      <c r="G185" s="143" t="s">
        <v>2504</v>
      </c>
      <c r="H185" s="143" t="s">
        <v>2504</v>
      </c>
      <c r="I185" s="143" t="str">
        <f t="shared" si="32"/>
        <v>NO EXISTE</v>
      </c>
      <c r="J185" s="143" t="str">
        <f t="shared" si="33"/>
        <v>NO EXISTE</v>
      </c>
      <c r="K185" s="143" t="str">
        <f t="shared" si="34"/>
        <v>NO EXISTE</v>
      </c>
      <c r="L185" s="143" t="str">
        <f t="shared" si="35"/>
        <v>NO EXISTE</v>
      </c>
      <c r="M185" s="143" t="str">
        <f t="shared" si="36"/>
        <v>NO EXISTE</v>
      </c>
      <c r="N185" s="143" t="str">
        <f t="shared" si="37"/>
        <v>NO EXISTE</v>
      </c>
      <c r="O185" s="143" t="str">
        <f t="shared" si="38"/>
        <v>NO EXISTE</v>
      </c>
      <c r="P185" s="143" t="str">
        <f t="shared" si="39"/>
        <v>NO EXISTE</v>
      </c>
      <c r="Q185" s="148" t="s">
        <v>2161</v>
      </c>
      <c r="R185" s="148" t="s">
        <v>594</v>
      </c>
      <c r="S185" s="148" t="s">
        <v>776</v>
      </c>
      <c r="T185" s="149">
        <v>200</v>
      </c>
      <c r="U185" s="148" t="s">
        <v>591</v>
      </c>
      <c r="V185" s="150">
        <v>28937.119999999999</v>
      </c>
      <c r="W185" s="151">
        <f>V185*1000</f>
        <v>28937120</v>
      </c>
    </row>
    <row r="186" spans="1:23" ht="15" customHeight="1" x14ac:dyDescent="0.25">
      <c r="A186" s="148">
        <v>16118</v>
      </c>
      <c r="B186" s="148" t="s">
        <v>2162</v>
      </c>
      <c r="C186" s="143" t="s">
        <v>2504</v>
      </c>
      <c r="D186" s="143" t="s">
        <v>2504</v>
      </c>
      <c r="E186" s="143" t="s">
        <v>2504</v>
      </c>
      <c r="F186" s="143" t="s">
        <v>2504</v>
      </c>
      <c r="G186" s="143" t="s">
        <v>2504</v>
      </c>
      <c r="H186" s="143" t="s">
        <v>2504</v>
      </c>
      <c r="I186" s="143" t="str">
        <f t="shared" si="32"/>
        <v>NO EXISTE</v>
      </c>
      <c r="J186" s="143" t="str">
        <f t="shared" si="33"/>
        <v>NO EXISTE</v>
      </c>
      <c r="K186" s="143" t="str">
        <f t="shared" si="34"/>
        <v>NO EXISTE</v>
      </c>
      <c r="L186" s="143" t="str">
        <f t="shared" si="35"/>
        <v>NO EXISTE</v>
      </c>
      <c r="M186" s="143" t="str">
        <f t="shared" si="36"/>
        <v>NO EXISTE</v>
      </c>
      <c r="N186" s="143" t="str">
        <f t="shared" si="37"/>
        <v>NO EXISTE</v>
      </c>
      <c r="O186" s="143" t="str">
        <f t="shared" si="38"/>
        <v>NO EXISTE</v>
      </c>
      <c r="P186" s="143" t="str">
        <f t="shared" si="39"/>
        <v>NO EXISTE</v>
      </c>
      <c r="Q186" s="148" t="s">
        <v>2163</v>
      </c>
      <c r="R186" s="148" t="s">
        <v>594</v>
      </c>
      <c r="S186" s="148" t="s">
        <v>776</v>
      </c>
      <c r="T186" s="149">
        <v>19</v>
      </c>
      <c r="U186" s="148" t="s">
        <v>591</v>
      </c>
      <c r="V186" s="150">
        <v>2741.03</v>
      </c>
      <c r="W186" s="151">
        <v>400.32</v>
      </c>
    </row>
    <row r="187" spans="1:23" ht="15" customHeight="1" x14ac:dyDescent="0.25">
      <c r="A187" s="148">
        <v>16120</v>
      </c>
      <c r="B187" s="148" t="s">
        <v>2165</v>
      </c>
      <c r="C187" s="143" t="s">
        <v>2504</v>
      </c>
      <c r="D187" s="143" t="s">
        <v>2504</v>
      </c>
      <c r="E187" s="143" t="s">
        <v>2504</v>
      </c>
      <c r="F187" s="143" t="s">
        <v>2504</v>
      </c>
      <c r="G187" s="143" t="s">
        <v>2504</v>
      </c>
      <c r="H187" s="143" t="s">
        <v>2504</v>
      </c>
      <c r="I187" s="143" t="str">
        <f t="shared" si="32"/>
        <v>NO EXISTE</v>
      </c>
      <c r="J187" s="143" t="str">
        <f t="shared" si="33"/>
        <v>NO EXISTE</v>
      </c>
      <c r="K187" s="143" t="str">
        <f t="shared" si="34"/>
        <v>NO EXISTE</v>
      </c>
      <c r="L187" s="143" t="str">
        <f t="shared" si="35"/>
        <v>NO EXISTE</v>
      </c>
      <c r="M187" s="143" t="str">
        <f t="shared" si="36"/>
        <v>NO EXISTE</v>
      </c>
      <c r="N187" s="143" t="str">
        <f t="shared" si="37"/>
        <v>NO EXISTE</v>
      </c>
      <c r="O187" s="143" t="str">
        <f t="shared" si="38"/>
        <v>NO EXISTE</v>
      </c>
      <c r="P187" s="143" t="str">
        <f t="shared" si="39"/>
        <v>NO EXISTE</v>
      </c>
      <c r="Q187" s="148" t="s">
        <v>2166</v>
      </c>
      <c r="R187" s="148" t="s">
        <v>594</v>
      </c>
      <c r="S187" s="148" t="s">
        <v>776</v>
      </c>
      <c r="T187" s="149">
        <v>200</v>
      </c>
      <c r="U187" s="148" t="s">
        <v>591</v>
      </c>
      <c r="V187" s="150">
        <v>22412.27</v>
      </c>
      <c r="W187" s="151">
        <v>399.36</v>
      </c>
    </row>
    <row r="188" spans="1:23" ht="15" customHeight="1" x14ac:dyDescent="0.25">
      <c r="A188" s="148">
        <v>16130</v>
      </c>
      <c r="B188" s="148" t="s">
        <v>2173</v>
      </c>
      <c r="C188" s="143" t="s">
        <v>2504</v>
      </c>
      <c r="D188" s="143" t="s">
        <v>2504</v>
      </c>
      <c r="E188" s="143" t="s">
        <v>2504</v>
      </c>
      <c r="F188" s="143" t="s">
        <v>2504</v>
      </c>
      <c r="G188" s="143" t="s">
        <v>2504</v>
      </c>
      <c r="H188" s="143" t="s">
        <v>2504</v>
      </c>
      <c r="I188" s="143" t="str">
        <f t="shared" si="32"/>
        <v>NO EXISTE</v>
      </c>
      <c r="J188" s="143" t="str">
        <f t="shared" si="33"/>
        <v>NO EXISTE</v>
      </c>
      <c r="K188" s="143" t="str">
        <f t="shared" si="34"/>
        <v>NO EXISTE</v>
      </c>
      <c r="L188" s="143" t="str">
        <f t="shared" si="35"/>
        <v>NO EXISTE</v>
      </c>
      <c r="M188" s="143" t="str">
        <f t="shared" si="36"/>
        <v>NO EXISTE</v>
      </c>
      <c r="N188" s="143" t="str">
        <f t="shared" si="37"/>
        <v>NO EXISTE</v>
      </c>
      <c r="O188" s="143" t="str">
        <f t="shared" si="38"/>
        <v>NO EXISTE</v>
      </c>
      <c r="P188" s="143" t="str">
        <f t="shared" si="39"/>
        <v>NO EXISTE</v>
      </c>
      <c r="Q188" s="148" t="s">
        <v>2174</v>
      </c>
      <c r="R188" s="148" t="s">
        <v>594</v>
      </c>
      <c r="S188" s="148" t="s">
        <v>2175</v>
      </c>
      <c r="T188" s="149">
        <v>0.95</v>
      </c>
      <c r="U188" s="148" t="s">
        <v>591</v>
      </c>
      <c r="V188" s="150">
        <v>132.93</v>
      </c>
      <c r="W188" s="151">
        <v>399.03</v>
      </c>
    </row>
    <row r="189" spans="1:23" ht="15" customHeight="1" x14ac:dyDescent="0.25">
      <c r="A189" s="148">
        <v>16132</v>
      </c>
      <c r="B189" s="148" t="s">
        <v>2176</v>
      </c>
      <c r="C189" s="143" t="s">
        <v>2504</v>
      </c>
      <c r="D189" s="143" t="s">
        <v>2504</v>
      </c>
      <c r="E189" s="143" t="s">
        <v>2504</v>
      </c>
      <c r="F189" s="143" t="s">
        <v>2504</v>
      </c>
      <c r="G189" s="143" t="s">
        <v>2504</v>
      </c>
      <c r="H189" s="143" t="s">
        <v>2504</v>
      </c>
      <c r="I189" s="143" t="str">
        <f t="shared" si="32"/>
        <v>NO EXISTE</v>
      </c>
      <c r="J189" s="143" t="str">
        <f t="shared" si="33"/>
        <v>NO EXISTE</v>
      </c>
      <c r="K189" s="143" t="str">
        <f t="shared" si="34"/>
        <v>NO EXISTE</v>
      </c>
      <c r="L189" s="143" t="str">
        <f t="shared" si="35"/>
        <v>NO EXISTE</v>
      </c>
      <c r="M189" s="143" t="str">
        <f t="shared" si="36"/>
        <v>NO EXISTE</v>
      </c>
      <c r="N189" s="143" t="str">
        <f t="shared" si="37"/>
        <v>NO EXISTE</v>
      </c>
      <c r="O189" s="143" t="str">
        <f t="shared" si="38"/>
        <v>NO EXISTE</v>
      </c>
      <c r="P189" s="143" t="str">
        <f t="shared" si="39"/>
        <v>NO EXISTE</v>
      </c>
      <c r="Q189" s="148" t="s">
        <v>2177</v>
      </c>
      <c r="R189" s="148" t="s">
        <v>594</v>
      </c>
      <c r="S189" s="148" t="s">
        <v>2175</v>
      </c>
      <c r="T189" s="149">
        <v>4</v>
      </c>
      <c r="U189" s="148" t="s">
        <v>591</v>
      </c>
      <c r="V189" s="150">
        <v>551.74</v>
      </c>
      <c r="W189" s="151">
        <v>514.36</v>
      </c>
    </row>
    <row r="190" spans="1:23" ht="15" customHeight="1" x14ac:dyDescent="0.25">
      <c r="A190" s="148">
        <v>16135</v>
      </c>
      <c r="B190" s="148" t="s">
        <v>2178</v>
      </c>
      <c r="C190" s="143" t="s">
        <v>2504</v>
      </c>
      <c r="D190" s="143" t="s">
        <v>2504</v>
      </c>
      <c r="E190" s="143" t="s">
        <v>2504</v>
      </c>
      <c r="F190" s="143" t="s">
        <v>2504</v>
      </c>
      <c r="G190" s="143" t="s">
        <v>2504</v>
      </c>
      <c r="H190" s="143" t="s">
        <v>2504</v>
      </c>
      <c r="I190" s="143" t="str">
        <f t="shared" si="32"/>
        <v>NO EXISTE</v>
      </c>
      <c r="J190" s="143" t="str">
        <f t="shared" si="33"/>
        <v>NO EXISTE</v>
      </c>
      <c r="K190" s="143" t="str">
        <f t="shared" si="34"/>
        <v>NO EXISTE</v>
      </c>
      <c r="L190" s="143" t="str">
        <f t="shared" si="35"/>
        <v>NO EXISTE</v>
      </c>
      <c r="M190" s="143" t="str">
        <f t="shared" si="36"/>
        <v>NO EXISTE</v>
      </c>
      <c r="N190" s="143" t="str">
        <f t="shared" si="37"/>
        <v>NO EXISTE</v>
      </c>
      <c r="O190" s="143" t="str">
        <f t="shared" si="38"/>
        <v>NO EXISTE</v>
      </c>
      <c r="P190" s="143" t="str">
        <f t="shared" si="39"/>
        <v>NO EXISTE</v>
      </c>
      <c r="Q190" s="148" t="s">
        <v>2179</v>
      </c>
      <c r="R190" s="148" t="s">
        <v>594</v>
      </c>
      <c r="S190" s="148" t="s">
        <v>2175</v>
      </c>
      <c r="T190" s="242">
        <v>0.95</v>
      </c>
      <c r="U190" s="148" t="s">
        <v>591</v>
      </c>
      <c r="V190" s="150">
        <v>134.47</v>
      </c>
      <c r="W190" s="151">
        <v>399.81</v>
      </c>
    </row>
    <row r="191" spans="1:23" ht="15" customHeight="1" x14ac:dyDescent="0.25">
      <c r="A191" s="148">
        <v>16140</v>
      </c>
      <c r="B191" s="148" t="s">
        <v>2181</v>
      </c>
      <c r="C191" s="143" t="s">
        <v>2504</v>
      </c>
      <c r="D191" s="143" t="s">
        <v>2504</v>
      </c>
      <c r="E191" s="143" t="s">
        <v>2504</v>
      </c>
      <c r="F191" s="143" t="s">
        <v>2504</v>
      </c>
      <c r="G191" s="143" t="s">
        <v>2504</v>
      </c>
      <c r="H191" s="143" t="s">
        <v>2504</v>
      </c>
      <c r="I191" s="143" t="str">
        <f t="shared" si="32"/>
        <v>NO EXISTE</v>
      </c>
      <c r="J191" s="143" t="str">
        <f t="shared" si="33"/>
        <v>NO EXISTE</v>
      </c>
      <c r="K191" s="143" t="str">
        <f t="shared" si="34"/>
        <v>NO EXISTE</v>
      </c>
      <c r="L191" s="143" t="str">
        <f t="shared" si="35"/>
        <v>NO EXISTE</v>
      </c>
      <c r="M191" s="143" t="str">
        <f t="shared" si="36"/>
        <v>NO EXISTE</v>
      </c>
      <c r="N191" s="143" t="str">
        <f t="shared" si="37"/>
        <v>NO EXISTE</v>
      </c>
      <c r="O191" s="143" t="str">
        <f t="shared" si="38"/>
        <v>NO EXISTE</v>
      </c>
      <c r="P191" s="143" t="str">
        <f t="shared" si="39"/>
        <v>NO EXISTE</v>
      </c>
      <c r="Q191" s="148" t="s">
        <v>2182</v>
      </c>
      <c r="R191" s="148" t="s">
        <v>594</v>
      </c>
      <c r="S191" s="148" t="s">
        <v>2175</v>
      </c>
      <c r="T191" s="149">
        <v>0.95</v>
      </c>
      <c r="U191" s="148" t="s">
        <v>591</v>
      </c>
      <c r="V191" s="150">
        <v>180.56</v>
      </c>
      <c r="W191" s="151">
        <f>V191*24</f>
        <v>4333.4400000000005</v>
      </c>
    </row>
    <row r="192" spans="1:23" ht="15" customHeight="1" x14ac:dyDescent="0.25">
      <c r="A192" s="148">
        <v>16142</v>
      </c>
      <c r="B192" s="148" t="s">
        <v>2183</v>
      </c>
      <c r="C192" s="143" t="s">
        <v>2504</v>
      </c>
      <c r="D192" s="143" t="s">
        <v>2504</v>
      </c>
      <c r="E192" s="143" t="s">
        <v>2504</v>
      </c>
      <c r="F192" s="143" t="s">
        <v>2504</v>
      </c>
      <c r="G192" s="143" t="s">
        <v>2504</v>
      </c>
      <c r="H192" s="143" t="s">
        <v>2504</v>
      </c>
      <c r="I192" s="143" t="str">
        <f t="shared" si="32"/>
        <v>NO EXISTE</v>
      </c>
      <c r="J192" s="143" t="str">
        <f t="shared" si="33"/>
        <v>NO EXISTE</v>
      </c>
      <c r="K192" s="143" t="str">
        <f t="shared" si="34"/>
        <v>NO EXISTE</v>
      </c>
      <c r="L192" s="143" t="str">
        <f t="shared" si="35"/>
        <v>NO EXISTE</v>
      </c>
      <c r="M192" s="143" t="str">
        <f t="shared" si="36"/>
        <v>NO EXISTE</v>
      </c>
      <c r="N192" s="143" t="str">
        <f t="shared" si="37"/>
        <v>NO EXISTE</v>
      </c>
      <c r="O192" s="143" t="str">
        <f t="shared" si="38"/>
        <v>NO EXISTE</v>
      </c>
      <c r="P192" s="143" t="str">
        <f t="shared" si="39"/>
        <v>NO EXISTE</v>
      </c>
      <c r="Q192" s="148" t="s">
        <v>2184</v>
      </c>
      <c r="R192" s="148" t="s">
        <v>594</v>
      </c>
      <c r="S192" s="148" t="s">
        <v>2175</v>
      </c>
      <c r="T192" s="149">
        <v>4</v>
      </c>
      <c r="U192" s="148" t="s">
        <v>591</v>
      </c>
      <c r="V192" s="150">
        <v>714.76</v>
      </c>
      <c r="W192" s="151">
        <v>1706.2</v>
      </c>
    </row>
    <row r="193" spans="1:23" ht="15" customHeight="1" x14ac:dyDescent="0.25">
      <c r="A193" s="148">
        <v>16202</v>
      </c>
      <c r="B193" s="148" t="s">
        <v>2199</v>
      </c>
      <c r="C193" s="143" t="s">
        <v>2504</v>
      </c>
      <c r="D193" s="143" t="s">
        <v>2504</v>
      </c>
      <c r="E193" s="143" t="s">
        <v>2504</v>
      </c>
      <c r="F193" s="143" t="s">
        <v>2504</v>
      </c>
      <c r="G193" s="143" t="s">
        <v>2504</v>
      </c>
      <c r="H193" s="143" t="s">
        <v>2504</v>
      </c>
      <c r="I193" s="143" t="str">
        <f t="shared" si="32"/>
        <v>NO EXISTE</v>
      </c>
      <c r="J193" s="143" t="str">
        <f t="shared" si="33"/>
        <v>NO EXISTE</v>
      </c>
      <c r="K193" s="143" t="str">
        <f t="shared" si="34"/>
        <v>NO EXISTE</v>
      </c>
      <c r="L193" s="143" t="str">
        <f t="shared" si="35"/>
        <v>NO EXISTE</v>
      </c>
      <c r="M193" s="143" t="str">
        <f t="shared" si="36"/>
        <v>NO EXISTE</v>
      </c>
      <c r="N193" s="143" t="str">
        <f t="shared" si="37"/>
        <v>NO EXISTE</v>
      </c>
      <c r="O193" s="143" t="str">
        <f t="shared" si="38"/>
        <v>NO EXISTE</v>
      </c>
      <c r="P193" s="143" t="str">
        <f t="shared" si="39"/>
        <v>NO EXISTE</v>
      </c>
      <c r="Q193" s="148" t="s">
        <v>2200</v>
      </c>
      <c r="R193" s="148" t="s">
        <v>594</v>
      </c>
      <c r="S193" s="148" t="s">
        <v>595</v>
      </c>
      <c r="T193" s="149">
        <v>0.95</v>
      </c>
      <c r="U193" s="148" t="s">
        <v>591</v>
      </c>
      <c r="V193" s="150">
        <v>419.85</v>
      </c>
      <c r="W193" s="151">
        <f>V193*12</f>
        <v>5038.2000000000007</v>
      </c>
    </row>
    <row r="194" spans="1:23" ht="15" customHeight="1" x14ac:dyDescent="0.25">
      <c r="A194" s="148">
        <v>16251</v>
      </c>
      <c r="B194" s="148" t="s">
        <v>2202</v>
      </c>
      <c r="C194" s="143" t="s">
        <v>2504</v>
      </c>
      <c r="D194" s="143" t="s">
        <v>2504</v>
      </c>
      <c r="E194" s="143" t="s">
        <v>2504</v>
      </c>
      <c r="F194" s="143" t="s">
        <v>2504</v>
      </c>
      <c r="G194" s="143" t="s">
        <v>2504</v>
      </c>
      <c r="H194" s="143" t="s">
        <v>2504</v>
      </c>
      <c r="I194" s="143" t="str">
        <f t="shared" si="32"/>
        <v>NO EXISTE</v>
      </c>
      <c r="J194" s="143" t="str">
        <f t="shared" si="33"/>
        <v>NO EXISTE</v>
      </c>
      <c r="K194" s="143" t="str">
        <f t="shared" si="34"/>
        <v>NO EXISTE</v>
      </c>
      <c r="L194" s="143" t="str">
        <f t="shared" si="35"/>
        <v>NO EXISTE</v>
      </c>
      <c r="M194" s="143" t="str">
        <f t="shared" si="36"/>
        <v>NO EXISTE</v>
      </c>
      <c r="N194" s="143" t="str">
        <f t="shared" si="37"/>
        <v>NO EXISTE</v>
      </c>
      <c r="O194" s="143" t="str">
        <f t="shared" si="38"/>
        <v>NO EXISTE</v>
      </c>
      <c r="P194" s="143" t="str">
        <f t="shared" si="39"/>
        <v>NO EXISTE</v>
      </c>
      <c r="Q194" s="148" t="s">
        <v>2203</v>
      </c>
      <c r="R194" s="148" t="s">
        <v>630</v>
      </c>
      <c r="S194" s="148" t="s">
        <v>631</v>
      </c>
      <c r="T194" s="149">
        <v>4</v>
      </c>
      <c r="U194" s="148" t="s">
        <v>591</v>
      </c>
      <c r="V194" s="150">
        <v>349.68</v>
      </c>
      <c r="W194" s="151">
        <v>1858.44</v>
      </c>
    </row>
    <row r="195" spans="1:23" ht="15" customHeight="1" x14ac:dyDescent="0.25">
      <c r="A195" s="148">
        <v>16255</v>
      </c>
      <c r="B195" s="148" t="s">
        <v>2205</v>
      </c>
      <c r="C195" s="143" t="s">
        <v>2504</v>
      </c>
      <c r="D195" s="143" t="s">
        <v>2504</v>
      </c>
      <c r="E195" s="143" t="s">
        <v>2504</v>
      </c>
      <c r="F195" s="143" t="s">
        <v>2504</v>
      </c>
      <c r="G195" s="143" t="s">
        <v>2504</v>
      </c>
      <c r="H195" s="143" t="s">
        <v>2504</v>
      </c>
      <c r="I195" s="143" t="str">
        <f t="shared" si="32"/>
        <v>NO EXISTE</v>
      </c>
      <c r="J195" s="143" t="str">
        <f t="shared" si="33"/>
        <v>NO EXISTE</v>
      </c>
      <c r="K195" s="143" t="str">
        <f t="shared" si="34"/>
        <v>NO EXISTE</v>
      </c>
      <c r="L195" s="143" t="str">
        <f t="shared" si="35"/>
        <v>NO EXISTE</v>
      </c>
      <c r="M195" s="143" t="str">
        <f t="shared" si="36"/>
        <v>NO EXISTE</v>
      </c>
      <c r="N195" s="143" t="str">
        <f t="shared" si="37"/>
        <v>NO EXISTE</v>
      </c>
      <c r="O195" s="143" t="str">
        <f t="shared" si="38"/>
        <v>NO EXISTE</v>
      </c>
      <c r="P195" s="143" t="str">
        <f t="shared" si="39"/>
        <v>NO EXISTE</v>
      </c>
      <c r="Q195" s="148" t="s">
        <v>2206</v>
      </c>
      <c r="R195" s="148" t="s">
        <v>600</v>
      </c>
      <c r="S195" s="148" t="s">
        <v>613</v>
      </c>
      <c r="T195" s="149">
        <v>3.7850000000000001</v>
      </c>
      <c r="U195" s="148" t="s">
        <v>591</v>
      </c>
      <c r="V195" s="150">
        <v>192.37</v>
      </c>
      <c r="W195" s="151">
        <v>19667.57</v>
      </c>
    </row>
    <row r="196" spans="1:23" ht="15" customHeight="1" x14ac:dyDescent="0.25">
      <c r="A196" s="148">
        <v>16307</v>
      </c>
      <c r="B196" s="148" t="s">
        <v>2212</v>
      </c>
      <c r="C196" s="143" t="s">
        <v>2504</v>
      </c>
      <c r="D196" s="143" t="s">
        <v>2504</v>
      </c>
      <c r="E196" s="143" t="s">
        <v>2504</v>
      </c>
      <c r="F196" s="143" t="s">
        <v>2504</v>
      </c>
      <c r="G196" s="143" t="s">
        <v>2504</v>
      </c>
      <c r="H196" s="143" t="s">
        <v>2504</v>
      </c>
      <c r="I196" s="143" t="str">
        <f t="shared" si="32"/>
        <v>NO EXISTE</v>
      </c>
      <c r="J196" s="143" t="str">
        <f t="shared" si="33"/>
        <v>NO EXISTE</v>
      </c>
      <c r="K196" s="143" t="str">
        <f t="shared" si="34"/>
        <v>NO EXISTE</v>
      </c>
      <c r="L196" s="143" t="str">
        <f t="shared" si="35"/>
        <v>NO EXISTE</v>
      </c>
      <c r="M196" s="143" t="str">
        <f t="shared" si="36"/>
        <v>NO EXISTE</v>
      </c>
      <c r="N196" s="143" t="str">
        <f t="shared" si="37"/>
        <v>NO EXISTE</v>
      </c>
      <c r="O196" s="143" t="str">
        <f t="shared" si="38"/>
        <v>NO EXISTE</v>
      </c>
      <c r="P196" s="143" t="str">
        <f t="shared" si="39"/>
        <v>NO EXISTE</v>
      </c>
      <c r="Q196" s="148" t="s">
        <v>2213</v>
      </c>
      <c r="R196" s="148" t="s">
        <v>594</v>
      </c>
      <c r="S196" s="148" t="s">
        <v>2214</v>
      </c>
      <c r="T196" s="149">
        <v>5</v>
      </c>
      <c r="U196" s="148" t="s">
        <v>591</v>
      </c>
      <c r="V196" s="150">
        <v>729.2</v>
      </c>
      <c r="W196" s="151">
        <v>2029.72</v>
      </c>
    </row>
    <row r="197" spans="1:23" ht="15" customHeight="1" x14ac:dyDescent="0.25">
      <c r="A197" s="148">
        <v>16308</v>
      </c>
      <c r="B197" s="148" t="s">
        <v>2215</v>
      </c>
      <c r="C197" s="143" t="s">
        <v>2504</v>
      </c>
      <c r="D197" s="143" t="s">
        <v>2504</v>
      </c>
      <c r="E197" s="143" t="s">
        <v>2504</v>
      </c>
      <c r="F197" s="143" t="s">
        <v>2504</v>
      </c>
      <c r="G197" s="143" t="s">
        <v>2504</v>
      </c>
      <c r="H197" s="143" t="s">
        <v>2504</v>
      </c>
      <c r="I197" s="143" t="str">
        <f t="shared" si="32"/>
        <v>NO EXISTE</v>
      </c>
      <c r="J197" s="143" t="str">
        <f t="shared" si="33"/>
        <v>NO EXISTE</v>
      </c>
      <c r="K197" s="143" t="str">
        <f t="shared" si="34"/>
        <v>NO EXISTE</v>
      </c>
      <c r="L197" s="143" t="str">
        <f t="shared" si="35"/>
        <v>NO EXISTE</v>
      </c>
      <c r="M197" s="143" t="str">
        <f t="shared" si="36"/>
        <v>NO EXISTE</v>
      </c>
      <c r="N197" s="143" t="str">
        <f t="shared" si="37"/>
        <v>NO EXISTE</v>
      </c>
      <c r="O197" s="143" t="str">
        <f t="shared" si="38"/>
        <v>NO EXISTE</v>
      </c>
      <c r="P197" s="143" t="str">
        <f t="shared" si="39"/>
        <v>NO EXISTE</v>
      </c>
      <c r="Q197" s="148" t="s">
        <v>2216</v>
      </c>
      <c r="R197" s="148" t="s">
        <v>594</v>
      </c>
      <c r="S197" s="148" t="s">
        <v>2214</v>
      </c>
      <c r="T197" s="149">
        <v>5</v>
      </c>
      <c r="U197" s="148" t="s">
        <v>591</v>
      </c>
      <c r="V197" s="150">
        <v>664.65</v>
      </c>
      <c r="W197" s="151">
        <v>21475.32</v>
      </c>
    </row>
    <row r="198" spans="1:23" ht="15" customHeight="1" x14ac:dyDescent="0.25">
      <c r="A198" s="148">
        <v>16320</v>
      </c>
      <c r="B198" s="148" t="s">
        <v>2230</v>
      </c>
      <c r="C198" s="143" t="s">
        <v>2504</v>
      </c>
      <c r="D198" s="143" t="s">
        <v>2504</v>
      </c>
      <c r="E198" s="143" t="s">
        <v>2504</v>
      </c>
      <c r="F198" s="143" t="s">
        <v>2504</v>
      </c>
      <c r="G198" s="143" t="s">
        <v>2504</v>
      </c>
      <c r="H198" s="143" t="s">
        <v>2504</v>
      </c>
      <c r="I198" s="143" t="str">
        <f t="shared" si="32"/>
        <v>NO EXISTE</v>
      </c>
      <c r="J198" s="143" t="str">
        <f t="shared" si="33"/>
        <v>NO EXISTE</v>
      </c>
      <c r="K198" s="143" t="str">
        <f t="shared" si="34"/>
        <v>NO EXISTE</v>
      </c>
      <c r="L198" s="143" t="str">
        <f t="shared" si="35"/>
        <v>NO EXISTE</v>
      </c>
      <c r="M198" s="143" t="str">
        <f t="shared" si="36"/>
        <v>NO EXISTE</v>
      </c>
      <c r="N198" s="143" t="str">
        <f t="shared" si="37"/>
        <v>NO EXISTE</v>
      </c>
      <c r="O198" s="143" t="str">
        <f t="shared" si="38"/>
        <v>NO EXISTE</v>
      </c>
      <c r="P198" s="143" t="str">
        <f t="shared" si="39"/>
        <v>NO EXISTE</v>
      </c>
      <c r="Q198" s="148" t="s">
        <v>2231</v>
      </c>
      <c r="R198" s="148" t="s">
        <v>594</v>
      </c>
      <c r="S198" s="148" t="s">
        <v>2232</v>
      </c>
      <c r="T198" s="149">
        <v>5</v>
      </c>
      <c r="U198" s="148" t="s">
        <v>591</v>
      </c>
      <c r="V198" s="150">
        <v>925.84</v>
      </c>
      <c r="W198" s="151">
        <v>18060.41</v>
      </c>
    </row>
    <row r="199" spans="1:23" ht="15" customHeight="1" x14ac:dyDescent="0.25">
      <c r="A199" s="148">
        <v>16405</v>
      </c>
      <c r="B199" s="148" t="s">
        <v>2240</v>
      </c>
      <c r="C199" s="143" t="s">
        <v>2504</v>
      </c>
      <c r="D199" s="143" t="s">
        <v>2504</v>
      </c>
      <c r="E199" s="143" t="s">
        <v>2504</v>
      </c>
      <c r="F199" s="143" t="s">
        <v>2504</v>
      </c>
      <c r="G199" s="143" t="s">
        <v>2504</v>
      </c>
      <c r="H199" s="143" t="s">
        <v>2504</v>
      </c>
      <c r="I199" s="143" t="str">
        <f t="shared" si="32"/>
        <v>NO EXISTE</v>
      </c>
      <c r="J199" s="143" t="str">
        <f t="shared" si="33"/>
        <v>NO EXISTE</v>
      </c>
      <c r="K199" s="143" t="str">
        <f t="shared" si="34"/>
        <v>NO EXISTE</v>
      </c>
      <c r="L199" s="143" t="str">
        <f t="shared" si="35"/>
        <v>NO EXISTE</v>
      </c>
      <c r="M199" s="143" t="str">
        <f t="shared" si="36"/>
        <v>NO EXISTE</v>
      </c>
      <c r="N199" s="143" t="str">
        <f t="shared" si="37"/>
        <v>NO EXISTE</v>
      </c>
      <c r="O199" s="143" t="str">
        <f t="shared" si="38"/>
        <v>NO EXISTE</v>
      </c>
      <c r="P199" s="143" t="str">
        <f t="shared" si="39"/>
        <v>NO EXISTE</v>
      </c>
      <c r="Q199" s="148" t="s">
        <v>2241</v>
      </c>
      <c r="R199" s="148" t="s">
        <v>600</v>
      </c>
      <c r="S199" s="148" t="s">
        <v>613</v>
      </c>
      <c r="T199" s="149">
        <v>0.6</v>
      </c>
      <c r="U199" s="148" t="s">
        <v>591</v>
      </c>
      <c r="V199" s="150">
        <v>55.33</v>
      </c>
      <c r="W199" s="151">
        <f>V199*4</f>
        <v>221.32</v>
      </c>
    </row>
    <row r="200" spans="1:23" ht="15" customHeight="1" x14ac:dyDescent="0.25">
      <c r="A200" s="148">
        <v>16413</v>
      </c>
      <c r="B200" s="148" t="s">
        <v>2249</v>
      </c>
      <c r="C200" s="143" t="s">
        <v>2504</v>
      </c>
      <c r="D200" s="143" t="s">
        <v>2504</v>
      </c>
      <c r="E200" s="143" t="s">
        <v>2504</v>
      </c>
      <c r="F200" s="143" t="s">
        <v>2504</v>
      </c>
      <c r="G200" s="143" t="s">
        <v>2504</v>
      </c>
      <c r="H200" s="143" t="s">
        <v>2504</v>
      </c>
      <c r="I200" s="143" t="str">
        <f t="shared" si="32"/>
        <v>NO EXISTE</v>
      </c>
      <c r="J200" s="143" t="str">
        <f t="shared" si="33"/>
        <v>NO EXISTE</v>
      </c>
      <c r="K200" s="143" t="str">
        <f t="shared" si="34"/>
        <v>NO EXISTE</v>
      </c>
      <c r="L200" s="143" t="str">
        <f t="shared" si="35"/>
        <v>NO EXISTE</v>
      </c>
      <c r="M200" s="143" t="str">
        <f t="shared" si="36"/>
        <v>NO EXISTE</v>
      </c>
      <c r="N200" s="143" t="str">
        <f t="shared" si="37"/>
        <v>NO EXISTE</v>
      </c>
      <c r="O200" s="143" t="str">
        <f t="shared" si="38"/>
        <v>NO EXISTE</v>
      </c>
      <c r="P200" s="143" t="str">
        <f t="shared" si="39"/>
        <v>NO EXISTE</v>
      </c>
      <c r="Q200" s="148" t="s">
        <v>2250</v>
      </c>
      <c r="R200" s="148" t="s">
        <v>594</v>
      </c>
      <c r="S200" s="148" t="s">
        <v>2232</v>
      </c>
      <c r="T200" s="149">
        <v>3.8</v>
      </c>
      <c r="U200" s="148" t="s">
        <v>591</v>
      </c>
      <c r="V200" s="150">
        <v>608.64</v>
      </c>
      <c r="W200" s="151">
        <f>V200*1000</f>
        <v>608640</v>
      </c>
    </row>
    <row r="201" spans="1:23" ht="15" customHeight="1" x14ac:dyDescent="0.25">
      <c r="A201" s="148">
        <v>16414</v>
      </c>
      <c r="B201" s="148" t="s">
        <v>2251</v>
      </c>
      <c r="C201" s="143" t="s">
        <v>2504</v>
      </c>
      <c r="D201" s="143" t="s">
        <v>2504</v>
      </c>
      <c r="E201" s="143" t="s">
        <v>2504</v>
      </c>
      <c r="F201" s="143" t="s">
        <v>2504</v>
      </c>
      <c r="G201" s="143" t="s">
        <v>2504</v>
      </c>
      <c r="H201" s="143" t="s">
        <v>2504</v>
      </c>
      <c r="I201" s="143" t="str">
        <f t="shared" si="32"/>
        <v>NO EXISTE</v>
      </c>
      <c r="J201" s="143" t="str">
        <f t="shared" si="33"/>
        <v>NO EXISTE</v>
      </c>
      <c r="K201" s="143" t="str">
        <f t="shared" si="34"/>
        <v>NO EXISTE</v>
      </c>
      <c r="L201" s="143" t="str">
        <f t="shared" si="35"/>
        <v>NO EXISTE</v>
      </c>
      <c r="M201" s="143" t="str">
        <f t="shared" si="36"/>
        <v>NO EXISTE</v>
      </c>
      <c r="N201" s="143" t="str">
        <f t="shared" si="37"/>
        <v>NO EXISTE</v>
      </c>
      <c r="O201" s="143" t="str">
        <f t="shared" si="38"/>
        <v>NO EXISTE</v>
      </c>
      <c r="P201" s="143" t="str">
        <f t="shared" si="39"/>
        <v>NO EXISTE</v>
      </c>
      <c r="Q201" s="148" t="s">
        <v>2252</v>
      </c>
      <c r="R201" s="148" t="s">
        <v>594</v>
      </c>
      <c r="S201" s="148" t="s">
        <v>2214</v>
      </c>
      <c r="T201" s="149">
        <v>3.8</v>
      </c>
      <c r="U201" s="148" t="s">
        <v>591</v>
      </c>
      <c r="V201" s="150">
        <v>435.09</v>
      </c>
      <c r="W201" s="151">
        <f>V201*1000</f>
        <v>435090</v>
      </c>
    </row>
    <row r="202" spans="1:23" ht="15" customHeight="1" x14ac:dyDescent="0.25">
      <c r="A202" s="148">
        <v>16415</v>
      </c>
      <c r="B202" s="148" t="s">
        <v>2253</v>
      </c>
      <c r="C202" s="143" t="s">
        <v>2504</v>
      </c>
      <c r="D202" s="143" t="s">
        <v>2504</v>
      </c>
      <c r="E202" s="143" t="s">
        <v>2504</v>
      </c>
      <c r="F202" s="143" t="s">
        <v>2504</v>
      </c>
      <c r="G202" s="143" t="s">
        <v>2504</v>
      </c>
      <c r="H202" s="143" t="s">
        <v>2504</v>
      </c>
      <c r="I202" s="143" t="str">
        <f t="shared" si="32"/>
        <v>NO EXISTE</v>
      </c>
      <c r="J202" s="143" t="str">
        <f t="shared" si="33"/>
        <v>NO EXISTE</v>
      </c>
      <c r="K202" s="143" t="str">
        <f t="shared" si="34"/>
        <v>NO EXISTE</v>
      </c>
      <c r="L202" s="143" t="str">
        <f t="shared" si="35"/>
        <v>NO EXISTE</v>
      </c>
      <c r="M202" s="143" t="str">
        <f t="shared" si="36"/>
        <v>NO EXISTE</v>
      </c>
      <c r="N202" s="143" t="str">
        <f t="shared" si="37"/>
        <v>NO EXISTE</v>
      </c>
      <c r="O202" s="143" t="str">
        <f t="shared" si="38"/>
        <v>NO EXISTE</v>
      </c>
      <c r="P202" s="143" t="str">
        <f t="shared" si="39"/>
        <v>NO EXISTE</v>
      </c>
      <c r="Q202" s="148" t="s">
        <v>2254</v>
      </c>
      <c r="R202" s="148" t="s">
        <v>594</v>
      </c>
      <c r="S202" s="148" t="s">
        <v>2214</v>
      </c>
      <c r="T202" s="149">
        <v>3.8</v>
      </c>
      <c r="U202" s="148" t="s">
        <v>591</v>
      </c>
      <c r="V202" s="150">
        <v>437.91</v>
      </c>
      <c r="W202" s="151">
        <v>3647.21</v>
      </c>
    </row>
    <row r="203" spans="1:23" ht="15" customHeight="1" x14ac:dyDescent="0.25">
      <c r="A203" s="148">
        <v>16416</v>
      </c>
      <c r="B203" s="148" t="s">
        <v>2255</v>
      </c>
      <c r="C203" s="143" t="s">
        <v>2504</v>
      </c>
      <c r="D203" s="143" t="s">
        <v>2504</v>
      </c>
      <c r="E203" s="143" t="s">
        <v>2504</v>
      </c>
      <c r="F203" s="143" t="s">
        <v>2504</v>
      </c>
      <c r="G203" s="143" t="s">
        <v>2504</v>
      </c>
      <c r="H203" s="143" t="s">
        <v>2504</v>
      </c>
      <c r="I203" s="143" t="str">
        <f t="shared" si="32"/>
        <v>NO EXISTE</v>
      </c>
      <c r="J203" s="143" t="str">
        <f t="shared" si="33"/>
        <v>NO EXISTE</v>
      </c>
      <c r="K203" s="143" t="str">
        <f t="shared" si="34"/>
        <v>NO EXISTE</v>
      </c>
      <c r="L203" s="143" t="str">
        <f t="shared" si="35"/>
        <v>NO EXISTE</v>
      </c>
      <c r="M203" s="143" t="str">
        <f t="shared" si="36"/>
        <v>NO EXISTE</v>
      </c>
      <c r="N203" s="143" t="str">
        <f t="shared" si="37"/>
        <v>NO EXISTE</v>
      </c>
      <c r="O203" s="143" t="str">
        <f t="shared" si="38"/>
        <v>NO EXISTE</v>
      </c>
      <c r="P203" s="143" t="str">
        <f t="shared" si="39"/>
        <v>NO EXISTE</v>
      </c>
      <c r="Q203" s="148" t="s">
        <v>2256</v>
      </c>
      <c r="R203" s="148" t="s">
        <v>594</v>
      </c>
      <c r="S203" s="148" t="s">
        <v>2257</v>
      </c>
      <c r="T203" s="149">
        <v>3.8</v>
      </c>
      <c r="U203" s="148" t="s">
        <v>591</v>
      </c>
      <c r="V203" s="150">
        <v>636.70000000000005</v>
      </c>
      <c r="W203" s="151">
        <v>33254.53</v>
      </c>
    </row>
    <row r="204" spans="1:23" ht="15" customHeight="1" x14ac:dyDescent="0.25">
      <c r="A204" s="148">
        <v>16417</v>
      </c>
      <c r="B204" s="148" t="s">
        <v>2258</v>
      </c>
      <c r="C204" s="143" t="s">
        <v>2504</v>
      </c>
      <c r="D204" s="143" t="s">
        <v>2504</v>
      </c>
      <c r="E204" s="143" t="s">
        <v>2504</v>
      </c>
      <c r="F204" s="143" t="s">
        <v>2504</v>
      </c>
      <c r="G204" s="143" t="s">
        <v>2504</v>
      </c>
      <c r="H204" s="143" t="s">
        <v>2504</v>
      </c>
      <c r="I204" s="143" t="str">
        <f t="shared" si="32"/>
        <v>NO EXISTE</v>
      </c>
      <c r="J204" s="143" t="str">
        <f t="shared" si="33"/>
        <v>NO EXISTE</v>
      </c>
      <c r="K204" s="143" t="str">
        <f t="shared" si="34"/>
        <v>NO EXISTE</v>
      </c>
      <c r="L204" s="143" t="str">
        <f t="shared" si="35"/>
        <v>NO EXISTE</v>
      </c>
      <c r="M204" s="143" t="str">
        <f t="shared" si="36"/>
        <v>NO EXISTE</v>
      </c>
      <c r="N204" s="143" t="str">
        <f t="shared" si="37"/>
        <v>NO EXISTE</v>
      </c>
      <c r="O204" s="143" t="str">
        <f t="shared" si="38"/>
        <v>NO EXISTE</v>
      </c>
      <c r="P204" s="143" t="str">
        <f t="shared" si="39"/>
        <v>NO EXISTE</v>
      </c>
      <c r="Q204" s="148" t="s">
        <v>2259</v>
      </c>
      <c r="R204" s="148" t="s">
        <v>594</v>
      </c>
      <c r="S204" s="148" t="s">
        <v>2257</v>
      </c>
      <c r="T204" s="149">
        <v>3.8</v>
      </c>
      <c r="U204" s="148" t="s">
        <v>591</v>
      </c>
      <c r="V204" s="150">
        <v>636.79999999999995</v>
      </c>
      <c r="W204" s="151">
        <v>38476.31</v>
      </c>
    </row>
    <row r="205" spans="1:23" ht="15" customHeight="1" x14ac:dyDescent="0.25">
      <c r="A205" s="148">
        <v>16418</v>
      </c>
      <c r="B205" s="148" t="s">
        <v>2260</v>
      </c>
      <c r="C205" s="143" t="s">
        <v>2504</v>
      </c>
      <c r="D205" s="143" t="s">
        <v>2504</v>
      </c>
      <c r="E205" s="143" t="s">
        <v>2504</v>
      </c>
      <c r="F205" s="143" t="s">
        <v>2504</v>
      </c>
      <c r="G205" s="143" t="s">
        <v>2504</v>
      </c>
      <c r="H205" s="143" t="s">
        <v>2504</v>
      </c>
      <c r="I205" s="143" t="str">
        <f t="shared" si="32"/>
        <v>NO EXISTE</v>
      </c>
      <c r="J205" s="143" t="str">
        <f t="shared" si="33"/>
        <v>NO EXISTE</v>
      </c>
      <c r="K205" s="143" t="str">
        <f t="shared" si="34"/>
        <v>NO EXISTE</v>
      </c>
      <c r="L205" s="143" t="str">
        <f t="shared" si="35"/>
        <v>NO EXISTE</v>
      </c>
      <c r="M205" s="143" t="str">
        <f t="shared" si="36"/>
        <v>NO EXISTE</v>
      </c>
      <c r="N205" s="143" t="str">
        <f t="shared" si="37"/>
        <v>NO EXISTE</v>
      </c>
      <c r="O205" s="143" t="str">
        <f t="shared" si="38"/>
        <v>NO EXISTE</v>
      </c>
      <c r="P205" s="143" t="str">
        <f t="shared" si="39"/>
        <v>NO EXISTE</v>
      </c>
      <c r="Q205" s="148" t="s">
        <v>2261</v>
      </c>
      <c r="R205" s="148" t="s">
        <v>594</v>
      </c>
      <c r="S205" s="148" t="s">
        <v>2232</v>
      </c>
      <c r="T205" s="149">
        <v>3.8</v>
      </c>
      <c r="U205" s="148" t="s">
        <v>591</v>
      </c>
      <c r="V205" s="150">
        <v>615.05999999999995</v>
      </c>
      <c r="W205" s="151">
        <v>11251.27</v>
      </c>
    </row>
    <row r="206" spans="1:23" ht="15" customHeight="1" x14ac:dyDescent="0.25">
      <c r="A206" s="148">
        <v>16419</v>
      </c>
      <c r="B206" s="148" t="s">
        <v>2262</v>
      </c>
      <c r="C206" s="143" t="s">
        <v>2504</v>
      </c>
      <c r="D206" s="143" t="s">
        <v>2504</v>
      </c>
      <c r="E206" s="143" t="s">
        <v>2504</v>
      </c>
      <c r="F206" s="143" t="s">
        <v>2504</v>
      </c>
      <c r="G206" s="143" t="s">
        <v>2504</v>
      </c>
      <c r="H206" s="143" t="s">
        <v>2504</v>
      </c>
      <c r="I206" s="143" t="str">
        <f t="shared" si="32"/>
        <v>NO EXISTE</v>
      </c>
      <c r="J206" s="143" t="str">
        <f t="shared" si="33"/>
        <v>NO EXISTE</v>
      </c>
      <c r="K206" s="143" t="str">
        <f t="shared" si="34"/>
        <v>NO EXISTE</v>
      </c>
      <c r="L206" s="143" t="str">
        <f t="shared" si="35"/>
        <v>NO EXISTE</v>
      </c>
      <c r="M206" s="143" t="str">
        <f t="shared" si="36"/>
        <v>NO EXISTE</v>
      </c>
      <c r="N206" s="143" t="str">
        <f t="shared" si="37"/>
        <v>NO EXISTE</v>
      </c>
      <c r="O206" s="143" t="str">
        <f t="shared" si="38"/>
        <v>NO EXISTE</v>
      </c>
      <c r="P206" s="143" t="str">
        <f t="shared" si="39"/>
        <v>NO EXISTE</v>
      </c>
      <c r="Q206" s="148" t="s">
        <v>2263</v>
      </c>
      <c r="R206" s="148" t="s">
        <v>594</v>
      </c>
      <c r="S206" s="148" t="s">
        <v>2214</v>
      </c>
      <c r="T206" s="149">
        <v>3.8</v>
      </c>
      <c r="U206" s="148" t="s">
        <v>591</v>
      </c>
      <c r="V206" s="150">
        <v>535.6</v>
      </c>
      <c r="W206" s="151">
        <v>10551.6</v>
      </c>
    </row>
    <row r="207" spans="1:23" ht="15" customHeight="1" x14ac:dyDescent="0.25">
      <c r="A207" s="148">
        <v>16420</v>
      </c>
      <c r="B207" s="148" t="s">
        <v>2264</v>
      </c>
      <c r="C207" s="143" t="s">
        <v>2504</v>
      </c>
      <c r="D207" s="143" t="s">
        <v>2504</v>
      </c>
      <c r="E207" s="143" t="s">
        <v>2504</v>
      </c>
      <c r="F207" s="143" t="s">
        <v>2504</v>
      </c>
      <c r="G207" s="143" t="s">
        <v>2504</v>
      </c>
      <c r="H207" s="143" t="s">
        <v>2504</v>
      </c>
      <c r="I207" s="143" t="str">
        <f t="shared" si="32"/>
        <v>NO EXISTE</v>
      </c>
      <c r="J207" s="143" t="str">
        <f t="shared" si="33"/>
        <v>NO EXISTE</v>
      </c>
      <c r="K207" s="143" t="str">
        <f t="shared" si="34"/>
        <v>NO EXISTE</v>
      </c>
      <c r="L207" s="143" t="str">
        <f t="shared" si="35"/>
        <v>NO EXISTE</v>
      </c>
      <c r="M207" s="143" t="str">
        <f t="shared" si="36"/>
        <v>NO EXISTE</v>
      </c>
      <c r="N207" s="143" t="str">
        <f t="shared" si="37"/>
        <v>NO EXISTE</v>
      </c>
      <c r="O207" s="143" t="str">
        <f t="shared" si="38"/>
        <v>NO EXISTE</v>
      </c>
      <c r="P207" s="143" t="str">
        <f t="shared" si="39"/>
        <v>NO EXISTE</v>
      </c>
      <c r="Q207" s="148" t="s">
        <v>2265</v>
      </c>
      <c r="R207" s="148" t="s">
        <v>2266</v>
      </c>
      <c r="S207" s="148" t="s">
        <v>2214</v>
      </c>
      <c r="T207" s="149">
        <v>3.8</v>
      </c>
      <c r="U207" s="148" t="s">
        <v>591</v>
      </c>
      <c r="V207" s="150">
        <v>539.64</v>
      </c>
      <c r="W207" s="151">
        <f>V207*1000</f>
        <v>539640</v>
      </c>
    </row>
    <row r="208" spans="1:23" ht="15" customHeight="1" x14ac:dyDescent="0.25">
      <c r="A208" s="148">
        <v>16421</v>
      </c>
      <c r="B208" s="148" t="s">
        <v>2267</v>
      </c>
      <c r="C208" s="143" t="s">
        <v>2504</v>
      </c>
      <c r="D208" s="143" t="s">
        <v>2504</v>
      </c>
      <c r="E208" s="143" t="s">
        <v>2504</v>
      </c>
      <c r="F208" s="143" t="s">
        <v>2504</v>
      </c>
      <c r="G208" s="143" t="s">
        <v>2504</v>
      </c>
      <c r="H208" s="143" t="s">
        <v>2504</v>
      </c>
      <c r="I208" s="143" t="str">
        <f t="shared" si="32"/>
        <v>NO EXISTE</v>
      </c>
      <c r="J208" s="143" t="str">
        <f t="shared" si="33"/>
        <v>NO EXISTE</v>
      </c>
      <c r="K208" s="143" t="str">
        <f t="shared" si="34"/>
        <v>NO EXISTE</v>
      </c>
      <c r="L208" s="143" t="str">
        <f t="shared" si="35"/>
        <v>NO EXISTE</v>
      </c>
      <c r="M208" s="143" t="str">
        <f t="shared" si="36"/>
        <v>NO EXISTE</v>
      </c>
      <c r="N208" s="143" t="str">
        <f t="shared" si="37"/>
        <v>NO EXISTE</v>
      </c>
      <c r="O208" s="143" t="str">
        <f t="shared" si="38"/>
        <v>NO EXISTE</v>
      </c>
      <c r="P208" s="143" t="str">
        <f t="shared" si="39"/>
        <v>NO EXISTE</v>
      </c>
      <c r="Q208" s="148" t="s">
        <v>2268</v>
      </c>
      <c r="R208" s="148" t="s">
        <v>594</v>
      </c>
      <c r="S208" s="148" t="s">
        <v>2257</v>
      </c>
      <c r="T208" s="149">
        <v>3.8</v>
      </c>
      <c r="U208" s="148" t="s">
        <v>591</v>
      </c>
      <c r="V208" s="150">
        <v>789.16</v>
      </c>
      <c r="W208" s="151">
        <f>V208*4</f>
        <v>3156.64</v>
      </c>
    </row>
    <row r="209" spans="1:23" ht="15" customHeight="1" x14ac:dyDescent="0.25">
      <c r="A209" s="148">
        <v>16502</v>
      </c>
      <c r="B209" s="148" t="s">
        <v>2270</v>
      </c>
      <c r="C209" s="143" t="s">
        <v>2504</v>
      </c>
      <c r="D209" s="143" t="s">
        <v>2504</v>
      </c>
      <c r="E209" s="143" t="s">
        <v>2504</v>
      </c>
      <c r="F209" s="143" t="s">
        <v>2504</v>
      </c>
      <c r="G209" s="143" t="s">
        <v>2504</v>
      </c>
      <c r="H209" s="143" t="s">
        <v>2504</v>
      </c>
      <c r="I209" s="143" t="str">
        <f t="shared" si="32"/>
        <v>NO EXISTE</v>
      </c>
      <c r="J209" s="143" t="str">
        <f t="shared" si="33"/>
        <v>NO EXISTE</v>
      </c>
      <c r="K209" s="143" t="str">
        <f t="shared" si="34"/>
        <v>NO EXISTE</v>
      </c>
      <c r="L209" s="143" t="str">
        <f t="shared" si="35"/>
        <v>NO EXISTE</v>
      </c>
      <c r="M209" s="143" t="str">
        <f t="shared" si="36"/>
        <v>NO EXISTE</v>
      </c>
      <c r="N209" s="143" t="str">
        <f t="shared" si="37"/>
        <v>NO EXISTE</v>
      </c>
      <c r="O209" s="143" t="str">
        <f t="shared" si="38"/>
        <v>NO EXISTE</v>
      </c>
      <c r="P209" s="143" t="str">
        <f t="shared" si="39"/>
        <v>NO EXISTE</v>
      </c>
      <c r="Q209" s="148" t="s">
        <v>2271</v>
      </c>
      <c r="R209" s="148" t="s">
        <v>600</v>
      </c>
      <c r="S209" s="148" t="s">
        <v>613</v>
      </c>
      <c r="T209" s="149">
        <v>0.95</v>
      </c>
      <c r="U209" s="148" t="s">
        <v>591</v>
      </c>
      <c r="V209" s="150">
        <v>61.4</v>
      </c>
      <c r="W209" s="151">
        <f>V209*16</f>
        <v>982.4</v>
      </c>
    </row>
    <row r="210" spans="1:23" ht="15" customHeight="1" x14ac:dyDescent="0.25">
      <c r="A210" s="148">
        <v>16718</v>
      </c>
      <c r="B210" s="148" t="s">
        <v>2316</v>
      </c>
      <c r="C210" s="143" t="s">
        <v>2504</v>
      </c>
      <c r="D210" s="143" t="s">
        <v>2504</v>
      </c>
      <c r="E210" s="143" t="s">
        <v>2504</v>
      </c>
      <c r="F210" s="143" t="s">
        <v>2504</v>
      </c>
      <c r="G210" s="143" t="s">
        <v>2504</v>
      </c>
      <c r="H210" s="143" t="s">
        <v>2504</v>
      </c>
      <c r="I210" s="143" t="str">
        <f t="shared" si="32"/>
        <v>NO EXISTE</v>
      </c>
      <c r="J210" s="143" t="str">
        <f t="shared" si="33"/>
        <v>NO EXISTE</v>
      </c>
      <c r="K210" s="143" t="str">
        <f t="shared" si="34"/>
        <v>NO EXISTE</v>
      </c>
      <c r="L210" s="143" t="str">
        <f t="shared" si="35"/>
        <v>NO EXISTE</v>
      </c>
      <c r="M210" s="143" t="str">
        <f t="shared" si="36"/>
        <v>NO EXISTE</v>
      </c>
      <c r="N210" s="143" t="str">
        <f t="shared" si="37"/>
        <v>NO EXISTE</v>
      </c>
      <c r="O210" s="143" t="str">
        <f t="shared" si="38"/>
        <v>NO EXISTE</v>
      </c>
      <c r="P210" s="143" t="str">
        <f t="shared" si="39"/>
        <v>NO EXISTE</v>
      </c>
      <c r="Q210" s="148" t="s">
        <v>2317</v>
      </c>
      <c r="R210" s="148" t="s">
        <v>600</v>
      </c>
      <c r="S210" s="148" t="s">
        <v>613</v>
      </c>
      <c r="T210" s="149">
        <v>200</v>
      </c>
      <c r="U210" s="148" t="s">
        <v>591</v>
      </c>
      <c r="V210" s="150">
        <v>12591.62</v>
      </c>
      <c r="W210" s="151">
        <f>V210*4</f>
        <v>50366.48</v>
      </c>
    </row>
    <row r="211" spans="1:23" ht="15" customHeight="1" x14ac:dyDescent="0.25">
      <c r="A211" s="148">
        <v>16729</v>
      </c>
      <c r="B211" s="148" t="s">
        <v>2322</v>
      </c>
      <c r="C211" s="143" t="s">
        <v>2504</v>
      </c>
      <c r="D211" s="143" t="s">
        <v>2504</v>
      </c>
      <c r="E211" s="143" t="s">
        <v>2504</v>
      </c>
      <c r="F211" s="143" t="s">
        <v>2504</v>
      </c>
      <c r="G211" s="143" t="s">
        <v>2504</v>
      </c>
      <c r="H211" s="143" t="s">
        <v>2504</v>
      </c>
      <c r="I211" s="143" t="str">
        <f t="shared" si="32"/>
        <v>NO EXISTE</v>
      </c>
      <c r="J211" s="143" t="str">
        <f t="shared" si="33"/>
        <v>NO EXISTE</v>
      </c>
      <c r="K211" s="143" t="str">
        <f t="shared" si="34"/>
        <v>NO EXISTE</v>
      </c>
      <c r="L211" s="143" t="str">
        <f t="shared" si="35"/>
        <v>NO EXISTE</v>
      </c>
      <c r="M211" s="143" t="str">
        <f t="shared" si="36"/>
        <v>NO EXISTE</v>
      </c>
      <c r="N211" s="143" t="str">
        <f t="shared" si="37"/>
        <v>NO EXISTE</v>
      </c>
      <c r="O211" s="143" t="str">
        <f t="shared" si="38"/>
        <v>NO EXISTE</v>
      </c>
      <c r="P211" s="143" t="str">
        <f t="shared" si="39"/>
        <v>NO EXISTE</v>
      </c>
      <c r="Q211" s="148" t="s">
        <v>2323</v>
      </c>
      <c r="R211" s="148" t="s">
        <v>594</v>
      </c>
      <c r="S211" s="148" t="s">
        <v>595</v>
      </c>
      <c r="T211" s="149">
        <v>200</v>
      </c>
      <c r="U211" s="148" t="s">
        <v>591</v>
      </c>
      <c r="V211" s="150">
        <v>22094.87</v>
      </c>
      <c r="W211" s="151">
        <v>2214.59</v>
      </c>
    </row>
    <row r="212" spans="1:23" ht="15" customHeight="1" x14ac:dyDescent="0.25">
      <c r="A212" s="148">
        <v>16737</v>
      </c>
      <c r="B212" s="148" t="s">
        <v>2331</v>
      </c>
      <c r="C212" s="143" t="s">
        <v>2504</v>
      </c>
      <c r="D212" s="143" t="s">
        <v>2504</v>
      </c>
      <c r="E212" s="143" t="s">
        <v>2504</v>
      </c>
      <c r="F212" s="143" t="s">
        <v>2504</v>
      </c>
      <c r="G212" s="143" t="s">
        <v>2504</v>
      </c>
      <c r="H212" s="143" t="s">
        <v>2504</v>
      </c>
      <c r="I212" s="143" t="str">
        <f t="shared" si="32"/>
        <v>NO EXISTE</v>
      </c>
      <c r="J212" s="143" t="str">
        <f t="shared" si="33"/>
        <v>NO EXISTE</v>
      </c>
      <c r="K212" s="143" t="str">
        <f t="shared" si="34"/>
        <v>NO EXISTE</v>
      </c>
      <c r="L212" s="143" t="str">
        <f t="shared" si="35"/>
        <v>NO EXISTE</v>
      </c>
      <c r="M212" s="143" t="str">
        <f t="shared" si="36"/>
        <v>NO EXISTE</v>
      </c>
      <c r="N212" s="143" t="str">
        <f t="shared" si="37"/>
        <v>NO EXISTE</v>
      </c>
      <c r="O212" s="143" t="str">
        <f t="shared" si="38"/>
        <v>NO EXISTE</v>
      </c>
      <c r="P212" s="143" t="str">
        <f t="shared" si="39"/>
        <v>NO EXISTE</v>
      </c>
      <c r="Q212" s="148" t="s">
        <v>2332</v>
      </c>
      <c r="R212" s="148" t="s">
        <v>594</v>
      </c>
      <c r="S212" s="148" t="s">
        <v>2257</v>
      </c>
      <c r="T212" s="149">
        <v>200</v>
      </c>
      <c r="U212" s="148" t="s">
        <v>591</v>
      </c>
      <c r="V212" s="150">
        <v>43177.05</v>
      </c>
      <c r="W212" s="151">
        <f>V212*24</f>
        <v>1036249.2000000001</v>
      </c>
    </row>
    <row r="213" spans="1:23" ht="15" customHeight="1" x14ac:dyDescent="0.25">
      <c r="A213" s="148">
        <v>16750</v>
      </c>
      <c r="B213" s="148" t="s">
        <v>2342</v>
      </c>
      <c r="C213" s="143" t="s">
        <v>2504</v>
      </c>
      <c r="D213" s="143" t="s">
        <v>2504</v>
      </c>
      <c r="E213" s="143" t="s">
        <v>2504</v>
      </c>
      <c r="F213" s="143" t="s">
        <v>2504</v>
      </c>
      <c r="G213" s="143" t="s">
        <v>2504</v>
      </c>
      <c r="H213" s="143" t="s">
        <v>2504</v>
      </c>
      <c r="I213" s="143" t="str">
        <f t="shared" si="32"/>
        <v>NO EXISTE</v>
      </c>
      <c r="J213" s="143" t="str">
        <f t="shared" si="33"/>
        <v>NO EXISTE</v>
      </c>
      <c r="K213" s="143" t="str">
        <f t="shared" si="34"/>
        <v>NO EXISTE</v>
      </c>
      <c r="L213" s="143" t="str">
        <f t="shared" si="35"/>
        <v>NO EXISTE</v>
      </c>
      <c r="M213" s="143" t="str">
        <f t="shared" si="36"/>
        <v>NO EXISTE</v>
      </c>
      <c r="N213" s="143" t="str">
        <f t="shared" si="37"/>
        <v>NO EXISTE</v>
      </c>
      <c r="O213" s="143" t="str">
        <f t="shared" si="38"/>
        <v>NO EXISTE</v>
      </c>
      <c r="P213" s="143" t="str">
        <f t="shared" si="39"/>
        <v>NO EXISTE</v>
      </c>
      <c r="Q213" s="148" t="s">
        <v>2343</v>
      </c>
      <c r="R213" s="148" t="s">
        <v>630</v>
      </c>
      <c r="S213" s="148" t="s">
        <v>2341</v>
      </c>
      <c r="T213" s="149">
        <v>200</v>
      </c>
      <c r="U213" s="148" t="s">
        <v>591</v>
      </c>
      <c r="V213" s="150">
        <v>28949.96</v>
      </c>
      <c r="W213" s="151">
        <f>V213*24</f>
        <v>694799.04</v>
      </c>
    </row>
    <row r="214" spans="1:23" ht="15" customHeight="1" x14ac:dyDescent="0.25">
      <c r="A214" s="148">
        <v>16804</v>
      </c>
      <c r="B214" s="148" t="s">
        <v>2348</v>
      </c>
      <c r="C214" s="143" t="s">
        <v>2504</v>
      </c>
      <c r="D214" s="143" t="s">
        <v>2504</v>
      </c>
      <c r="E214" s="143" t="s">
        <v>2504</v>
      </c>
      <c r="F214" s="143" t="s">
        <v>2504</v>
      </c>
      <c r="G214" s="143" t="s">
        <v>2504</v>
      </c>
      <c r="H214" s="143" t="s">
        <v>2504</v>
      </c>
      <c r="I214" s="143" t="str">
        <f t="shared" si="32"/>
        <v>NO EXISTE</v>
      </c>
      <c r="J214" s="143" t="str">
        <f t="shared" si="33"/>
        <v>NO EXISTE</v>
      </c>
      <c r="K214" s="143" t="str">
        <f t="shared" si="34"/>
        <v>NO EXISTE</v>
      </c>
      <c r="L214" s="143" t="str">
        <f t="shared" si="35"/>
        <v>NO EXISTE</v>
      </c>
      <c r="M214" s="143" t="str">
        <f t="shared" si="36"/>
        <v>NO EXISTE</v>
      </c>
      <c r="N214" s="143" t="str">
        <f t="shared" si="37"/>
        <v>NO EXISTE</v>
      </c>
      <c r="O214" s="143" t="str">
        <f t="shared" si="38"/>
        <v>NO EXISTE</v>
      </c>
      <c r="P214" s="143" t="str">
        <f t="shared" si="39"/>
        <v>NO EXISTE</v>
      </c>
      <c r="Q214" s="148" t="s">
        <v>2349</v>
      </c>
      <c r="R214" s="148" t="s">
        <v>589</v>
      </c>
      <c r="S214" s="148" t="s">
        <v>2071</v>
      </c>
      <c r="T214" s="149">
        <v>1</v>
      </c>
      <c r="U214" s="148" t="s">
        <v>591</v>
      </c>
      <c r="V214" s="150">
        <v>100.25</v>
      </c>
      <c r="W214" s="151">
        <v>912.64</v>
      </c>
    </row>
    <row r="215" spans="1:23" ht="15" customHeight="1" x14ac:dyDescent="0.25">
      <c r="A215" s="148">
        <v>16818</v>
      </c>
      <c r="B215" s="148" t="s">
        <v>2350</v>
      </c>
      <c r="C215" s="143" t="s">
        <v>2504</v>
      </c>
      <c r="D215" s="143" t="s">
        <v>2504</v>
      </c>
      <c r="E215" s="143" t="s">
        <v>2504</v>
      </c>
      <c r="F215" s="143" t="s">
        <v>2504</v>
      </c>
      <c r="G215" s="143" t="s">
        <v>2504</v>
      </c>
      <c r="H215" s="143" t="s">
        <v>2504</v>
      </c>
      <c r="I215" s="143" t="str">
        <f t="shared" si="32"/>
        <v>NO EXISTE</v>
      </c>
      <c r="J215" s="143" t="str">
        <f t="shared" si="33"/>
        <v>NO EXISTE</v>
      </c>
      <c r="K215" s="143" t="str">
        <f t="shared" si="34"/>
        <v>NO EXISTE</v>
      </c>
      <c r="L215" s="143" t="str">
        <f t="shared" si="35"/>
        <v>NO EXISTE</v>
      </c>
      <c r="M215" s="143" t="str">
        <f t="shared" si="36"/>
        <v>NO EXISTE</v>
      </c>
      <c r="N215" s="143" t="str">
        <f t="shared" si="37"/>
        <v>NO EXISTE</v>
      </c>
      <c r="O215" s="143" t="str">
        <f t="shared" si="38"/>
        <v>NO EXISTE</v>
      </c>
      <c r="P215" s="143" t="str">
        <f t="shared" si="39"/>
        <v>NO EXISTE</v>
      </c>
      <c r="Q215" s="148" t="s">
        <v>2351</v>
      </c>
      <c r="R215" s="148" t="s">
        <v>600</v>
      </c>
      <c r="S215" s="148" t="s">
        <v>613</v>
      </c>
      <c r="T215" s="149">
        <v>1</v>
      </c>
      <c r="U215" s="148" t="s">
        <v>591</v>
      </c>
      <c r="V215" s="150">
        <v>62.84</v>
      </c>
      <c r="W215" s="151">
        <f>V215*1000</f>
        <v>62840</v>
      </c>
    </row>
    <row r="216" spans="1:23" ht="15" customHeight="1" x14ac:dyDescent="0.25">
      <c r="A216" s="148">
        <v>16823</v>
      </c>
      <c r="B216" s="148" t="s">
        <v>2352</v>
      </c>
      <c r="C216" s="143" t="s">
        <v>2504</v>
      </c>
      <c r="D216" s="143" t="s">
        <v>2504</v>
      </c>
      <c r="E216" s="143" t="s">
        <v>2504</v>
      </c>
      <c r="F216" s="143" t="s">
        <v>2504</v>
      </c>
      <c r="G216" s="143" t="s">
        <v>2504</v>
      </c>
      <c r="H216" s="143" t="s">
        <v>2504</v>
      </c>
      <c r="I216" s="143" t="str">
        <f t="shared" si="32"/>
        <v>NO EXISTE</v>
      </c>
      <c r="J216" s="143" t="str">
        <f t="shared" si="33"/>
        <v>NO EXISTE</v>
      </c>
      <c r="K216" s="143" t="str">
        <f t="shared" si="34"/>
        <v>NO EXISTE</v>
      </c>
      <c r="L216" s="143" t="str">
        <f t="shared" si="35"/>
        <v>NO EXISTE</v>
      </c>
      <c r="M216" s="143" t="str">
        <f t="shared" si="36"/>
        <v>NO EXISTE</v>
      </c>
      <c r="N216" s="143" t="str">
        <f t="shared" si="37"/>
        <v>NO EXISTE</v>
      </c>
      <c r="O216" s="143" t="str">
        <f t="shared" si="38"/>
        <v>NO EXISTE</v>
      </c>
      <c r="P216" s="143" t="str">
        <f t="shared" si="39"/>
        <v>NO EXISTE</v>
      </c>
      <c r="Q216" s="148" t="s">
        <v>2353</v>
      </c>
      <c r="R216" s="148" t="s">
        <v>594</v>
      </c>
      <c r="S216" s="148" t="s">
        <v>2214</v>
      </c>
      <c r="T216" s="149">
        <v>1</v>
      </c>
      <c r="U216" s="148" t="s">
        <v>591</v>
      </c>
      <c r="V216" s="150">
        <v>117.14</v>
      </c>
      <c r="W216" s="151">
        <v>14584.94</v>
      </c>
    </row>
    <row r="217" spans="1:23" ht="15" customHeight="1" x14ac:dyDescent="0.25">
      <c r="A217" s="148">
        <v>16824</v>
      </c>
      <c r="B217" s="148" t="s">
        <v>2354</v>
      </c>
      <c r="C217" s="143" t="s">
        <v>2504</v>
      </c>
      <c r="D217" s="143" t="s">
        <v>2504</v>
      </c>
      <c r="E217" s="143" t="s">
        <v>2504</v>
      </c>
      <c r="F217" s="143" t="s">
        <v>2504</v>
      </c>
      <c r="G217" s="143" t="s">
        <v>2504</v>
      </c>
      <c r="H217" s="143" t="s">
        <v>2504</v>
      </c>
      <c r="I217" s="143" t="str">
        <f t="shared" si="32"/>
        <v>NO EXISTE</v>
      </c>
      <c r="J217" s="143" t="str">
        <f t="shared" si="33"/>
        <v>NO EXISTE</v>
      </c>
      <c r="K217" s="143" t="str">
        <f t="shared" si="34"/>
        <v>NO EXISTE</v>
      </c>
      <c r="L217" s="143" t="str">
        <f t="shared" si="35"/>
        <v>NO EXISTE</v>
      </c>
      <c r="M217" s="143" t="str">
        <f t="shared" si="36"/>
        <v>NO EXISTE</v>
      </c>
      <c r="N217" s="143" t="str">
        <f t="shared" si="37"/>
        <v>NO EXISTE</v>
      </c>
      <c r="O217" s="143" t="str">
        <f t="shared" si="38"/>
        <v>NO EXISTE</v>
      </c>
      <c r="P217" s="143" t="str">
        <f t="shared" si="39"/>
        <v>NO EXISTE</v>
      </c>
      <c r="Q217" s="148" t="s">
        <v>2355</v>
      </c>
      <c r="R217" s="148" t="s">
        <v>594</v>
      </c>
      <c r="S217" s="148" t="s">
        <v>2214</v>
      </c>
      <c r="T217" s="149">
        <v>1</v>
      </c>
      <c r="U217" s="148" t="s">
        <v>591</v>
      </c>
      <c r="V217" s="150">
        <v>120.46</v>
      </c>
      <c r="W217" s="151">
        <v>1377.57</v>
      </c>
    </row>
    <row r="218" spans="1:23" ht="15" customHeight="1" x14ac:dyDescent="0.25">
      <c r="A218" s="148">
        <v>16825</v>
      </c>
      <c r="B218" s="148" t="s">
        <v>2356</v>
      </c>
      <c r="C218" s="143" t="s">
        <v>2504</v>
      </c>
      <c r="D218" s="143" t="s">
        <v>2504</v>
      </c>
      <c r="E218" s="143" t="s">
        <v>2504</v>
      </c>
      <c r="F218" s="143" t="s">
        <v>2504</v>
      </c>
      <c r="G218" s="143" t="s">
        <v>2504</v>
      </c>
      <c r="H218" s="143" t="s">
        <v>2504</v>
      </c>
      <c r="I218" s="143" t="str">
        <f t="shared" si="32"/>
        <v>NO EXISTE</v>
      </c>
      <c r="J218" s="143" t="str">
        <f t="shared" si="33"/>
        <v>NO EXISTE</v>
      </c>
      <c r="K218" s="143" t="str">
        <f t="shared" si="34"/>
        <v>NO EXISTE</v>
      </c>
      <c r="L218" s="143" t="str">
        <f t="shared" si="35"/>
        <v>NO EXISTE</v>
      </c>
      <c r="M218" s="143" t="str">
        <f t="shared" si="36"/>
        <v>NO EXISTE</v>
      </c>
      <c r="N218" s="143" t="str">
        <f t="shared" si="37"/>
        <v>NO EXISTE</v>
      </c>
      <c r="O218" s="143" t="str">
        <f t="shared" si="38"/>
        <v>NO EXISTE</v>
      </c>
      <c r="P218" s="143" t="str">
        <f t="shared" si="39"/>
        <v>NO EXISTE</v>
      </c>
      <c r="Q218" s="148" t="s">
        <v>2357</v>
      </c>
      <c r="R218" s="148" t="s">
        <v>594</v>
      </c>
      <c r="S218" s="148" t="s">
        <v>2214</v>
      </c>
      <c r="T218" s="149">
        <v>1</v>
      </c>
      <c r="U218" s="148" t="s">
        <v>591</v>
      </c>
      <c r="V218" s="150">
        <v>125.46</v>
      </c>
      <c r="W218" s="151">
        <v>9626.73</v>
      </c>
    </row>
    <row r="219" spans="1:23" ht="15" customHeight="1" x14ac:dyDescent="0.25">
      <c r="A219" s="148">
        <v>16826</v>
      </c>
      <c r="B219" s="148" t="s">
        <v>2358</v>
      </c>
      <c r="C219" s="143" t="s">
        <v>2504</v>
      </c>
      <c r="D219" s="143" t="s">
        <v>2504</v>
      </c>
      <c r="E219" s="143" t="s">
        <v>2504</v>
      </c>
      <c r="F219" s="143" t="s">
        <v>2504</v>
      </c>
      <c r="G219" s="143" t="s">
        <v>2504</v>
      </c>
      <c r="H219" s="143" t="s">
        <v>2504</v>
      </c>
      <c r="I219" s="143" t="str">
        <f t="shared" si="32"/>
        <v>NO EXISTE</v>
      </c>
      <c r="J219" s="143" t="str">
        <f t="shared" si="33"/>
        <v>NO EXISTE</v>
      </c>
      <c r="K219" s="143" t="str">
        <f t="shared" si="34"/>
        <v>NO EXISTE</v>
      </c>
      <c r="L219" s="143" t="str">
        <f t="shared" si="35"/>
        <v>NO EXISTE</v>
      </c>
      <c r="M219" s="143" t="str">
        <f t="shared" si="36"/>
        <v>NO EXISTE</v>
      </c>
      <c r="N219" s="143" t="str">
        <f t="shared" si="37"/>
        <v>NO EXISTE</v>
      </c>
      <c r="O219" s="143" t="str">
        <f t="shared" si="38"/>
        <v>NO EXISTE</v>
      </c>
      <c r="P219" s="143" t="str">
        <f t="shared" si="39"/>
        <v>NO EXISTE</v>
      </c>
      <c r="Q219" s="148" t="s">
        <v>2359</v>
      </c>
      <c r="R219" s="148" t="s">
        <v>594</v>
      </c>
      <c r="S219" s="148" t="s">
        <v>2214</v>
      </c>
      <c r="T219" s="149">
        <v>1</v>
      </c>
      <c r="U219" s="148" t="s">
        <v>591</v>
      </c>
      <c r="V219" s="150">
        <v>134.09</v>
      </c>
      <c r="W219" s="151">
        <v>100241.53</v>
      </c>
    </row>
    <row r="220" spans="1:23" ht="15" customHeight="1" x14ac:dyDescent="0.25">
      <c r="A220" s="148">
        <v>16827</v>
      </c>
      <c r="B220" s="148" t="s">
        <v>2360</v>
      </c>
      <c r="C220" s="143" t="s">
        <v>2504</v>
      </c>
      <c r="D220" s="143" t="s">
        <v>2504</v>
      </c>
      <c r="E220" s="143" t="s">
        <v>2504</v>
      </c>
      <c r="F220" s="143" t="s">
        <v>2504</v>
      </c>
      <c r="G220" s="143" t="s">
        <v>2504</v>
      </c>
      <c r="H220" s="143" t="s">
        <v>2504</v>
      </c>
      <c r="I220" s="143" t="str">
        <f t="shared" si="32"/>
        <v>NO EXISTE</v>
      </c>
      <c r="J220" s="143" t="str">
        <f t="shared" si="33"/>
        <v>NO EXISTE</v>
      </c>
      <c r="K220" s="143" t="str">
        <f t="shared" si="34"/>
        <v>NO EXISTE</v>
      </c>
      <c r="L220" s="143" t="str">
        <f t="shared" si="35"/>
        <v>NO EXISTE</v>
      </c>
      <c r="M220" s="143" t="str">
        <f t="shared" si="36"/>
        <v>NO EXISTE</v>
      </c>
      <c r="N220" s="143" t="str">
        <f t="shared" si="37"/>
        <v>NO EXISTE</v>
      </c>
      <c r="O220" s="143" t="str">
        <f t="shared" si="38"/>
        <v>NO EXISTE</v>
      </c>
      <c r="P220" s="143" t="str">
        <f t="shared" si="39"/>
        <v>NO EXISTE</v>
      </c>
      <c r="Q220" s="148" t="s">
        <v>2361</v>
      </c>
      <c r="R220" s="148" t="s">
        <v>594</v>
      </c>
      <c r="S220" s="148" t="s">
        <v>2257</v>
      </c>
      <c r="T220" s="149">
        <v>1</v>
      </c>
      <c r="U220" s="148" t="s">
        <v>591</v>
      </c>
      <c r="V220" s="150">
        <v>196.09</v>
      </c>
      <c r="W220" s="151">
        <v>4465.79</v>
      </c>
    </row>
    <row r="221" spans="1:23" ht="15" customHeight="1" x14ac:dyDescent="0.25">
      <c r="A221" s="148">
        <v>16828</v>
      </c>
      <c r="B221" s="148" t="s">
        <v>2362</v>
      </c>
      <c r="C221" s="143" t="s">
        <v>2504</v>
      </c>
      <c r="D221" s="143" t="s">
        <v>2504</v>
      </c>
      <c r="E221" s="143" t="s">
        <v>2504</v>
      </c>
      <c r="F221" s="143" t="s">
        <v>2504</v>
      </c>
      <c r="G221" s="143" t="s">
        <v>2504</v>
      </c>
      <c r="H221" s="143" t="s">
        <v>2504</v>
      </c>
      <c r="I221" s="143" t="str">
        <f t="shared" si="32"/>
        <v>NO EXISTE</v>
      </c>
      <c r="J221" s="143" t="str">
        <f t="shared" si="33"/>
        <v>NO EXISTE</v>
      </c>
      <c r="K221" s="143" t="str">
        <f t="shared" si="34"/>
        <v>NO EXISTE</v>
      </c>
      <c r="L221" s="143" t="str">
        <f t="shared" si="35"/>
        <v>NO EXISTE</v>
      </c>
      <c r="M221" s="143" t="str">
        <f t="shared" si="36"/>
        <v>NO EXISTE</v>
      </c>
      <c r="N221" s="143" t="str">
        <f t="shared" si="37"/>
        <v>NO EXISTE</v>
      </c>
      <c r="O221" s="143" t="str">
        <f t="shared" si="38"/>
        <v>NO EXISTE</v>
      </c>
      <c r="P221" s="143" t="str">
        <f t="shared" si="39"/>
        <v>NO EXISTE</v>
      </c>
      <c r="Q221" s="148" t="s">
        <v>2363</v>
      </c>
      <c r="R221" s="148" t="s">
        <v>594</v>
      </c>
      <c r="S221" s="148" t="s">
        <v>2257</v>
      </c>
      <c r="T221" s="149">
        <v>1</v>
      </c>
      <c r="U221" s="148" t="s">
        <v>591</v>
      </c>
      <c r="V221" s="150">
        <v>194.18</v>
      </c>
      <c r="W221" s="151">
        <v>1994.22</v>
      </c>
    </row>
    <row r="222" spans="1:23" ht="15" customHeight="1" x14ac:dyDescent="0.25">
      <c r="A222" s="148">
        <v>16829</v>
      </c>
      <c r="B222" s="148" t="s">
        <v>2364</v>
      </c>
      <c r="C222" s="143" t="s">
        <v>2504</v>
      </c>
      <c r="D222" s="143" t="s">
        <v>2504</v>
      </c>
      <c r="E222" s="143" t="s">
        <v>2504</v>
      </c>
      <c r="F222" s="143" t="s">
        <v>2504</v>
      </c>
      <c r="G222" s="143" t="s">
        <v>2504</v>
      </c>
      <c r="H222" s="143" t="s">
        <v>2504</v>
      </c>
      <c r="I222" s="143" t="str">
        <f t="shared" si="32"/>
        <v>NO EXISTE</v>
      </c>
      <c r="J222" s="143" t="str">
        <f t="shared" si="33"/>
        <v>NO EXISTE</v>
      </c>
      <c r="K222" s="143" t="str">
        <f t="shared" si="34"/>
        <v>NO EXISTE</v>
      </c>
      <c r="L222" s="143" t="str">
        <f t="shared" si="35"/>
        <v>NO EXISTE</v>
      </c>
      <c r="M222" s="143" t="str">
        <f t="shared" si="36"/>
        <v>NO EXISTE</v>
      </c>
      <c r="N222" s="143" t="str">
        <f t="shared" si="37"/>
        <v>NO EXISTE</v>
      </c>
      <c r="O222" s="143" t="str">
        <f t="shared" si="38"/>
        <v>NO EXISTE</v>
      </c>
      <c r="P222" s="143" t="str">
        <f t="shared" si="39"/>
        <v>NO EXISTE</v>
      </c>
      <c r="Q222" s="148" t="s">
        <v>2365</v>
      </c>
      <c r="R222" s="148" t="s">
        <v>594</v>
      </c>
      <c r="S222" s="148" t="s">
        <v>2257</v>
      </c>
      <c r="T222" s="149">
        <v>1</v>
      </c>
      <c r="U222" s="148" t="s">
        <v>591</v>
      </c>
      <c r="V222" s="150">
        <v>200.68</v>
      </c>
      <c r="W222" s="151">
        <v>21092.92</v>
      </c>
    </row>
    <row r="223" spans="1:23" ht="15" customHeight="1" x14ac:dyDescent="0.25">
      <c r="A223" s="148">
        <v>16830</v>
      </c>
      <c r="B223" s="148" t="s">
        <v>2366</v>
      </c>
      <c r="C223" s="143" t="s">
        <v>2504</v>
      </c>
      <c r="D223" s="143" t="s">
        <v>2504</v>
      </c>
      <c r="E223" s="143" t="s">
        <v>2504</v>
      </c>
      <c r="F223" s="143" t="s">
        <v>2504</v>
      </c>
      <c r="G223" s="143" t="s">
        <v>2504</v>
      </c>
      <c r="H223" s="143" t="s">
        <v>2504</v>
      </c>
      <c r="I223" s="143" t="str">
        <f t="shared" si="32"/>
        <v>NO EXISTE</v>
      </c>
      <c r="J223" s="143" t="str">
        <f t="shared" si="33"/>
        <v>NO EXISTE</v>
      </c>
      <c r="K223" s="143" t="str">
        <f t="shared" si="34"/>
        <v>NO EXISTE</v>
      </c>
      <c r="L223" s="143" t="str">
        <f t="shared" si="35"/>
        <v>NO EXISTE</v>
      </c>
      <c r="M223" s="143" t="str">
        <f t="shared" si="36"/>
        <v>NO EXISTE</v>
      </c>
      <c r="N223" s="143" t="str">
        <f t="shared" si="37"/>
        <v>NO EXISTE</v>
      </c>
      <c r="O223" s="143" t="str">
        <f t="shared" si="38"/>
        <v>NO EXISTE</v>
      </c>
      <c r="P223" s="143" t="str">
        <f t="shared" si="39"/>
        <v>NO EXISTE</v>
      </c>
      <c r="Q223" s="148" t="s">
        <v>2367</v>
      </c>
      <c r="R223" s="148" t="s">
        <v>594</v>
      </c>
      <c r="S223" s="148" t="s">
        <v>2257</v>
      </c>
      <c r="T223" s="149">
        <v>1</v>
      </c>
      <c r="U223" s="148" t="s">
        <v>591</v>
      </c>
      <c r="V223" s="150">
        <v>199.41</v>
      </c>
      <c r="W223" s="151">
        <v>468</v>
      </c>
    </row>
    <row r="224" spans="1:23" ht="15" customHeight="1" x14ac:dyDescent="0.25">
      <c r="A224" s="148">
        <v>16831</v>
      </c>
      <c r="B224" s="148" t="s">
        <v>2368</v>
      </c>
      <c r="C224" s="143" t="s">
        <v>2504</v>
      </c>
      <c r="D224" s="143" t="s">
        <v>2504</v>
      </c>
      <c r="E224" s="143" t="s">
        <v>2504</v>
      </c>
      <c r="F224" s="143" t="s">
        <v>2504</v>
      </c>
      <c r="G224" s="143" t="s">
        <v>2504</v>
      </c>
      <c r="H224" s="143" t="s">
        <v>2504</v>
      </c>
      <c r="I224" s="143" t="str">
        <f t="shared" si="32"/>
        <v>NO EXISTE</v>
      </c>
      <c r="J224" s="143" t="str">
        <f t="shared" si="33"/>
        <v>NO EXISTE</v>
      </c>
      <c r="K224" s="143" t="str">
        <f t="shared" si="34"/>
        <v>NO EXISTE</v>
      </c>
      <c r="L224" s="143" t="str">
        <f t="shared" si="35"/>
        <v>NO EXISTE</v>
      </c>
      <c r="M224" s="143" t="str">
        <f t="shared" si="36"/>
        <v>NO EXISTE</v>
      </c>
      <c r="N224" s="143" t="str">
        <f t="shared" si="37"/>
        <v>NO EXISTE</v>
      </c>
      <c r="O224" s="143" t="str">
        <f t="shared" si="38"/>
        <v>NO EXISTE</v>
      </c>
      <c r="P224" s="143" t="str">
        <f t="shared" si="39"/>
        <v>NO EXISTE</v>
      </c>
      <c r="Q224" s="148" t="s">
        <v>2369</v>
      </c>
      <c r="R224" s="148" t="s">
        <v>594</v>
      </c>
      <c r="S224" s="148" t="s">
        <v>2232</v>
      </c>
      <c r="T224" s="149">
        <v>1</v>
      </c>
      <c r="U224" s="148" t="s">
        <v>591</v>
      </c>
      <c r="V224" s="150">
        <v>186.1</v>
      </c>
      <c r="W224" s="151">
        <v>3052.77</v>
      </c>
    </row>
    <row r="225" spans="1:23" ht="15" customHeight="1" x14ac:dyDescent="0.25">
      <c r="A225" s="148">
        <v>16832</v>
      </c>
      <c r="B225" s="148" t="s">
        <v>2370</v>
      </c>
      <c r="C225" s="143" t="s">
        <v>2504</v>
      </c>
      <c r="D225" s="143" t="s">
        <v>2504</v>
      </c>
      <c r="E225" s="143" t="s">
        <v>2504</v>
      </c>
      <c r="F225" s="143" t="s">
        <v>2504</v>
      </c>
      <c r="G225" s="143" t="s">
        <v>2504</v>
      </c>
      <c r="H225" s="143" t="s">
        <v>2504</v>
      </c>
      <c r="I225" s="143" t="str">
        <f t="shared" si="32"/>
        <v>NO EXISTE</v>
      </c>
      <c r="J225" s="143" t="str">
        <f t="shared" si="33"/>
        <v>NO EXISTE</v>
      </c>
      <c r="K225" s="143" t="str">
        <f t="shared" si="34"/>
        <v>NO EXISTE</v>
      </c>
      <c r="L225" s="143" t="str">
        <f t="shared" si="35"/>
        <v>NO EXISTE</v>
      </c>
      <c r="M225" s="143" t="str">
        <f t="shared" si="36"/>
        <v>NO EXISTE</v>
      </c>
      <c r="N225" s="143" t="str">
        <f t="shared" si="37"/>
        <v>NO EXISTE</v>
      </c>
      <c r="O225" s="143" t="str">
        <f t="shared" si="38"/>
        <v>NO EXISTE</v>
      </c>
      <c r="P225" s="143" t="str">
        <f t="shared" si="39"/>
        <v>NO EXISTE</v>
      </c>
      <c r="Q225" s="148" t="s">
        <v>2371</v>
      </c>
      <c r="R225" s="148" t="s">
        <v>594</v>
      </c>
      <c r="S225" s="148" t="s">
        <v>2232</v>
      </c>
      <c r="T225" s="149">
        <v>1</v>
      </c>
      <c r="U225" s="148" t="s">
        <v>591</v>
      </c>
      <c r="V225" s="150">
        <v>187.51</v>
      </c>
      <c r="W225" s="151">
        <f>V225*24</f>
        <v>4500.24</v>
      </c>
    </row>
    <row r="226" spans="1:23" ht="15" customHeight="1" x14ac:dyDescent="0.25">
      <c r="A226" s="148">
        <v>16833</v>
      </c>
      <c r="B226" s="148" t="s">
        <v>2372</v>
      </c>
      <c r="C226" s="143" t="s">
        <v>2504</v>
      </c>
      <c r="D226" s="143" t="s">
        <v>2504</v>
      </c>
      <c r="E226" s="143" t="s">
        <v>2504</v>
      </c>
      <c r="F226" s="143" t="s">
        <v>2504</v>
      </c>
      <c r="G226" s="143" t="s">
        <v>2504</v>
      </c>
      <c r="H226" s="143" t="s">
        <v>2504</v>
      </c>
      <c r="I226" s="143" t="str">
        <f t="shared" si="32"/>
        <v>NO EXISTE</v>
      </c>
      <c r="J226" s="143" t="str">
        <f t="shared" si="33"/>
        <v>NO EXISTE</v>
      </c>
      <c r="K226" s="143" t="str">
        <f t="shared" si="34"/>
        <v>NO EXISTE</v>
      </c>
      <c r="L226" s="143" t="str">
        <f t="shared" si="35"/>
        <v>NO EXISTE</v>
      </c>
      <c r="M226" s="143" t="str">
        <f t="shared" si="36"/>
        <v>NO EXISTE</v>
      </c>
      <c r="N226" s="143" t="str">
        <f t="shared" si="37"/>
        <v>NO EXISTE</v>
      </c>
      <c r="O226" s="143" t="str">
        <f t="shared" si="38"/>
        <v>NO EXISTE</v>
      </c>
      <c r="P226" s="143" t="str">
        <f t="shared" si="39"/>
        <v>NO EXISTE</v>
      </c>
      <c r="Q226" s="148" t="s">
        <v>2373</v>
      </c>
      <c r="R226" s="148" t="s">
        <v>594</v>
      </c>
      <c r="S226" s="148" t="s">
        <v>2232</v>
      </c>
      <c r="T226" s="149">
        <v>1</v>
      </c>
      <c r="U226" s="148" t="s">
        <v>591</v>
      </c>
      <c r="V226" s="150">
        <v>185</v>
      </c>
      <c r="W226" s="151">
        <v>882.56</v>
      </c>
    </row>
    <row r="227" spans="1:23" ht="15" customHeight="1" x14ac:dyDescent="0.25">
      <c r="A227" s="148">
        <v>16840</v>
      </c>
      <c r="B227" s="148" t="s">
        <v>2374</v>
      </c>
      <c r="C227" s="143" t="s">
        <v>2504</v>
      </c>
      <c r="D227" s="143" t="s">
        <v>2504</v>
      </c>
      <c r="E227" s="143" t="s">
        <v>2504</v>
      </c>
      <c r="F227" s="143" t="s">
        <v>2504</v>
      </c>
      <c r="G227" s="143" t="s">
        <v>2504</v>
      </c>
      <c r="H227" s="143" t="s">
        <v>2504</v>
      </c>
      <c r="I227" s="143" t="str">
        <f t="shared" ref="I227:I290" si="41">IFERROR(VLOOKUP(B227,Base08,1,FALSE),"NO EXISTE")</f>
        <v>NO EXISTE</v>
      </c>
      <c r="J227" s="143" t="str">
        <f t="shared" ref="J227:J290" si="42">IFERROR(VLOOKUP(B227,Base09,1,FALSE),"NO EXISTE")</f>
        <v>NO EXISTE</v>
      </c>
      <c r="K227" s="143" t="str">
        <f t="shared" ref="K227:K290" si="43">IFERROR(VLOOKUP(B227,Base10,1,FALSE),"NO EXISTE")</f>
        <v>NO EXISTE</v>
      </c>
      <c r="L227" s="143" t="str">
        <f t="shared" ref="L227:L290" si="44">IFERROR(VLOOKUP(B227,Base11,1,FALSE),"NO EXISTE")</f>
        <v>NO EXISTE</v>
      </c>
      <c r="M227" s="143" t="str">
        <f t="shared" ref="M227:M290" si="45">IFERROR(VLOOKUP(B227,Base12,1,FALSE),"NO EXISTE")</f>
        <v>NO EXISTE</v>
      </c>
      <c r="N227" s="143" t="str">
        <f t="shared" ref="N227:N290" si="46">IFERROR(VLOOKUP(B227,Base13,1,FALSE),"NO EXISTE")</f>
        <v>NO EXISTE</v>
      </c>
      <c r="O227" s="143" t="str">
        <f t="shared" ref="O227:O290" si="47">IFERROR(VLOOKUP(B227,Base14,1,FALSE),"NO EXISTE")</f>
        <v>NO EXISTE</v>
      </c>
      <c r="P227" s="143" t="str">
        <f t="shared" ref="P227:P290" si="48">IFERROR(VLOOKUP(B227,Base15,1,FALSE),"NO EXISTE")</f>
        <v>NO EXISTE</v>
      </c>
      <c r="Q227" s="148" t="s">
        <v>2375</v>
      </c>
      <c r="R227" s="148" t="s">
        <v>594</v>
      </c>
      <c r="S227" s="148" t="s">
        <v>776</v>
      </c>
      <c r="T227" s="149">
        <v>1</v>
      </c>
      <c r="U227" s="148" t="s">
        <v>591</v>
      </c>
      <c r="V227" s="150">
        <v>102.32</v>
      </c>
      <c r="W227" s="151">
        <v>1960.16</v>
      </c>
    </row>
    <row r="228" spans="1:23" ht="15" customHeight="1" x14ac:dyDescent="0.25">
      <c r="A228" s="148">
        <v>16841</v>
      </c>
      <c r="B228" s="148" t="s">
        <v>2376</v>
      </c>
      <c r="C228" s="143" t="s">
        <v>2504</v>
      </c>
      <c r="D228" s="143" t="s">
        <v>2504</v>
      </c>
      <c r="E228" s="143" t="s">
        <v>2504</v>
      </c>
      <c r="F228" s="143" t="s">
        <v>2504</v>
      </c>
      <c r="G228" s="143" t="s">
        <v>2504</v>
      </c>
      <c r="H228" s="143" t="s">
        <v>2504</v>
      </c>
      <c r="I228" s="143" t="str">
        <f t="shared" si="41"/>
        <v>NO EXISTE</v>
      </c>
      <c r="J228" s="143" t="str">
        <f t="shared" si="42"/>
        <v>NO EXISTE</v>
      </c>
      <c r="K228" s="143" t="str">
        <f t="shared" si="43"/>
        <v>NO EXISTE</v>
      </c>
      <c r="L228" s="143" t="str">
        <f t="shared" si="44"/>
        <v>NO EXISTE</v>
      </c>
      <c r="M228" s="143" t="str">
        <f t="shared" si="45"/>
        <v>NO EXISTE</v>
      </c>
      <c r="N228" s="143" t="str">
        <f t="shared" si="46"/>
        <v>NO EXISTE</v>
      </c>
      <c r="O228" s="143" t="str">
        <f t="shared" si="47"/>
        <v>NO EXISTE</v>
      </c>
      <c r="P228" s="143" t="str">
        <f t="shared" si="48"/>
        <v>NO EXISTE</v>
      </c>
      <c r="Q228" s="148" t="s">
        <v>2377</v>
      </c>
      <c r="R228" s="148" t="s">
        <v>630</v>
      </c>
      <c r="S228" s="148" t="s">
        <v>631</v>
      </c>
      <c r="T228" s="149">
        <v>1</v>
      </c>
      <c r="U228" s="148" t="s">
        <v>591</v>
      </c>
      <c r="V228" s="150">
        <v>81.93</v>
      </c>
      <c r="W228" s="151">
        <v>55672.01</v>
      </c>
    </row>
    <row r="229" spans="1:23" ht="15" customHeight="1" x14ac:dyDescent="0.25">
      <c r="A229" s="148">
        <v>16845</v>
      </c>
      <c r="B229" s="148" t="s">
        <v>2379</v>
      </c>
      <c r="C229" s="143" t="s">
        <v>2504</v>
      </c>
      <c r="D229" s="143" t="s">
        <v>2504</v>
      </c>
      <c r="E229" s="143" t="s">
        <v>2504</v>
      </c>
      <c r="F229" s="143" t="s">
        <v>2504</v>
      </c>
      <c r="G229" s="143" t="s">
        <v>2504</v>
      </c>
      <c r="H229" s="143" t="s">
        <v>2504</v>
      </c>
      <c r="I229" s="143" t="str">
        <f t="shared" si="41"/>
        <v>NO EXISTE</v>
      </c>
      <c r="J229" s="143" t="str">
        <f t="shared" si="42"/>
        <v>NO EXISTE</v>
      </c>
      <c r="K229" s="143" t="str">
        <f t="shared" si="43"/>
        <v>NO EXISTE</v>
      </c>
      <c r="L229" s="143" t="str">
        <f t="shared" si="44"/>
        <v>NO EXISTE</v>
      </c>
      <c r="M229" s="143" t="str">
        <f t="shared" si="45"/>
        <v>NO EXISTE</v>
      </c>
      <c r="N229" s="143" t="str">
        <f t="shared" si="46"/>
        <v>NO EXISTE</v>
      </c>
      <c r="O229" s="143" t="str">
        <f t="shared" si="47"/>
        <v>NO EXISTE</v>
      </c>
      <c r="P229" s="143" t="str">
        <f t="shared" si="48"/>
        <v>NO EXISTE</v>
      </c>
      <c r="Q229" s="148" t="s">
        <v>2380</v>
      </c>
      <c r="R229" s="148" t="s">
        <v>594</v>
      </c>
      <c r="S229" s="148" t="s">
        <v>2257</v>
      </c>
      <c r="T229" s="149">
        <v>1</v>
      </c>
      <c r="U229" s="148" t="s">
        <v>591</v>
      </c>
      <c r="V229" s="150">
        <v>172.67</v>
      </c>
      <c r="W229" s="151">
        <v>84812.66</v>
      </c>
    </row>
    <row r="230" spans="1:23" ht="15" customHeight="1" x14ac:dyDescent="0.25">
      <c r="A230" s="148">
        <v>16846</v>
      </c>
      <c r="B230" s="148" t="s">
        <v>2381</v>
      </c>
      <c r="C230" s="143" t="s">
        <v>2504</v>
      </c>
      <c r="D230" s="143" t="s">
        <v>2504</v>
      </c>
      <c r="E230" s="143" t="s">
        <v>2504</v>
      </c>
      <c r="F230" s="143" t="s">
        <v>2504</v>
      </c>
      <c r="G230" s="143" t="s">
        <v>2504</v>
      </c>
      <c r="H230" s="143" t="s">
        <v>2504</v>
      </c>
      <c r="I230" s="143" t="str">
        <f t="shared" si="41"/>
        <v>NO EXISTE</v>
      </c>
      <c r="J230" s="143" t="str">
        <f t="shared" si="42"/>
        <v>NO EXISTE</v>
      </c>
      <c r="K230" s="143" t="str">
        <f t="shared" si="43"/>
        <v>NO EXISTE</v>
      </c>
      <c r="L230" s="143" t="str">
        <f t="shared" si="44"/>
        <v>NO EXISTE</v>
      </c>
      <c r="M230" s="143" t="str">
        <f t="shared" si="45"/>
        <v>NO EXISTE</v>
      </c>
      <c r="N230" s="143" t="str">
        <f t="shared" si="46"/>
        <v>NO EXISTE</v>
      </c>
      <c r="O230" s="143" t="str">
        <f t="shared" si="47"/>
        <v>NO EXISTE</v>
      </c>
      <c r="P230" s="143" t="str">
        <f t="shared" si="48"/>
        <v>NO EXISTE</v>
      </c>
      <c r="Q230" s="148" t="s">
        <v>2382</v>
      </c>
      <c r="R230" s="148" t="s">
        <v>630</v>
      </c>
      <c r="S230" s="148" t="s">
        <v>2341</v>
      </c>
      <c r="T230" s="149">
        <v>1</v>
      </c>
      <c r="U230" s="148" t="s">
        <v>591</v>
      </c>
      <c r="V230" s="150">
        <v>169.02</v>
      </c>
      <c r="W230" s="151">
        <v>7220.57</v>
      </c>
    </row>
    <row r="231" spans="1:23" ht="15" customHeight="1" x14ac:dyDescent="0.25">
      <c r="A231" s="148">
        <v>16847</v>
      </c>
      <c r="B231" s="148" t="s">
        <v>2383</v>
      </c>
      <c r="C231" s="143" t="s">
        <v>2504</v>
      </c>
      <c r="D231" s="143" t="s">
        <v>2504</v>
      </c>
      <c r="E231" s="143" t="s">
        <v>2504</v>
      </c>
      <c r="F231" s="143" t="s">
        <v>2504</v>
      </c>
      <c r="G231" s="143" t="s">
        <v>2504</v>
      </c>
      <c r="H231" s="143" t="s">
        <v>2504</v>
      </c>
      <c r="I231" s="143" t="str">
        <f t="shared" si="41"/>
        <v>NO EXISTE</v>
      </c>
      <c r="J231" s="143" t="str">
        <f t="shared" si="42"/>
        <v>NO EXISTE</v>
      </c>
      <c r="K231" s="143" t="str">
        <f t="shared" si="43"/>
        <v>NO EXISTE</v>
      </c>
      <c r="L231" s="143" t="str">
        <f t="shared" si="44"/>
        <v>NO EXISTE</v>
      </c>
      <c r="M231" s="143" t="str">
        <f t="shared" si="45"/>
        <v>NO EXISTE</v>
      </c>
      <c r="N231" s="143" t="str">
        <f t="shared" si="46"/>
        <v>NO EXISTE</v>
      </c>
      <c r="O231" s="143" t="str">
        <f t="shared" si="47"/>
        <v>NO EXISTE</v>
      </c>
      <c r="P231" s="143" t="str">
        <f t="shared" si="48"/>
        <v>NO EXISTE</v>
      </c>
      <c r="Q231" s="148" t="s">
        <v>2384</v>
      </c>
      <c r="R231" s="148" t="s">
        <v>594</v>
      </c>
      <c r="S231" s="148" t="s">
        <v>2232</v>
      </c>
      <c r="T231" s="149">
        <v>1</v>
      </c>
      <c r="U231" s="148" t="s">
        <v>591</v>
      </c>
      <c r="V231" s="150">
        <v>185.94</v>
      </c>
      <c r="W231" s="151">
        <v>8350.8700000000008</v>
      </c>
    </row>
    <row r="232" spans="1:23" ht="15" customHeight="1" x14ac:dyDescent="0.25">
      <c r="A232" s="148">
        <v>16848</v>
      </c>
      <c r="B232" s="148" t="s">
        <v>2385</v>
      </c>
      <c r="C232" s="143" t="s">
        <v>2504</v>
      </c>
      <c r="D232" s="143" t="s">
        <v>2504</v>
      </c>
      <c r="E232" s="143" t="s">
        <v>2504</v>
      </c>
      <c r="F232" s="143" t="s">
        <v>2504</v>
      </c>
      <c r="G232" s="143" t="s">
        <v>2504</v>
      </c>
      <c r="H232" s="143" t="s">
        <v>2504</v>
      </c>
      <c r="I232" s="143" t="str">
        <f t="shared" si="41"/>
        <v>NO EXISTE</v>
      </c>
      <c r="J232" s="143" t="str">
        <f t="shared" si="42"/>
        <v>NO EXISTE</v>
      </c>
      <c r="K232" s="143" t="str">
        <f t="shared" si="43"/>
        <v>NO EXISTE</v>
      </c>
      <c r="L232" s="143" t="str">
        <f t="shared" si="44"/>
        <v>NO EXISTE</v>
      </c>
      <c r="M232" s="143" t="str">
        <f t="shared" si="45"/>
        <v>NO EXISTE</v>
      </c>
      <c r="N232" s="143" t="str">
        <f t="shared" si="46"/>
        <v>NO EXISTE</v>
      </c>
      <c r="O232" s="143" t="str">
        <f t="shared" si="47"/>
        <v>NO EXISTE</v>
      </c>
      <c r="P232" s="143" t="str">
        <f t="shared" si="48"/>
        <v>NO EXISTE</v>
      </c>
      <c r="Q232" s="148" t="s">
        <v>2386</v>
      </c>
      <c r="R232" s="148" t="s">
        <v>630</v>
      </c>
      <c r="S232" s="148" t="s">
        <v>745</v>
      </c>
      <c r="T232" s="149">
        <v>1</v>
      </c>
      <c r="U232" s="148" t="s">
        <v>591</v>
      </c>
      <c r="V232" s="150">
        <v>126.88</v>
      </c>
      <c r="W232" s="151">
        <v>88030.1</v>
      </c>
    </row>
    <row r="233" spans="1:23" ht="15" customHeight="1" x14ac:dyDescent="0.25">
      <c r="A233" s="148">
        <v>16850</v>
      </c>
      <c r="B233" s="148" t="s">
        <v>2388</v>
      </c>
      <c r="C233" s="143" t="s">
        <v>2504</v>
      </c>
      <c r="D233" s="143" t="s">
        <v>2504</v>
      </c>
      <c r="E233" s="143" t="s">
        <v>2504</v>
      </c>
      <c r="F233" s="143" t="s">
        <v>2504</v>
      </c>
      <c r="G233" s="143" t="s">
        <v>2504</v>
      </c>
      <c r="H233" s="143" t="s">
        <v>2504</v>
      </c>
      <c r="I233" s="143" t="str">
        <f t="shared" si="41"/>
        <v>NO EXISTE</v>
      </c>
      <c r="J233" s="143" t="str">
        <f t="shared" si="42"/>
        <v>NO EXISTE</v>
      </c>
      <c r="K233" s="143" t="str">
        <f t="shared" si="43"/>
        <v>NO EXISTE</v>
      </c>
      <c r="L233" s="143" t="str">
        <f t="shared" si="44"/>
        <v>NO EXISTE</v>
      </c>
      <c r="M233" s="143" t="str">
        <f t="shared" si="45"/>
        <v>NO EXISTE</v>
      </c>
      <c r="N233" s="143" t="str">
        <f t="shared" si="46"/>
        <v>NO EXISTE</v>
      </c>
      <c r="O233" s="143" t="str">
        <f t="shared" si="47"/>
        <v>NO EXISTE</v>
      </c>
      <c r="P233" s="143" t="str">
        <f t="shared" si="48"/>
        <v>NO EXISTE</v>
      </c>
      <c r="Q233" s="148" t="s">
        <v>2389</v>
      </c>
      <c r="R233" s="148" t="s">
        <v>630</v>
      </c>
      <c r="S233" s="148" t="s">
        <v>2341</v>
      </c>
      <c r="T233" s="149">
        <v>1</v>
      </c>
      <c r="U233" s="148" t="s">
        <v>591</v>
      </c>
      <c r="V233" s="150">
        <v>144.62</v>
      </c>
      <c r="W233" s="151">
        <v>20920.689999999999</v>
      </c>
    </row>
    <row r="234" spans="1:23" ht="15" customHeight="1" x14ac:dyDescent="0.25">
      <c r="A234" s="148">
        <v>16901</v>
      </c>
      <c r="B234" s="148" t="s">
        <v>2391</v>
      </c>
      <c r="C234" s="143" t="s">
        <v>2504</v>
      </c>
      <c r="D234" s="143" t="s">
        <v>2504</v>
      </c>
      <c r="E234" s="143" t="s">
        <v>2504</v>
      </c>
      <c r="F234" s="143" t="s">
        <v>2504</v>
      </c>
      <c r="G234" s="143" t="s">
        <v>2504</v>
      </c>
      <c r="H234" s="143" t="s">
        <v>2504</v>
      </c>
      <c r="I234" s="143" t="str">
        <f t="shared" si="41"/>
        <v>NO EXISTE</v>
      </c>
      <c r="J234" s="143" t="str">
        <f t="shared" si="42"/>
        <v>NO EXISTE</v>
      </c>
      <c r="K234" s="143" t="str">
        <f t="shared" si="43"/>
        <v>NO EXISTE</v>
      </c>
      <c r="L234" s="143" t="str">
        <f t="shared" si="44"/>
        <v>NO EXISTE</v>
      </c>
      <c r="M234" s="143" t="str">
        <f t="shared" si="45"/>
        <v>NO EXISTE</v>
      </c>
      <c r="N234" s="143" t="str">
        <f t="shared" si="46"/>
        <v>NO EXISTE</v>
      </c>
      <c r="O234" s="143" t="str">
        <f t="shared" si="47"/>
        <v>NO EXISTE</v>
      </c>
      <c r="P234" s="143" t="str">
        <f t="shared" si="48"/>
        <v>NO EXISTE</v>
      </c>
      <c r="Q234" s="148" t="s">
        <v>2392</v>
      </c>
      <c r="R234" s="148" t="s">
        <v>594</v>
      </c>
      <c r="S234" s="148" t="s">
        <v>2279</v>
      </c>
      <c r="T234" s="149">
        <v>0.95</v>
      </c>
      <c r="U234" s="148" t="s">
        <v>591</v>
      </c>
      <c r="V234" s="150">
        <v>204.55</v>
      </c>
      <c r="W234" s="151">
        <v>23800.959999999999</v>
      </c>
    </row>
    <row r="235" spans="1:23" ht="15" customHeight="1" x14ac:dyDescent="0.25">
      <c r="A235" s="148">
        <v>16903</v>
      </c>
      <c r="B235" s="148" t="s">
        <v>2394</v>
      </c>
      <c r="C235" s="143" t="s">
        <v>2504</v>
      </c>
      <c r="D235" s="143" t="s">
        <v>2504</v>
      </c>
      <c r="E235" s="143" t="s">
        <v>2504</v>
      </c>
      <c r="F235" s="143" t="s">
        <v>2504</v>
      </c>
      <c r="G235" s="143" t="s">
        <v>2504</v>
      </c>
      <c r="H235" s="143" t="s">
        <v>2504</v>
      </c>
      <c r="I235" s="143" t="str">
        <f t="shared" si="41"/>
        <v>NO EXISTE</v>
      </c>
      <c r="J235" s="143" t="str">
        <f t="shared" si="42"/>
        <v>NO EXISTE</v>
      </c>
      <c r="K235" s="143" t="str">
        <f t="shared" si="43"/>
        <v>NO EXISTE</v>
      </c>
      <c r="L235" s="143" t="str">
        <f t="shared" si="44"/>
        <v>NO EXISTE</v>
      </c>
      <c r="M235" s="143" t="str">
        <f t="shared" si="45"/>
        <v>NO EXISTE</v>
      </c>
      <c r="N235" s="143" t="str">
        <f t="shared" si="46"/>
        <v>NO EXISTE</v>
      </c>
      <c r="O235" s="143" t="str">
        <f t="shared" si="47"/>
        <v>NO EXISTE</v>
      </c>
      <c r="P235" s="143" t="str">
        <f t="shared" si="48"/>
        <v>NO EXISTE</v>
      </c>
      <c r="Q235" s="148" t="s">
        <v>2395</v>
      </c>
      <c r="R235" s="148" t="s">
        <v>594</v>
      </c>
      <c r="S235" s="148" t="s">
        <v>2091</v>
      </c>
      <c r="T235" s="149">
        <v>0.95</v>
      </c>
      <c r="U235" s="148" t="s">
        <v>591</v>
      </c>
      <c r="V235" s="150">
        <v>169.48</v>
      </c>
      <c r="W235" s="151">
        <f>V235*15</f>
        <v>2542.1999999999998</v>
      </c>
    </row>
    <row r="236" spans="1:23" ht="15" customHeight="1" x14ac:dyDescent="0.25">
      <c r="A236" s="148">
        <v>16904</v>
      </c>
      <c r="B236" s="148" t="s">
        <v>2396</v>
      </c>
      <c r="C236" s="143" t="s">
        <v>2504</v>
      </c>
      <c r="D236" s="143" t="s">
        <v>2504</v>
      </c>
      <c r="E236" s="143" t="s">
        <v>2504</v>
      </c>
      <c r="F236" s="143" t="s">
        <v>2504</v>
      </c>
      <c r="G236" s="143" t="s">
        <v>2504</v>
      </c>
      <c r="H236" s="143" t="s">
        <v>2504</v>
      </c>
      <c r="I236" s="143" t="str">
        <f t="shared" si="41"/>
        <v>NO EXISTE</v>
      </c>
      <c r="J236" s="143" t="str">
        <f t="shared" si="42"/>
        <v>NO EXISTE</v>
      </c>
      <c r="K236" s="143" t="str">
        <f t="shared" si="43"/>
        <v>NO EXISTE</v>
      </c>
      <c r="L236" s="143" t="str">
        <f t="shared" si="44"/>
        <v>NO EXISTE</v>
      </c>
      <c r="M236" s="143" t="str">
        <f t="shared" si="45"/>
        <v>NO EXISTE</v>
      </c>
      <c r="N236" s="143" t="str">
        <f t="shared" si="46"/>
        <v>NO EXISTE</v>
      </c>
      <c r="O236" s="143" t="str">
        <f t="shared" si="47"/>
        <v>NO EXISTE</v>
      </c>
      <c r="P236" s="143" t="str">
        <f t="shared" si="48"/>
        <v>NO EXISTE</v>
      </c>
      <c r="Q236" s="148" t="s">
        <v>2397</v>
      </c>
      <c r="R236" s="148" t="s">
        <v>594</v>
      </c>
      <c r="S236" s="148" t="s">
        <v>2214</v>
      </c>
      <c r="T236" s="149">
        <v>0.95</v>
      </c>
      <c r="U236" s="148" t="s">
        <v>591</v>
      </c>
      <c r="V236" s="150">
        <v>124.64</v>
      </c>
      <c r="W236" s="151">
        <f>V236*4</f>
        <v>498.56</v>
      </c>
    </row>
    <row r="237" spans="1:23" ht="15" customHeight="1" x14ac:dyDescent="0.25">
      <c r="A237" s="148">
        <v>16905</v>
      </c>
      <c r="B237" s="148" t="s">
        <v>2398</v>
      </c>
      <c r="C237" s="143" t="s">
        <v>2504</v>
      </c>
      <c r="D237" s="143" t="s">
        <v>2504</v>
      </c>
      <c r="E237" s="143" t="s">
        <v>2504</v>
      </c>
      <c r="F237" s="143" t="s">
        <v>2504</v>
      </c>
      <c r="G237" s="143" t="s">
        <v>2504</v>
      </c>
      <c r="H237" s="143" t="s">
        <v>2504</v>
      </c>
      <c r="I237" s="143" t="str">
        <f t="shared" si="41"/>
        <v>NO EXISTE</v>
      </c>
      <c r="J237" s="143" t="str">
        <f t="shared" si="42"/>
        <v>NO EXISTE</v>
      </c>
      <c r="K237" s="143" t="str">
        <f t="shared" si="43"/>
        <v>NO EXISTE</v>
      </c>
      <c r="L237" s="143" t="str">
        <f t="shared" si="44"/>
        <v>NO EXISTE</v>
      </c>
      <c r="M237" s="143" t="str">
        <f t="shared" si="45"/>
        <v>NO EXISTE</v>
      </c>
      <c r="N237" s="143" t="str">
        <f t="shared" si="46"/>
        <v>NO EXISTE</v>
      </c>
      <c r="O237" s="143" t="str">
        <f t="shared" si="47"/>
        <v>NO EXISTE</v>
      </c>
      <c r="P237" s="143" t="str">
        <f t="shared" si="48"/>
        <v>NO EXISTE</v>
      </c>
      <c r="Q237" s="148" t="s">
        <v>2399</v>
      </c>
      <c r="R237" s="148" t="s">
        <v>594</v>
      </c>
      <c r="S237" s="148" t="s">
        <v>2214</v>
      </c>
      <c r="T237" s="149">
        <v>0.95</v>
      </c>
      <c r="U237" s="148" t="s">
        <v>591</v>
      </c>
      <c r="V237" s="150">
        <v>137.25</v>
      </c>
      <c r="W237" s="151">
        <f>V237*15</f>
        <v>2058.75</v>
      </c>
    </row>
    <row r="238" spans="1:23" ht="15" customHeight="1" x14ac:dyDescent="0.25">
      <c r="A238" s="148">
        <v>16919</v>
      </c>
      <c r="B238" s="148" t="s">
        <v>2402</v>
      </c>
      <c r="C238" s="143" t="s">
        <v>2504</v>
      </c>
      <c r="D238" s="143" t="s">
        <v>2504</v>
      </c>
      <c r="E238" s="143" t="s">
        <v>2504</v>
      </c>
      <c r="F238" s="143" t="s">
        <v>2504</v>
      </c>
      <c r="G238" s="143" t="s">
        <v>2504</v>
      </c>
      <c r="H238" s="143" t="s">
        <v>2504</v>
      </c>
      <c r="I238" s="143" t="str">
        <f t="shared" si="41"/>
        <v>NO EXISTE</v>
      </c>
      <c r="J238" s="143" t="str">
        <f t="shared" si="42"/>
        <v>NO EXISTE</v>
      </c>
      <c r="K238" s="143" t="str">
        <f t="shared" si="43"/>
        <v>NO EXISTE</v>
      </c>
      <c r="L238" s="143" t="str">
        <f t="shared" si="44"/>
        <v>NO EXISTE</v>
      </c>
      <c r="M238" s="143" t="str">
        <f t="shared" si="45"/>
        <v>NO EXISTE</v>
      </c>
      <c r="N238" s="143" t="str">
        <f t="shared" si="46"/>
        <v>NO EXISTE</v>
      </c>
      <c r="O238" s="143" t="str">
        <f t="shared" si="47"/>
        <v>NO EXISTE</v>
      </c>
      <c r="P238" s="143" t="str">
        <f t="shared" si="48"/>
        <v>NO EXISTE</v>
      </c>
      <c r="Q238" s="148" t="s">
        <v>2403</v>
      </c>
      <c r="R238" s="148" t="s">
        <v>594</v>
      </c>
      <c r="S238" s="148" t="s">
        <v>1012</v>
      </c>
      <c r="T238" s="149">
        <v>0.95</v>
      </c>
      <c r="U238" s="148" t="s">
        <v>591</v>
      </c>
      <c r="V238" s="150">
        <v>137.01</v>
      </c>
      <c r="W238" s="151">
        <f>V238*4</f>
        <v>548.04</v>
      </c>
    </row>
    <row r="239" spans="1:23" ht="15" customHeight="1" x14ac:dyDescent="0.25">
      <c r="A239" s="148">
        <v>16920</v>
      </c>
      <c r="B239" s="148" t="s">
        <v>2404</v>
      </c>
      <c r="C239" s="143" t="s">
        <v>2504</v>
      </c>
      <c r="D239" s="143" t="s">
        <v>2504</v>
      </c>
      <c r="E239" s="143" t="s">
        <v>2504</v>
      </c>
      <c r="F239" s="143" t="s">
        <v>2504</v>
      </c>
      <c r="G239" s="143" t="s">
        <v>2504</v>
      </c>
      <c r="H239" s="143" t="s">
        <v>2504</v>
      </c>
      <c r="I239" s="143" t="str">
        <f t="shared" si="41"/>
        <v>NO EXISTE</v>
      </c>
      <c r="J239" s="143" t="str">
        <f t="shared" si="42"/>
        <v>NO EXISTE</v>
      </c>
      <c r="K239" s="143" t="str">
        <f t="shared" si="43"/>
        <v>NO EXISTE</v>
      </c>
      <c r="L239" s="143" t="str">
        <f t="shared" si="44"/>
        <v>NO EXISTE</v>
      </c>
      <c r="M239" s="143" t="str">
        <f t="shared" si="45"/>
        <v>NO EXISTE</v>
      </c>
      <c r="N239" s="143" t="str">
        <f t="shared" si="46"/>
        <v>NO EXISTE</v>
      </c>
      <c r="O239" s="143" t="str">
        <f t="shared" si="47"/>
        <v>NO EXISTE</v>
      </c>
      <c r="P239" s="143" t="str">
        <f t="shared" si="48"/>
        <v>NO EXISTE</v>
      </c>
      <c r="Q239" s="148" t="s">
        <v>2405</v>
      </c>
      <c r="R239" s="148" t="s">
        <v>594</v>
      </c>
      <c r="S239" s="148" t="s">
        <v>2406</v>
      </c>
      <c r="T239" s="149">
        <v>0.95</v>
      </c>
      <c r="U239" s="148" t="s">
        <v>591</v>
      </c>
      <c r="V239" s="150">
        <v>99.17</v>
      </c>
      <c r="W239" s="151">
        <v>2019.52</v>
      </c>
    </row>
    <row r="240" spans="1:23" ht="15" customHeight="1" x14ac:dyDescent="0.25">
      <c r="A240" s="148">
        <v>16923</v>
      </c>
      <c r="B240" s="148" t="s">
        <v>2410</v>
      </c>
      <c r="C240" s="143" t="s">
        <v>2504</v>
      </c>
      <c r="D240" s="143" t="s">
        <v>2504</v>
      </c>
      <c r="E240" s="143" t="s">
        <v>2504</v>
      </c>
      <c r="F240" s="143" t="s">
        <v>2504</v>
      </c>
      <c r="G240" s="143" t="s">
        <v>2504</v>
      </c>
      <c r="H240" s="143" t="s">
        <v>2504</v>
      </c>
      <c r="I240" s="143" t="str">
        <f t="shared" si="41"/>
        <v>NO EXISTE</v>
      </c>
      <c r="J240" s="143" t="str">
        <f t="shared" si="42"/>
        <v>NO EXISTE</v>
      </c>
      <c r="K240" s="143" t="str">
        <f t="shared" si="43"/>
        <v>NO EXISTE</v>
      </c>
      <c r="L240" s="143" t="str">
        <f t="shared" si="44"/>
        <v>NO EXISTE</v>
      </c>
      <c r="M240" s="143" t="str">
        <f t="shared" si="45"/>
        <v>NO EXISTE</v>
      </c>
      <c r="N240" s="143" t="str">
        <f t="shared" si="46"/>
        <v>NO EXISTE</v>
      </c>
      <c r="O240" s="143" t="str">
        <f t="shared" si="47"/>
        <v>NO EXISTE</v>
      </c>
      <c r="P240" s="143" t="str">
        <f t="shared" si="48"/>
        <v>NO EXISTE</v>
      </c>
      <c r="Q240" s="148" t="s">
        <v>2411</v>
      </c>
      <c r="R240" s="148" t="s">
        <v>594</v>
      </c>
      <c r="S240" s="148" t="s">
        <v>2214</v>
      </c>
      <c r="T240" s="149">
        <v>0.95</v>
      </c>
      <c r="U240" s="148" t="s">
        <v>591</v>
      </c>
      <c r="V240" s="150">
        <v>129.34</v>
      </c>
      <c r="W240" s="151">
        <v>20975.48</v>
      </c>
    </row>
    <row r="241" spans="1:23" ht="15" customHeight="1" x14ac:dyDescent="0.25">
      <c r="A241" s="148">
        <v>16953</v>
      </c>
      <c r="B241" s="148" t="s">
        <v>2435</v>
      </c>
      <c r="C241" s="143" t="s">
        <v>2504</v>
      </c>
      <c r="D241" s="143" t="s">
        <v>2504</v>
      </c>
      <c r="E241" s="143" t="s">
        <v>2504</v>
      </c>
      <c r="F241" s="143" t="s">
        <v>2504</v>
      </c>
      <c r="G241" s="143" t="s">
        <v>2504</v>
      </c>
      <c r="H241" s="143" t="s">
        <v>2504</v>
      </c>
      <c r="I241" s="143" t="str">
        <f t="shared" si="41"/>
        <v>NO EXISTE</v>
      </c>
      <c r="J241" s="143" t="str">
        <f t="shared" si="42"/>
        <v>NO EXISTE</v>
      </c>
      <c r="K241" s="143" t="str">
        <f t="shared" si="43"/>
        <v>NO EXISTE</v>
      </c>
      <c r="L241" s="143" t="str">
        <f t="shared" si="44"/>
        <v>NO EXISTE</v>
      </c>
      <c r="M241" s="143" t="str">
        <f t="shared" si="45"/>
        <v>NO EXISTE</v>
      </c>
      <c r="N241" s="143" t="str">
        <f t="shared" si="46"/>
        <v>NO EXISTE</v>
      </c>
      <c r="O241" s="143" t="str">
        <f t="shared" si="47"/>
        <v>NO EXISTE</v>
      </c>
      <c r="P241" s="143" t="str">
        <f t="shared" si="48"/>
        <v>NO EXISTE</v>
      </c>
      <c r="Q241" s="148" t="s">
        <v>2436</v>
      </c>
      <c r="R241" s="148" t="s">
        <v>594</v>
      </c>
      <c r="S241" s="148" t="s">
        <v>2257</v>
      </c>
      <c r="T241" s="149">
        <v>0.95</v>
      </c>
      <c r="U241" s="148" t="s">
        <v>591</v>
      </c>
      <c r="V241" s="150">
        <v>189.55</v>
      </c>
      <c r="W241" s="151">
        <v>2017.98</v>
      </c>
    </row>
    <row r="242" spans="1:23" ht="15" customHeight="1" x14ac:dyDescent="0.25">
      <c r="A242" s="148" t="s">
        <v>2437</v>
      </c>
      <c r="B242" s="148" t="s">
        <v>2438</v>
      </c>
      <c r="C242" s="143" t="s">
        <v>2504</v>
      </c>
      <c r="D242" s="143" t="s">
        <v>2504</v>
      </c>
      <c r="E242" s="143" t="s">
        <v>2504</v>
      </c>
      <c r="F242" s="143" t="s">
        <v>2504</v>
      </c>
      <c r="G242" s="143" t="s">
        <v>2504</v>
      </c>
      <c r="H242" s="143" t="s">
        <v>2504</v>
      </c>
      <c r="I242" s="143" t="str">
        <f t="shared" si="41"/>
        <v>NO EXISTE</v>
      </c>
      <c r="J242" s="143" t="str">
        <f t="shared" si="42"/>
        <v>NO EXISTE</v>
      </c>
      <c r="K242" s="143" t="str">
        <f t="shared" si="43"/>
        <v>NO EXISTE</v>
      </c>
      <c r="L242" s="143" t="str">
        <f t="shared" si="44"/>
        <v>NO EXISTE</v>
      </c>
      <c r="M242" s="143" t="str">
        <f t="shared" si="45"/>
        <v>NO EXISTE</v>
      </c>
      <c r="N242" s="143" t="str">
        <f t="shared" si="46"/>
        <v>NO EXISTE</v>
      </c>
      <c r="O242" s="143" t="str">
        <f t="shared" si="47"/>
        <v>NO EXISTE</v>
      </c>
      <c r="P242" s="143" t="str">
        <f t="shared" si="48"/>
        <v>NO EXISTE</v>
      </c>
      <c r="Q242" s="148" t="s">
        <v>2439</v>
      </c>
      <c r="R242" s="148" t="s">
        <v>630</v>
      </c>
      <c r="S242" s="148" t="s">
        <v>886</v>
      </c>
      <c r="T242" s="149">
        <v>1000</v>
      </c>
      <c r="U242" s="148" t="s">
        <v>591</v>
      </c>
      <c r="V242" s="150">
        <v>129836.41</v>
      </c>
      <c r="W242" s="151">
        <v>21028.12</v>
      </c>
    </row>
    <row r="243" spans="1:23" ht="15" customHeight="1" x14ac:dyDescent="0.25">
      <c r="A243" s="148" t="s">
        <v>2437</v>
      </c>
      <c r="B243" s="148" t="s">
        <v>2440</v>
      </c>
      <c r="C243" s="143" t="s">
        <v>2504</v>
      </c>
      <c r="D243" s="143" t="s">
        <v>2504</v>
      </c>
      <c r="E243" s="143" t="s">
        <v>2504</v>
      </c>
      <c r="F243" s="143" t="s">
        <v>2504</v>
      </c>
      <c r="G243" s="143" t="s">
        <v>2504</v>
      </c>
      <c r="H243" s="143" t="s">
        <v>2504</v>
      </c>
      <c r="I243" s="143" t="str">
        <f t="shared" si="41"/>
        <v>NO EXISTE</v>
      </c>
      <c r="J243" s="143" t="str">
        <f t="shared" si="42"/>
        <v>NO EXISTE</v>
      </c>
      <c r="K243" s="143" t="str">
        <f t="shared" si="43"/>
        <v>NO EXISTE</v>
      </c>
      <c r="L243" s="143" t="str">
        <f t="shared" si="44"/>
        <v>NO EXISTE</v>
      </c>
      <c r="M243" s="143" t="str">
        <f t="shared" si="45"/>
        <v>NO EXISTE</v>
      </c>
      <c r="N243" s="143" t="str">
        <f t="shared" si="46"/>
        <v>NO EXISTE</v>
      </c>
      <c r="O243" s="143" t="str">
        <f t="shared" si="47"/>
        <v>NO EXISTE</v>
      </c>
      <c r="P243" s="143" t="str">
        <f t="shared" si="48"/>
        <v>NO EXISTE</v>
      </c>
      <c r="Q243" s="148" t="s">
        <v>2441</v>
      </c>
      <c r="R243" s="148" t="s">
        <v>694</v>
      </c>
      <c r="S243" s="148" t="s">
        <v>695</v>
      </c>
      <c r="T243" s="149">
        <v>1000</v>
      </c>
      <c r="U243" s="148" t="s">
        <v>591</v>
      </c>
      <c r="V243" s="150">
        <v>134070.34</v>
      </c>
      <c r="W243" s="151">
        <v>1977.63</v>
      </c>
    </row>
    <row r="244" spans="1:23" ht="15" customHeight="1" x14ac:dyDescent="0.25">
      <c r="A244" s="148" t="s">
        <v>2437</v>
      </c>
      <c r="B244" s="148" t="s">
        <v>2442</v>
      </c>
      <c r="C244" s="143" t="s">
        <v>2504</v>
      </c>
      <c r="D244" s="143" t="s">
        <v>2504</v>
      </c>
      <c r="E244" s="143" t="s">
        <v>2504</v>
      </c>
      <c r="F244" s="143" t="s">
        <v>2504</v>
      </c>
      <c r="G244" s="143" t="s">
        <v>2504</v>
      </c>
      <c r="H244" s="143" t="s">
        <v>2504</v>
      </c>
      <c r="I244" s="143" t="str">
        <f t="shared" si="41"/>
        <v>NO EXISTE</v>
      </c>
      <c r="J244" s="143" t="str">
        <f t="shared" si="42"/>
        <v>NO EXISTE</v>
      </c>
      <c r="K244" s="143" t="str">
        <f t="shared" si="43"/>
        <v>NO EXISTE</v>
      </c>
      <c r="L244" s="143" t="str">
        <f t="shared" si="44"/>
        <v>NO EXISTE</v>
      </c>
      <c r="M244" s="143" t="str">
        <f t="shared" si="45"/>
        <v>NO EXISTE</v>
      </c>
      <c r="N244" s="143" t="str">
        <f t="shared" si="46"/>
        <v>NO EXISTE</v>
      </c>
      <c r="O244" s="143" t="str">
        <f t="shared" si="47"/>
        <v>NO EXISTE</v>
      </c>
      <c r="P244" s="143" t="str">
        <f t="shared" si="48"/>
        <v>NO EXISTE</v>
      </c>
      <c r="Q244" s="148" t="s">
        <v>2443</v>
      </c>
      <c r="R244" s="148" t="s">
        <v>630</v>
      </c>
      <c r="S244" s="148" t="s">
        <v>817</v>
      </c>
      <c r="T244" s="149">
        <v>1000</v>
      </c>
      <c r="U244" s="148" t="s">
        <v>591</v>
      </c>
      <c r="V244" s="150">
        <v>185530.56</v>
      </c>
      <c r="W244" s="151">
        <f>V244*4</f>
        <v>742122.24</v>
      </c>
    </row>
    <row r="245" spans="1:23" ht="15" customHeight="1" x14ac:dyDescent="0.25">
      <c r="A245" s="148" t="s">
        <v>2437</v>
      </c>
      <c r="B245" s="148" t="s">
        <v>2444</v>
      </c>
      <c r="C245" s="143" t="s">
        <v>2504</v>
      </c>
      <c r="D245" s="143" t="s">
        <v>2504</v>
      </c>
      <c r="E245" s="143" t="s">
        <v>2504</v>
      </c>
      <c r="F245" s="143" t="s">
        <v>2504</v>
      </c>
      <c r="G245" s="143" t="s">
        <v>2504</v>
      </c>
      <c r="H245" s="143" t="s">
        <v>2504</v>
      </c>
      <c r="I245" s="143" t="str">
        <f t="shared" si="41"/>
        <v>NO EXISTE</v>
      </c>
      <c r="J245" s="143" t="str">
        <f t="shared" si="42"/>
        <v>NO EXISTE</v>
      </c>
      <c r="K245" s="143" t="str">
        <f t="shared" si="43"/>
        <v>NO EXISTE</v>
      </c>
      <c r="L245" s="143" t="str">
        <f t="shared" si="44"/>
        <v>NO EXISTE</v>
      </c>
      <c r="M245" s="143" t="str">
        <f t="shared" si="45"/>
        <v>NO EXISTE</v>
      </c>
      <c r="N245" s="143" t="str">
        <f t="shared" si="46"/>
        <v>NO EXISTE</v>
      </c>
      <c r="O245" s="143" t="str">
        <f t="shared" si="47"/>
        <v>NO EXISTE</v>
      </c>
      <c r="P245" s="143" t="str">
        <f t="shared" si="48"/>
        <v>NO EXISTE</v>
      </c>
      <c r="Q245" s="148" t="s">
        <v>2445</v>
      </c>
      <c r="R245" s="148" t="s">
        <v>694</v>
      </c>
      <c r="S245" s="148" t="s">
        <v>927</v>
      </c>
      <c r="T245" s="149">
        <v>1000</v>
      </c>
      <c r="U245" s="148" t="s">
        <v>591</v>
      </c>
      <c r="V245" s="150">
        <v>88695.15</v>
      </c>
      <c r="W245" s="151">
        <f>V245*15</f>
        <v>1330427.25</v>
      </c>
    </row>
    <row r="246" spans="1:23" ht="15" customHeight="1" x14ac:dyDescent="0.25">
      <c r="A246" s="148" t="s">
        <v>2437</v>
      </c>
      <c r="B246" s="148" t="s">
        <v>2446</v>
      </c>
      <c r="C246" s="143" t="s">
        <v>2504</v>
      </c>
      <c r="D246" s="143" t="s">
        <v>2504</v>
      </c>
      <c r="E246" s="143" t="s">
        <v>2504</v>
      </c>
      <c r="F246" s="143" t="s">
        <v>2504</v>
      </c>
      <c r="G246" s="143" t="s">
        <v>2504</v>
      </c>
      <c r="H246" s="143" t="s">
        <v>2504</v>
      </c>
      <c r="I246" s="143" t="str">
        <f t="shared" si="41"/>
        <v>NO EXISTE</v>
      </c>
      <c r="J246" s="143" t="str">
        <f t="shared" si="42"/>
        <v>NO EXISTE</v>
      </c>
      <c r="K246" s="143" t="str">
        <f t="shared" si="43"/>
        <v>NO EXISTE</v>
      </c>
      <c r="L246" s="143" t="str">
        <f t="shared" si="44"/>
        <v>NO EXISTE</v>
      </c>
      <c r="M246" s="143" t="str">
        <f t="shared" si="45"/>
        <v>NO EXISTE</v>
      </c>
      <c r="N246" s="143" t="str">
        <f t="shared" si="46"/>
        <v>NO EXISTE</v>
      </c>
      <c r="O246" s="143" t="str">
        <f t="shared" si="47"/>
        <v>NO EXISTE</v>
      </c>
      <c r="P246" s="143" t="str">
        <f t="shared" si="48"/>
        <v>NO EXISTE</v>
      </c>
      <c r="Q246" s="148" t="s">
        <v>2447</v>
      </c>
      <c r="R246" s="148" t="s">
        <v>694</v>
      </c>
      <c r="S246" s="148" t="s">
        <v>698</v>
      </c>
      <c r="T246" s="149">
        <v>1000</v>
      </c>
      <c r="U246" s="148" t="s">
        <v>591</v>
      </c>
      <c r="V246" s="150">
        <v>117043.01</v>
      </c>
      <c r="W246" s="151">
        <f>V246*15</f>
        <v>1755645.15</v>
      </c>
    </row>
    <row r="247" spans="1:23" ht="15" customHeight="1" x14ac:dyDescent="0.25">
      <c r="A247" s="148" t="s">
        <v>2437</v>
      </c>
      <c r="B247" s="148" t="s">
        <v>2448</v>
      </c>
      <c r="C247" s="143" t="s">
        <v>2504</v>
      </c>
      <c r="D247" s="143" t="s">
        <v>2504</v>
      </c>
      <c r="E247" s="143" t="s">
        <v>2504</v>
      </c>
      <c r="F247" s="143" t="s">
        <v>2504</v>
      </c>
      <c r="G247" s="143" t="s">
        <v>2504</v>
      </c>
      <c r="H247" s="143" t="s">
        <v>2504</v>
      </c>
      <c r="I247" s="143" t="str">
        <f t="shared" si="41"/>
        <v>NO EXISTE</v>
      </c>
      <c r="J247" s="143" t="str">
        <f t="shared" si="42"/>
        <v>NO EXISTE</v>
      </c>
      <c r="K247" s="143" t="str">
        <f t="shared" si="43"/>
        <v>NO EXISTE</v>
      </c>
      <c r="L247" s="143" t="str">
        <f t="shared" si="44"/>
        <v>NO EXISTE</v>
      </c>
      <c r="M247" s="143" t="str">
        <f t="shared" si="45"/>
        <v>NO EXISTE</v>
      </c>
      <c r="N247" s="143" t="str">
        <f t="shared" si="46"/>
        <v>NO EXISTE</v>
      </c>
      <c r="O247" s="143" t="str">
        <f t="shared" si="47"/>
        <v>NO EXISTE</v>
      </c>
      <c r="P247" s="143" t="str">
        <f t="shared" si="48"/>
        <v>NO EXISTE</v>
      </c>
      <c r="Q247" s="148" t="s">
        <v>2449</v>
      </c>
      <c r="R247" s="148" t="s">
        <v>630</v>
      </c>
      <c r="S247" s="148" t="s">
        <v>2450</v>
      </c>
      <c r="T247" s="149">
        <v>1000</v>
      </c>
      <c r="U247" s="148" t="s">
        <v>591</v>
      </c>
      <c r="V247" s="150">
        <v>89551</v>
      </c>
      <c r="W247" s="151">
        <f>V247*6</f>
        <v>537306</v>
      </c>
    </row>
    <row r="248" spans="1:23" ht="15" customHeight="1" x14ac:dyDescent="0.25">
      <c r="A248" s="148" t="s">
        <v>2437</v>
      </c>
      <c r="B248" s="148" t="s">
        <v>2451</v>
      </c>
      <c r="C248" s="143" t="s">
        <v>2504</v>
      </c>
      <c r="D248" s="143" t="s">
        <v>2504</v>
      </c>
      <c r="E248" s="143" t="s">
        <v>2504</v>
      </c>
      <c r="F248" s="143" t="s">
        <v>2504</v>
      </c>
      <c r="G248" s="143" t="s">
        <v>2504</v>
      </c>
      <c r="H248" s="143" t="s">
        <v>2504</v>
      </c>
      <c r="I248" s="143" t="str">
        <f t="shared" si="41"/>
        <v>NO EXISTE</v>
      </c>
      <c r="J248" s="143" t="str">
        <f t="shared" si="42"/>
        <v>NO EXISTE</v>
      </c>
      <c r="K248" s="143" t="str">
        <f t="shared" si="43"/>
        <v>NO EXISTE</v>
      </c>
      <c r="L248" s="143" t="str">
        <f t="shared" si="44"/>
        <v>NO EXISTE</v>
      </c>
      <c r="M248" s="143" t="str">
        <f t="shared" si="45"/>
        <v>NO EXISTE</v>
      </c>
      <c r="N248" s="143" t="str">
        <f t="shared" si="46"/>
        <v>NO EXISTE</v>
      </c>
      <c r="O248" s="143" t="str">
        <f t="shared" si="47"/>
        <v>NO EXISTE</v>
      </c>
      <c r="P248" s="143" t="str">
        <f t="shared" si="48"/>
        <v>NO EXISTE</v>
      </c>
      <c r="Q248" s="148" t="s">
        <v>2452</v>
      </c>
      <c r="R248" s="148" t="s">
        <v>630</v>
      </c>
      <c r="S248" s="148" t="s">
        <v>631</v>
      </c>
      <c r="T248" s="149">
        <v>1000</v>
      </c>
      <c r="U248" s="148" t="s">
        <v>591</v>
      </c>
      <c r="V248" s="150">
        <v>89969.95</v>
      </c>
      <c r="W248" s="151">
        <v>2014.73</v>
      </c>
    </row>
    <row r="249" spans="1:23" ht="15" customHeight="1" x14ac:dyDescent="0.25">
      <c r="A249" s="148" t="s">
        <v>2437</v>
      </c>
      <c r="B249" s="148" t="s">
        <v>2453</v>
      </c>
      <c r="C249" s="143" t="s">
        <v>2504</v>
      </c>
      <c r="D249" s="143" t="s">
        <v>2504</v>
      </c>
      <c r="E249" s="143" t="s">
        <v>2504</v>
      </c>
      <c r="F249" s="143" t="s">
        <v>2504</v>
      </c>
      <c r="G249" s="143" t="s">
        <v>2504</v>
      </c>
      <c r="H249" s="143" t="s">
        <v>2504</v>
      </c>
      <c r="I249" s="143" t="str">
        <f t="shared" si="41"/>
        <v>NO EXISTE</v>
      </c>
      <c r="J249" s="143" t="str">
        <f t="shared" si="42"/>
        <v>NO EXISTE</v>
      </c>
      <c r="K249" s="143" t="str">
        <f t="shared" si="43"/>
        <v>NO EXISTE</v>
      </c>
      <c r="L249" s="143" t="str">
        <f t="shared" si="44"/>
        <v>NO EXISTE</v>
      </c>
      <c r="M249" s="143" t="str">
        <f t="shared" si="45"/>
        <v>NO EXISTE</v>
      </c>
      <c r="N249" s="143" t="str">
        <f t="shared" si="46"/>
        <v>NO EXISTE</v>
      </c>
      <c r="O249" s="143" t="str">
        <f t="shared" si="47"/>
        <v>NO EXISTE</v>
      </c>
      <c r="P249" s="143" t="str">
        <f t="shared" si="48"/>
        <v>NO EXISTE</v>
      </c>
      <c r="Q249" s="148" t="s">
        <v>2454</v>
      </c>
      <c r="R249" s="148" t="s">
        <v>630</v>
      </c>
      <c r="S249" s="148" t="s">
        <v>2450</v>
      </c>
      <c r="T249" s="149">
        <v>1000</v>
      </c>
      <c r="U249" s="148" t="s">
        <v>591</v>
      </c>
      <c r="V249" s="150">
        <v>109447.75</v>
      </c>
      <c r="W249" s="151">
        <v>1962.24</v>
      </c>
    </row>
    <row r="250" spans="1:23" ht="15" customHeight="1" x14ac:dyDescent="0.25">
      <c r="A250" s="148" t="s">
        <v>2437</v>
      </c>
      <c r="B250" s="148" t="s">
        <v>2455</v>
      </c>
      <c r="C250" s="143" t="s">
        <v>2504</v>
      </c>
      <c r="D250" s="143" t="s">
        <v>2504</v>
      </c>
      <c r="E250" s="143" t="s">
        <v>2504</v>
      </c>
      <c r="F250" s="143" t="s">
        <v>2504</v>
      </c>
      <c r="G250" s="143" t="s">
        <v>2504</v>
      </c>
      <c r="H250" s="143" t="s">
        <v>2504</v>
      </c>
      <c r="I250" s="143" t="str">
        <f t="shared" si="41"/>
        <v>NO EXISTE</v>
      </c>
      <c r="J250" s="143" t="str">
        <f t="shared" si="42"/>
        <v>NO EXISTE</v>
      </c>
      <c r="K250" s="143" t="str">
        <f t="shared" si="43"/>
        <v>NO EXISTE</v>
      </c>
      <c r="L250" s="143" t="str">
        <f t="shared" si="44"/>
        <v>NO EXISTE</v>
      </c>
      <c r="M250" s="143" t="str">
        <f t="shared" si="45"/>
        <v>NO EXISTE</v>
      </c>
      <c r="N250" s="143" t="str">
        <f t="shared" si="46"/>
        <v>NO EXISTE</v>
      </c>
      <c r="O250" s="143" t="str">
        <f t="shared" si="47"/>
        <v>NO EXISTE</v>
      </c>
      <c r="P250" s="143" t="str">
        <f t="shared" si="48"/>
        <v>NO EXISTE</v>
      </c>
      <c r="Q250" s="148" t="s">
        <v>2456</v>
      </c>
      <c r="R250" s="148" t="s">
        <v>630</v>
      </c>
      <c r="S250" s="148" t="s">
        <v>631</v>
      </c>
      <c r="T250" s="149">
        <v>1000</v>
      </c>
      <c r="U250" s="148" t="s">
        <v>591</v>
      </c>
      <c r="V250" s="150">
        <v>84446.87</v>
      </c>
      <c r="W250" s="151">
        <v>2007.48</v>
      </c>
    </row>
    <row r="251" spans="1:23" ht="15" customHeight="1" x14ac:dyDescent="0.25">
      <c r="A251" s="148" t="s">
        <v>2437</v>
      </c>
      <c r="B251" s="148" t="s">
        <v>2457</v>
      </c>
      <c r="C251" s="143" t="s">
        <v>2504</v>
      </c>
      <c r="D251" s="143" t="s">
        <v>2504</v>
      </c>
      <c r="E251" s="143" t="s">
        <v>2504</v>
      </c>
      <c r="F251" s="143" t="s">
        <v>2504</v>
      </c>
      <c r="G251" s="143" t="s">
        <v>2504</v>
      </c>
      <c r="H251" s="143" t="s">
        <v>2504</v>
      </c>
      <c r="I251" s="143" t="str">
        <f t="shared" si="41"/>
        <v>NO EXISTE</v>
      </c>
      <c r="J251" s="143" t="str">
        <f t="shared" si="42"/>
        <v>NO EXISTE</v>
      </c>
      <c r="K251" s="143" t="str">
        <f t="shared" si="43"/>
        <v>NO EXISTE</v>
      </c>
      <c r="L251" s="143" t="str">
        <f t="shared" si="44"/>
        <v>NO EXISTE</v>
      </c>
      <c r="M251" s="143" t="str">
        <f t="shared" si="45"/>
        <v>NO EXISTE</v>
      </c>
      <c r="N251" s="143" t="str">
        <f t="shared" si="46"/>
        <v>NO EXISTE</v>
      </c>
      <c r="O251" s="143" t="str">
        <f t="shared" si="47"/>
        <v>NO EXISTE</v>
      </c>
      <c r="P251" s="143" t="str">
        <f t="shared" si="48"/>
        <v>NO EXISTE</v>
      </c>
      <c r="Q251" s="148" t="s">
        <v>2458</v>
      </c>
      <c r="R251" s="148" t="s">
        <v>630</v>
      </c>
      <c r="S251" s="148" t="s">
        <v>2450</v>
      </c>
      <c r="T251" s="149">
        <v>1000</v>
      </c>
      <c r="U251" s="148" t="s">
        <v>591</v>
      </c>
      <c r="V251" s="150">
        <v>92977.74</v>
      </c>
      <c r="W251" s="151">
        <v>20848.95</v>
      </c>
    </row>
    <row r="252" spans="1:23" ht="15" customHeight="1" x14ac:dyDescent="0.25">
      <c r="A252" s="148" t="s">
        <v>2437</v>
      </c>
      <c r="B252" s="148" t="s">
        <v>2459</v>
      </c>
      <c r="C252" s="143" t="s">
        <v>2504</v>
      </c>
      <c r="D252" s="143" t="s">
        <v>2504</v>
      </c>
      <c r="E252" s="143" t="s">
        <v>2504</v>
      </c>
      <c r="F252" s="143" t="s">
        <v>2504</v>
      </c>
      <c r="G252" s="143" t="s">
        <v>2504</v>
      </c>
      <c r="H252" s="143" t="s">
        <v>2504</v>
      </c>
      <c r="I252" s="143" t="str">
        <f t="shared" si="41"/>
        <v>NO EXISTE</v>
      </c>
      <c r="J252" s="143" t="str">
        <f t="shared" si="42"/>
        <v>NO EXISTE</v>
      </c>
      <c r="K252" s="143" t="str">
        <f t="shared" si="43"/>
        <v>NO EXISTE</v>
      </c>
      <c r="L252" s="143" t="str">
        <f t="shared" si="44"/>
        <v>NO EXISTE</v>
      </c>
      <c r="M252" s="143" t="str">
        <f t="shared" si="45"/>
        <v>NO EXISTE</v>
      </c>
      <c r="N252" s="143" t="str">
        <f t="shared" si="46"/>
        <v>NO EXISTE</v>
      </c>
      <c r="O252" s="143" t="str">
        <f t="shared" si="47"/>
        <v>NO EXISTE</v>
      </c>
      <c r="P252" s="143" t="str">
        <f t="shared" si="48"/>
        <v>NO EXISTE</v>
      </c>
      <c r="Q252" s="148" t="s">
        <v>2460</v>
      </c>
      <c r="R252" s="148" t="s">
        <v>630</v>
      </c>
      <c r="S252" s="148" t="s">
        <v>812</v>
      </c>
      <c r="T252" s="149">
        <v>1000</v>
      </c>
      <c r="U252" s="148" t="s">
        <v>591</v>
      </c>
      <c r="V252" s="150">
        <v>202027.31</v>
      </c>
      <c r="W252" s="151">
        <f>V252*16</f>
        <v>3232436.96</v>
      </c>
    </row>
    <row r="253" spans="1:23" ht="15" customHeight="1" x14ac:dyDescent="0.25">
      <c r="A253" s="148" t="s">
        <v>2437</v>
      </c>
      <c r="B253" s="148" t="s">
        <v>2461</v>
      </c>
      <c r="C253" s="143" t="s">
        <v>2504</v>
      </c>
      <c r="D253" s="143" t="s">
        <v>2504</v>
      </c>
      <c r="E253" s="143" t="s">
        <v>2504</v>
      </c>
      <c r="F253" s="143" t="s">
        <v>2504</v>
      </c>
      <c r="G253" s="143" t="s">
        <v>2504</v>
      </c>
      <c r="H253" s="143" t="s">
        <v>2504</v>
      </c>
      <c r="I253" s="143" t="str">
        <f t="shared" si="41"/>
        <v>NO EXISTE</v>
      </c>
      <c r="J253" s="143" t="str">
        <f t="shared" si="42"/>
        <v>NO EXISTE</v>
      </c>
      <c r="K253" s="143" t="str">
        <f t="shared" si="43"/>
        <v>NO EXISTE</v>
      </c>
      <c r="L253" s="143" t="str">
        <f t="shared" si="44"/>
        <v>NO EXISTE</v>
      </c>
      <c r="M253" s="143" t="str">
        <f t="shared" si="45"/>
        <v>NO EXISTE</v>
      </c>
      <c r="N253" s="143" t="str">
        <f t="shared" si="46"/>
        <v>NO EXISTE</v>
      </c>
      <c r="O253" s="143" t="str">
        <f t="shared" si="47"/>
        <v>NO EXISTE</v>
      </c>
      <c r="P253" s="143" t="str">
        <f t="shared" si="48"/>
        <v>NO EXISTE</v>
      </c>
      <c r="Q253" s="148" t="s">
        <v>2462</v>
      </c>
      <c r="R253" s="148" t="s">
        <v>630</v>
      </c>
      <c r="S253" s="148" t="s">
        <v>1009</v>
      </c>
      <c r="T253" s="149">
        <v>1000</v>
      </c>
      <c r="U253" s="148" t="s">
        <v>591</v>
      </c>
      <c r="V253" s="150">
        <v>155273.43</v>
      </c>
      <c r="W253" s="151">
        <f>V253*1000</f>
        <v>155273430</v>
      </c>
    </row>
    <row r="254" spans="1:23" ht="15" customHeight="1" x14ac:dyDescent="0.25">
      <c r="A254" s="148" t="s">
        <v>2437</v>
      </c>
      <c r="B254" s="148" t="s">
        <v>2463</v>
      </c>
      <c r="C254" s="143" t="s">
        <v>2504</v>
      </c>
      <c r="D254" s="143" t="s">
        <v>2504</v>
      </c>
      <c r="E254" s="143" t="s">
        <v>2504</v>
      </c>
      <c r="F254" s="143" t="s">
        <v>2504</v>
      </c>
      <c r="G254" s="143" t="s">
        <v>2504</v>
      </c>
      <c r="H254" s="143" t="s">
        <v>2504</v>
      </c>
      <c r="I254" s="143" t="str">
        <f t="shared" si="41"/>
        <v>NO EXISTE</v>
      </c>
      <c r="J254" s="143" t="str">
        <f t="shared" si="42"/>
        <v>NO EXISTE</v>
      </c>
      <c r="K254" s="143" t="str">
        <f t="shared" si="43"/>
        <v>NO EXISTE</v>
      </c>
      <c r="L254" s="143" t="str">
        <f t="shared" si="44"/>
        <v>NO EXISTE</v>
      </c>
      <c r="M254" s="143" t="str">
        <f t="shared" si="45"/>
        <v>NO EXISTE</v>
      </c>
      <c r="N254" s="143" t="str">
        <f t="shared" si="46"/>
        <v>NO EXISTE</v>
      </c>
      <c r="O254" s="143" t="str">
        <f t="shared" si="47"/>
        <v>NO EXISTE</v>
      </c>
      <c r="P254" s="143" t="str">
        <f t="shared" si="48"/>
        <v>NO EXISTE</v>
      </c>
      <c r="Q254" s="148" t="s">
        <v>2464</v>
      </c>
      <c r="R254" s="148" t="s">
        <v>630</v>
      </c>
      <c r="S254" s="148" t="s">
        <v>835</v>
      </c>
      <c r="T254" s="149">
        <v>1000</v>
      </c>
      <c r="U254" s="148" t="s">
        <v>591</v>
      </c>
      <c r="V254" s="150">
        <v>99269.15</v>
      </c>
      <c r="W254" s="151">
        <f>V254*15</f>
        <v>1489037.25</v>
      </c>
    </row>
    <row r="255" spans="1:23" ht="15" customHeight="1" x14ac:dyDescent="0.25">
      <c r="A255" s="148" t="s">
        <v>2437</v>
      </c>
      <c r="B255" s="148" t="s">
        <v>2465</v>
      </c>
      <c r="C255" s="143" t="s">
        <v>2504</v>
      </c>
      <c r="D255" s="143" t="s">
        <v>2504</v>
      </c>
      <c r="E255" s="143" t="s">
        <v>2504</v>
      </c>
      <c r="F255" s="143" t="s">
        <v>2504</v>
      </c>
      <c r="G255" s="143" t="s">
        <v>2504</v>
      </c>
      <c r="H255" s="143" t="s">
        <v>2504</v>
      </c>
      <c r="I255" s="143" t="str">
        <f t="shared" si="41"/>
        <v>NO EXISTE</v>
      </c>
      <c r="J255" s="143" t="str">
        <f t="shared" si="42"/>
        <v>NO EXISTE</v>
      </c>
      <c r="K255" s="143" t="str">
        <f t="shared" si="43"/>
        <v>NO EXISTE</v>
      </c>
      <c r="L255" s="143" t="str">
        <f t="shared" si="44"/>
        <v>NO EXISTE</v>
      </c>
      <c r="M255" s="143" t="str">
        <f t="shared" si="45"/>
        <v>NO EXISTE</v>
      </c>
      <c r="N255" s="143" t="str">
        <f t="shared" si="46"/>
        <v>NO EXISTE</v>
      </c>
      <c r="O255" s="143" t="str">
        <f t="shared" si="47"/>
        <v>NO EXISTE</v>
      </c>
      <c r="P255" s="143" t="str">
        <f t="shared" si="48"/>
        <v>NO EXISTE</v>
      </c>
      <c r="Q255" s="148" t="s">
        <v>2466</v>
      </c>
      <c r="R255" s="148" t="s">
        <v>630</v>
      </c>
      <c r="S255" s="148" t="s">
        <v>840</v>
      </c>
      <c r="T255" s="149">
        <v>1000</v>
      </c>
      <c r="U255" s="148" t="s">
        <v>591</v>
      </c>
      <c r="V255" s="150">
        <v>113930.69</v>
      </c>
      <c r="W255" s="151">
        <v>2705.2</v>
      </c>
    </row>
    <row r="256" spans="1:23" ht="15" customHeight="1" x14ac:dyDescent="0.25">
      <c r="A256" s="148" t="s">
        <v>2437</v>
      </c>
      <c r="B256" s="148" t="s">
        <v>2467</v>
      </c>
      <c r="C256" s="143" t="s">
        <v>2504</v>
      </c>
      <c r="D256" s="143" t="s">
        <v>2504</v>
      </c>
      <c r="E256" s="143" t="s">
        <v>2504</v>
      </c>
      <c r="F256" s="143" t="s">
        <v>2504</v>
      </c>
      <c r="G256" s="143" t="s">
        <v>2504</v>
      </c>
      <c r="H256" s="143" t="s">
        <v>2504</v>
      </c>
      <c r="I256" s="143" t="str">
        <f t="shared" si="41"/>
        <v>NO EXISTE</v>
      </c>
      <c r="J256" s="143" t="str">
        <f t="shared" si="42"/>
        <v>NO EXISTE</v>
      </c>
      <c r="K256" s="143" t="str">
        <f t="shared" si="43"/>
        <v>NO EXISTE</v>
      </c>
      <c r="L256" s="143" t="str">
        <f t="shared" si="44"/>
        <v>NO EXISTE</v>
      </c>
      <c r="M256" s="143" t="str">
        <f t="shared" si="45"/>
        <v>NO EXISTE</v>
      </c>
      <c r="N256" s="143" t="str">
        <f t="shared" si="46"/>
        <v>NO EXISTE</v>
      </c>
      <c r="O256" s="143" t="str">
        <f t="shared" si="47"/>
        <v>NO EXISTE</v>
      </c>
      <c r="P256" s="143" t="str">
        <f t="shared" si="48"/>
        <v>NO EXISTE</v>
      </c>
      <c r="Q256" s="148" t="s">
        <v>2468</v>
      </c>
      <c r="R256" s="148" t="s">
        <v>630</v>
      </c>
      <c r="S256" s="148" t="s">
        <v>886</v>
      </c>
      <c r="T256" s="149">
        <v>1000</v>
      </c>
      <c r="U256" s="148" t="s">
        <v>591</v>
      </c>
      <c r="V256" s="150">
        <v>105580.69</v>
      </c>
      <c r="W256" s="151">
        <v>28167.87</v>
      </c>
    </row>
    <row r="257" spans="1:23" ht="15" customHeight="1" x14ac:dyDescent="0.25">
      <c r="A257" s="148" t="s">
        <v>2437</v>
      </c>
      <c r="B257" s="148" t="s">
        <v>2469</v>
      </c>
      <c r="C257" s="143" t="s">
        <v>2504</v>
      </c>
      <c r="D257" s="143" t="s">
        <v>2504</v>
      </c>
      <c r="E257" s="143" t="s">
        <v>2504</v>
      </c>
      <c r="F257" s="143" t="s">
        <v>2504</v>
      </c>
      <c r="G257" s="143" t="s">
        <v>2504</v>
      </c>
      <c r="H257" s="143" t="s">
        <v>2504</v>
      </c>
      <c r="I257" s="143" t="str">
        <f t="shared" si="41"/>
        <v>NO EXISTE</v>
      </c>
      <c r="J257" s="143" t="str">
        <f t="shared" si="42"/>
        <v>NO EXISTE</v>
      </c>
      <c r="K257" s="143" t="str">
        <f t="shared" si="43"/>
        <v>NO EXISTE</v>
      </c>
      <c r="L257" s="143" t="str">
        <f t="shared" si="44"/>
        <v>NO EXISTE</v>
      </c>
      <c r="M257" s="143" t="str">
        <f t="shared" si="45"/>
        <v>NO EXISTE</v>
      </c>
      <c r="N257" s="143" t="str">
        <f t="shared" si="46"/>
        <v>NO EXISTE</v>
      </c>
      <c r="O257" s="143" t="str">
        <f t="shared" si="47"/>
        <v>NO EXISTE</v>
      </c>
      <c r="P257" s="143" t="str">
        <f t="shared" si="48"/>
        <v>NO EXISTE</v>
      </c>
      <c r="Q257" s="148" t="s">
        <v>2470</v>
      </c>
      <c r="R257" s="148" t="s">
        <v>630</v>
      </c>
      <c r="S257" s="148" t="s">
        <v>2195</v>
      </c>
      <c r="T257" s="149">
        <v>1000</v>
      </c>
      <c r="U257" s="148" t="s">
        <v>591</v>
      </c>
      <c r="V257" s="150">
        <v>109071.37</v>
      </c>
      <c r="W257" s="151">
        <v>2261.34</v>
      </c>
    </row>
    <row r="258" spans="1:23" ht="15" customHeight="1" x14ac:dyDescent="0.25">
      <c r="A258" s="148" t="s">
        <v>2437</v>
      </c>
      <c r="B258" s="148" t="s">
        <v>2471</v>
      </c>
      <c r="C258" s="143" t="s">
        <v>2504</v>
      </c>
      <c r="D258" s="143" t="s">
        <v>2504</v>
      </c>
      <c r="E258" s="143" t="s">
        <v>2504</v>
      </c>
      <c r="F258" s="143" t="s">
        <v>2504</v>
      </c>
      <c r="G258" s="143" t="s">
        <v>2504</v>
      </c>
      <c r="H258" s="143" t="s">
        <v>2504</v>
      </c>
      <c r="I258" s="143" t="str">
        <f t="shared" si="41"/>
        <v>NO EXISTE</v>
      </c>
      <c r="J258" s="143" t="str">
        <f t="shared" si="42"/>
        <v>NO EXISTE</v>
      </c>
      <c r="K258" s="143" t="str">
        <f t="shared" si="43"/>
        <v>NO EXISTE</v>
      </c>
      <c r="L258" s="143" t="str">
        <f t="shared" si="44"/>
        <v>NO EXISTE</v>
      </c>
      <c r="M258" s="143" t="str">
        <f t="shared" si="45"/>
        <v>NO EXISTE</v>
      </c>
      <c r="N258" s="143" t="str">
        <f t="shared" si="46"/>
        <v>NO EXISTE</v>
      </c>
      <c r="O258" s="143" t="str">
        <f t="shared" si="47"/>
        <v>NO EXISTE</v>
      </c>
      <c r="P258" s="143" t="str">
        <f t="shared" si="48"/>
        <v>NO EXISTE</v>
      </c>
      <c r="Q258" s="148" t="s">
        <v>2472</v>
      </c>
      <c r="R258" s="148" t="s">
        <v>630</v>
      </c>
      <c r="S258" s="148" t="s">
        <v>817</v>
      </c>
      <c r="T258" s="149">
        <v>1000</v>
      </c>
      <c r="U258" s="148" t="s">
        <v>591</v>
      </c>
      <c r="V258" s="150">
        <v>175519.38</v>
      </c>
      <c r="W258" s="151">
        <v>23683.84</v>
      </c>
    </row>
    <row r="259" spans="1:23" ht="15" customHeight="1" x14ac:dyDescent="0.25">
      <c r="A259" s="148" t="s">
        <v>2437</v>
      </c>
      <c r="B259" s="148" t="s">
        <v>2473</v>
      </c>
      <c r="C259" s="143" t="s">
        <v>2504</v>
      </c>
      <c r="D259" s="143" t="s">
        <v>2504</v>
      </c>
      <c r="E259" s="143" t="s">
        <v>2504</v>
      </c>
      <c r="F259" s="143" t="s">
        <v>2504</v>
      </c>
      <c r="G259" s="143" t="s">
        <v>2504</v>
      </c>
      <c r="H259" s="143" t="s">
        <v>2504</v>
      </c>
      <c r="I259" s="143" t="str">
        <f t="shared" si="41"/>
        <v>NO EXISTE</v>
      </c>
      <c r="J259" s="143" t="str">
        <f t="shared" si="42"/>
        <v>NO EXISTE</v>
      </c>
      <c r="K259" s="143" t="str">
        <f t="shared" si="43"/>
        <v>NO EXISTE</v>
      </c>
      <c r="L259" s="143" t="str">
        <f t="shared" si="44"/>
        <v>NO EXISTE</v>
      </c>
      <c r="M259" s="143" t="str">
        <f t="shared" si="45"/>
        <v>NO EXISTE</v>
      </c>
      <c r="N259" s="143" t="str">
        <f t="shared" si="46"/>
        <v>NO EXISTE</v>
      </c>
      <c r="O259" s="143" t="str">
        <f t="shared" si="47"/>
        <v>NO EXISTE</v>
      </c>
      <c r="P259" s="143" t="str">
        <f t="shared" si="48"/>
        <v>NO EXISTE</v>
      </c>
      <c r="Q259" s="148" t="s">
        <v>2474</v>
      </c>
      <c r="R259" s="148" t="s">
        <v>606</v>
      </c>
      <c r="S259" s="148" t="s">
        <v>2475</v>
      </c>
      <c r="T259" s="149">
        <v>200</v>
      </c>
      <c r="U259" s="148" t="s">
        <v>591</v>
      </c>
      <c r="V259" s="150">
        <v>28863.08</v>
      </c>
      <c r="W259" s="151">
        <f>V259*1000</f>
        <v>28863080</v>
      </c>
    </row>
    <row r="260" spans="1:23" ht="15" customHeight="1" x14ac:dyDescent="0.25">
      <c r="A260" s="148" t="s">
        <v>2437</v>
      </c>
      <c r="B260" s="148" t="s">
        <v>2476</v>
      </c>
      <c r="C260" s="143" t="s">
        <v>2504</v>
      </c>
      <c r="D260" s="143" t="s">
        <v>2504</v>
      </c>
      <c r="E260" s="143" t="s">
        <v>2504</v>
      </c>
      <c r="F260" s="143" t="s">
        <v>2504</v>
      </c>
      <c r="G260" s="143" t="s">
        <v>2504</v>
      </c>
      <c r="H260" s="143" t="s">
        <v>2504</v>
      </c>
      <c r="I260" s="143" t="str">
        <f t="shared" si="41"/>
        <v>NO EXISTE</v>
      </c>
      <c r="J260" s="143" t="str">
        <f t="shared" si="42"/>
        <v>NO EXISTE</v>
      </c>
      <c r="K260" s="143" t="str">
        <f t="shared" si="43"/>
        <v>NO EXISTE</v>
      </c>
      <c r="L260" s="143" t="str">
        <f t="shared" si="44"/>
        <v>NO EXISTE</v>
      </c>
      <c r="M260" s="143" t="str">
        <f t="shared" si="45"/>
        <v>NO EXISTE</v>
      </c>
      <c r="N260" s="143" t="str">
        <f t="shared" si="46"/>
        <v>NO EXISTE</v>
      </c>
      <c r="O260" s="143" t="str">
        <f t="shared" si="47"/>
        <v>NO EXISTE</v>
      </c>
      <c r="P260" s="143" t="str">
        <f t="shared" si="48"/>
        <v>NO EXISTE</v>
      </c>
      <c r="Q260" s="148" t="s">
        <v>2477</v>
      </c>
      <c r="R260" s="148" t="s">
        <v>594</v>
      </c>
      <c r="S260" s="148" t="s">
        <v>2257</v>
      </c>
      <c r="T260" s="149">
        <v>200</v>
      </c>
      <c r="U260" s="148" t="s">
        <v>591</v>
      </c>
      <c r="V260" s="150">
        <v>38764.86</v>
      </c>
      <c r="W260" s="151">
        <v>1734.71</v>
      </c>
    </row>
    <row r="261" spans="1:23" ht="15" customHeight="1" x14ac:dyDescent="0.25">
      <c r="A261" s="148" t="s">
        <v>2437</v>
      </c>
      <c r="B261" s="148" t="s">
        <v>2482</v>
      </c>
      <c r="C261" s="143" t="s">
        <v>2504</v>
      </c>
      <c r="D261" s="143" t="s">
        <v>2504</v>
      </c>
      <c r="E261" s="143" t="s">
        <v>2504</v>
      </c>
      <c r="F261" s="143" t="s">
        <v>2504</v>
      </c>
      <c r="G261" s="143" t="s">
        <v>2504</v>
      </c>
      <c r="H261" s="143" t="s">
        <v>2504</v>
      </c>
      <c r="I261" s="143" t="str">
        <f t="shared" si="41"/>
        <v>NO EXISTE</v>
      </c>
      <c r="J261" s="143" t="str">
        <f t="shared" si="42"/>
        <v>NO EXISTE</v>
      </c>
      <c r="K261" s="143" t="str">
        <f t="shared" si="43"/>
        <v>NO EXISTE</v>
      </c>
      <c r="L261" s="143" t="str">
        <f t="shared" si="44"/>
        <v>NO EXISTE</v>
      </c>
      <c r="M261" s="143" t="str">
        <f t="shared" si="45"/>
        <v>NO EXISTE</v>
      </c>
      <c r="N261" s="143" t="str">
        <f t="shared" si="46"/>
        <v>NO EXISTE</v>
      </c>
      <c r="O261" s="143" t="str">
        <f t="shared" si="47"/>
        <v>NO EXISTE</v>
      </c>
      <c r="P261" s="143" t="str">
        <f t="shared" si="48"/>
        <v>NO EXISTE</v>
      </c>
      <c r="Q261" s="148" t="s">
        <v>2483</v>
      </c>
      <c r="R261" s="148" t="s">
        <v>630</v>
      </c>
      <c r="S261" s="148" t="s">
        <v>631</v>
      </c>
      <c r="T261" s="149">
        <v>1</v>
      </c>
      <c r="U261" s="148" t="s">
        <v>591</v>
      </c>
      <c r="V261" s="150">
        <v>87.18</v>
      </c>
      <c r="W261" s="151">
        <v>1979.93</v>
      </c>
    </row>
    <row r="262" spans="1:23" ht="15" customHeight="1" x14ac:dyDescent="0.25">
      <c r="A262" s="148" t="s">
        <v>2437</v>
      </c>
      <c r="B262" s="148" t="s">
        <v>2484</v>
      </c>
      <c r="C262" s="143" t="s">
        <v>2504</v>
      </c>
      <c r="D262" s="143" t="s">
        <v>2504</v>
      </c>
      <c r="E262" s="143" t="s">
        <v>2504</v>
      </c>
      <c r="F262" s="143" t="s">
        <v>2504</v>
      </c>
      <c r="G262" s="143" t="s">
        <v>2504</v>
      </c>
      <c r="H262" s="143" t="s">
        <v>2504</v>
      </c>
      <c r="I262" s="143" t="str">
        <f t="shared" si="41"/>
        <v>NO EXISTE</v>
      </c>
      <c r="J262" s="143" t="str">
        <f t="shared" si="42"/>
        <v>NO EXISTE</v>
      </c>
      <c r="K262" s="143" t="str">
        <f t="shared" si="43"/>
        <v>NO EXISTE</v>
      </c>
      <c r="L262" s="143" t="str">
        <f t="shared" si="44"/>
        <v>NO EXISTE</v>
      </c>
      <c r="M262" s="143" t="str">
        <f t="shared" si="45"/>
        <v>NO EXISTE</v>
      </c>
      <c r="N262" s="143" t="str">
        <f t="shared" si="46"/>
        <v>NO EXISTE</v>
      </c>
      <c r="O262" s="143" t="str">
        <f t="shared" si="47"/>
        <v>NO EXISTE</v>
      </c>
      <c r="P262" s="143" t="str">
        <f t="shared" si="48"/>
        <v>NO EXISTE</v>
      </c>
      <c r="Q262" s="148" t="s">
        <v>2485</v>
      </c>
      <c r="R262" s="148" t="s">
        <v>606</v>
      </c>
      <c r="S262" s="148" t="s">
        <v>607</v>
      </c>
      <c r="T262" s="149">
        <v>1</v>
      </c>
      <c r="U262" s="148" t="s">
        <v>591</v>
      </c>
      <c r="V262" s="150">
        <v>110.82</v>
      </c>
      <c r="W262" s="151">
        <v>792.14</v>
      </c>
    </row>
    <row r="263" spans="1:23" ht="15" customHeight="1" x14ac:dyDescent="0.25">
      <c r="A263" s="148" t="s">
        <v>2437</v>
      </c>
      <c r="B263" s="148" t="s">
        <v>2486</v>
      </c>
      <c r="C263" s="143" t="s">
        <v>2504</v>
      </c>
      <c r="D263" s="143" t="s">
        <v>2504</v>
      </c>
      <c r="E263" s="143" t="s">
        <v>2504</v>
      </c>
      <c r="F263" s="143" t="s">
        <v>2504</v>
      </c>
      <c r="G263" s="143" t="s">
        <v>2504</v>
      </c>
      <c r="H263" s="143" t="s">
        <v>2504</v>
      </c>
      <c r="I263" s="143" t="str">
        <f t="shared" si="41"/>
        <v>NO EXISTE</v>
      </c>
      <c r="J263" s="143" t="str">
        <f t="shared" si="42"/>
        <v>NO EXISTE</v>
      </c>
      <c r="K263" s="143" t="str">
        <f t="shared" si="43"/>
        <v>NO EXISTE</v>
      </c>
      <c r="L263" s="143" t="str">
        <f t="shared" si="44"/>
        <v>NO EXISTE</v>
      </c>
      <c r="M263" s="143" t="str">
        <f t="shared" si="45"/>
        <v>NO EXISTE</v>
      </c>
      <c r="N263" s="143" t="str">
        <f t="shared" si="46"/>
        <v>NO EXISTE</v>
      </c>
      <c r="O263" s="143" t="str">
        <f t="shared" si="47"/>
        <v>NO EXISTE</v>
      </c>
      <c r="P263" s="143" t="str">
        <f t="shared" si="48"/>
        <v>NO EXISTE</v>
      </c>
      <c r="Q263" s="148" t="s">
        <v>2487</v>
      </c>
      <c r="R263" s="148" t="s">
        <v>705</v>
      </c>
      <c r="S263" s="148" t="s">
        <v>2026</v>
      </c>
      <c r="T263" s="149">
        <v>16</v>
      </c>
      <c r="U263" s="148" t="s">
        <v>591</v>
      </c>
      <c r="V263" s="150">
        <v>3880.43</v>
      </c>
      <c r="W263" s="151">
        <v>793.04</v>
      </c>
    </row>
    <row r="264" spans="1:23" ht="15" customHeight="1" x14ac:dyDescent="0.25">
      <c r="A264" s="148" t="s">
        <v>2437</v>
      </c>
      <c r="B264" s="148" t="s">
        <v>2488</v>
      </c>
      <c r="C264" s="143" t="s">
        <v>2504</v>
      </c>
      <c r="D264" s="143" t="s">
        <v>2504</v>
      </c>
      <c r="E264" s="143" t="s">
        <v>2504</v>
      </c>
      <c r="F264" s="143" t="s">
        <v>2504</v>
      </c>
      <c r="G264" s="143" t="s">
        <v>2504</v>
      </c>
      <c r="H264" s="143" t="s">
        <v>2504</v>
      </c>
      <c r="I264" s="143" t="str">
        <f t="shared" si="41"/>
        <v>NO EXISTE</v>
      </c>
      <c r="J264" s="143" t="str">
        <f t="shared" si="42"/>
        <v>NO EXISTE</v>
      </c>
      <c r="K264" s="143" t="str">
        <f t="shared" si="43"/>
        <v>NO EXISTE</v>
      </c>
      <c r="L264" s="143" t="str">
        <f t="shared" si="44"/>
        <v>NO EXISTE</v>
      </c>
      <c r="M264" s="143" t="str">
        <f t="shared" si="45"/>
        <v>NO EXISTE</v>
      </c>
      <c r="N264" s="143" t="str">
        <f t="shared" si="46"/>
        <v>NO EXISTE</v>
      </c>
      <c r="O264" s="143" t="str">
        <f t="shared" si="47"/>
        <v>NO EXISTE</v>
      </c>
      <c r="P264" s="143" t="str">
        <f t="shared" si="48"/>
        <v>NO EXISTE</v>
      </c>
      <c r="Q264" s="148" t="s">
        <v>2489</v>
      </c>
      <c r="R264" s="148" t="s">
        <v>1025</v>
      </c>
      <c r="S264" s="148" t="s">
        <v>1206</v>
      </c>
      <c r="T264" s="149">
        <v>200</v>
      </c>
      <c r="U264" s="148" t="s">
        <v>591</v>
      </c>
      <c r="V264" s="150">
        <v>32490.44</v>
      </c>
      <c r="W264" s="151">
        <v>9109.77</v>
      </c>
    </row>
    <row r="265" spans="1:23" ht="15" customHeight="1" x14ac:dyDescent="0.25">
      <c r="A265" s="148" t="s">
        <v>2437</v>
      </c>
      <c r="B265" s="148" t="s">
        <v>2491</v>
      </c>
      <c r="C265" s="143" t="s">
        <v>2504</v>
      </c>
      <c r="D265" s="143" t="s">
        <v>2504</v>
      </c>
      <c r="E265" s="143" t="s">
        <v>2504</v>
      </c>
      <c r="F265" s="143" t="s">
        <v>2504</v>
      </c>
      <c r="G265" s="143" t="s">
        <v>2504</v>
      </c>
      <c r="H265" s="143" t="s">
        <v>2504</v>
      </c>
      <c r="I265" s="143" t="str">
        <f t="shared" si="41"/>
        <v>NO EXISTE</v>
      </c>
      <c r="J265" s="143" t="str">
        <f t="shared" si="42"/>
        <v>NO EXISTE</v>
      </c>
      <c r="K265" s="143" t="str">
        <f t="shared" si="43"/>
        <v>NO EXISTE</v>
      </c>
      <c r="L265" s="143" t="str">
        <f t="shared" si="44"/>
        <v>NO EXISTE</v>
      </c>
      <c r="M265" s="143" t="str">
        <f t="shared" si="45"/>
        <v>NO EXISTE</v>
      </c>
      <c r="N265" s="143" t="str">
        <f t="shared" si="46"/>
        <v>NO EXISTE</v>
      </c>
      <c r="O265" s="143" t="str">
        <f t="shared" si="47"/>
        <v>NO EXISTE</v>
      </c>
      <c r="P265" s="143" t="str">
        <f t="shared" si="48"/>
        <v>NO EXISTE</v>
      </c>
      <c r="Q265" s="148" t="s">
        <v>2492</v>
      </c>
      <c r="R265" s="148" t="s">
        <v>606</v>
      </c>
      <c r="S265" s="148" t="s">
        <v>607</v>
      </c>
      <c r="T265" s="149">
        <v>1</v>
      </c>
      <c r="U265" s="148" t="s">
        <v>591</v>
      </c>
      <c r="V265" s="150">
        <v>115.7</v>
      </c>
      <c r="W265" s="151">
        <f>V265*1000</f>
        <v>115700</v>
      </c>
    </row>
    <row r="266" spans="1:23" ht="15" customHeight="1" x14ac:dyDescent="0.25">
      <c r="A266" s="148" t="s">
        <v>2437</v>
      </c>
      <c r="B266" s="148" t="s">
        <v>2493</v>
      </c>
      <c r="C266" s="143" t="s">
        <v>2504</v>
      </c>
      <c r="D266" s="143" t="s">
        <v>2504</v>
      </c>
      <c r="E266" s="143" t="s">
        <v>2504</v>
      </c>
      <c r="F266" s="143" t="s">
        <v>2504</v>
      </c>
      <c r="G266" s="143" t="s">
        <v>2504</v>
      </c>
      <c r="H266" s="143" t="s">
        <v>2504</v>
      </c>
      <c r="I266" s="143" t="str">
        <f t="shared" si="41"/>
        <v>NO EXISTE</v>
      </c>
      <c r="J266" s="143" t="str">
        <f t="shared" si="42"/>
        <v>NO EXISTE</v>
      </c>
      <c r="K266" s="143" t="str">
        <f t="shared" si="43"/>
        <v>NO EXISTE</v>
      </c>
      <c r="L266" s="143" t="str">
        <f t="shared" si="44"/>
        <v>NO EXISTE</v>
      </c>
      <c r="M266" s="143" t="str">
        <f t="shared" si="45"/>
        <v>NO EXISTE</v>
      </c>
      <c r="N266" s="143" t="str">
        <f t="shared" si="46"/>
        <v>NO EXISTE</v>
      </c>
      <c r="O266" s="143" t="str">
        <f t="shared" si="47"/>
        <v>NO EXISTE</v>
      </c>
      <c r="P266" s="143" t="str">
        <f t="shared" si="48"/>
        <v>NO EXISTE</v>
      </c>
      <c r="Q266" s="148" t="s">
        <v>2494</v>
      </c>
      <c r="R266" s="148" t="s">
        <v>594</v>
      </c>
      <c r="S266" s="148" t="s">
        <v>595</v>
      </c>
      <c r="T266" s="149">
        <v>4</v>
      </c>
      <c r="U266" s="148" t="s">
        <v>591</v>
      </c>
      <c r="V266" s="150">
        <v>349.16</v>
      </c>
      <c r="W266" s="151">
        <v>4142.5</v>
      </c>
    </row>
    <row r="267" spans="1:23" ht="15" customHeight="1" x14ac:dyDescent="0.25">
      <c r="A267" s="148" t="s">
        <v>2437</v>
      </c>
      <c r="B267" s="148" t="s">
        <v>2495</v>
      </c>
      <c r="C267" s="143" t="s">
        <v>2504</v>
      </c>
      <c r="D267" s="143" t="s">
        <v>2504</v>
      </c>
      <c r="E267" s="143" t="s">
        <v>2504</v>
      </c>
      <c r="F267" s="143" t="s">
        <v>2504</v>
      </c>
      <c r="G267" s="143" t="s">
        <v>2504</v>
      </c>
      <c r="H267" s="143" t="s">
        <v>2504</v>
      </c>
      <c r="I267" s="143" t="str">
        <f t="shared" si="41"/>
        <v>NO EXISTE</v>
      </c>
      <c r="J267" s="143" t="str">
        <f t="shared" si="42"/>
        <v>NO EXISTE</v>
      </c>
      <c r="K267" s="143" t="str">
        <f t="shared" si="43"/>
        <v>NO EXISTE</v>
      </c>
      <c r="L267" s="143" t="str">
        <f t="shared" si="44"/>
        <v>NO EXISTE</v>
      </c>
      <c r="M267" s="143" t="str">
        <f t="shared" si="45"/>
        <v>NO EXISTE</v>
      </c>
      <c r="N267" s="143" t="str">
        <f t="shared" si="46"/>
        <v>NO EXISTE</v>
      </c>
      <c r="O267" s="143" t="str">
        <f t="shared" si="47"/>
        <v>NO EXISTE</v>
      </c>
      <c r="P267" s="143" t="str">
        <f t="shared" si="48"/>
        <v>NO EXISTE</v>
      </c>
      <c r="Q267" s="148" t="s">
        <v>2496</v>
      </c>
      <c r="R267" s="148" t="s">
        <v>600</v>
      </c>
      <c r="S267" s="148" t="s">
        <v>1078</v>
      </c>
      <c r="T267" s="149">
        <v>200</v>
      </c>
      <c r="U267" s="148" t="s">
        <v>591</v>
      </c>
      <c r="V267" s="150">
        <v>23379.9</v>
      </c>
      <c r="W267" s="151">
        <v>43508.17</v>
      </c>
    </row>
    <row r="268" spans="1:23" ht="15" customHeight="1" x14ac:dyDescent="0.25">
      <c r="A268" s="148" t="s">
        <v>2437</v>
      </c>
      <c r="B268" s="148" t="s">
        <v>2497</v>
      </c>
      <c r="C268" s="143" t="s">
        <v>2504</v>
      </c>
      <c r="D268" s="143" t="s">
        <v>2504</v>
      </c>
      <c r="E268" s="143" t="s">
        <v>2504</v>
      </c>
      <c r="F268" s="143" t="s">
        <v>2504</v>
      </c>
      <c r="G268" s="143" t="s">
        <v>2504</v>
      </c>
      <c r="H268" s="143" t="s">
        <v>2504</v>
      </c>
      <c r="I268" s="143" t="str">
        <f t="shared" si="41"/>
        <v>NO EXISTE</v>
      </c>
      <c r="J268" s="143" t="str">
        <f t="shared" si="42"/>
        <v>NO EXISTE</v>
      </c>
      <c r="K268" s="143" t="str">
        <f t="shared" si="43"/>
        <v>NO EXISTE</v>
      </c>
      <c r="L268" s="143" t="str">
        <f t="shared" si="44"/>
        <v>NO EXISTE</v>
      </c>
      <c r="M268" s="143" t="str">
        <f t="shared" si="45"/>
        <v>NO EXISTE</v>
      </c>
      <c r="N268" s="143" t="str">
        <f t="shared" si="46"/>
        <v>NO EXISTE</v>
      </c>
      <c r="O268" s="143" t="str">
        <f t="shared" si="47"/>
        <v>NO EXISTE</v>
      </c>
      <c r="P268" s="143" t="str">
        <f t="shared" si="48"/>
        <v>NO EXISTE</v>
      </c>
      <c r="Q268" s="148" t="s">
        <v>2498</v>
      </c>
      <c r="R268" s="148" t="s">
        <v>1025</v>
      </c>
      <c r="S268" s="148" t="s">
        <v>2499</v>
      </c>
      <c r="T268" s="149">
        <v>1</v>
      </c>
      <c r="U268" s="148" t="s">
        <v>591</v>
      </c>
      <c r="V268" s="150">
        <v>66.930000000000007</v>
      </c>
      <c r="W268" s="151">
        <f t="shared" ref="W268:W274" si="49">V268*1000</f>
        <v>66930</v>
      </c>
    </row>
    <row r="269" spans="1:23" ht="15" customHeight="1" x14ac:dyDescent="0.25">
      <c r="A269" s="148">
        <v>670</v>
      </c>
      <c r="B269" s="148" t="s">
        <v>932</v>
      </c>
      <c r="C269" s="143" t="s">
        <v>2504</v>
      </c>
      <c r="D269" s="143" t="s">
        <v>2504</v>
      </c>
      <c r="E269" s="143" t="s">
        <v>2504</v>
      </c>
      <c r="F269" s="143" t="s">
        <v>2504</v>
      </c>
      <c r="G269" s="143" t="s">
        <v>2504</v>
      </c>
      <c r="H269" s="143" t="s">
        <v>2504</v>
      </c>
      <c r="I269" s="143" t="str">
        <f t="shared" si="41"/>
        <v>NO EXISTE</v>
      </c>
      <c r="J269" s="143" t="str">
        <f t="shared" si="42"/>
        <v>NO EXISTE</v>
      </c>
      <c r="K269" s="143" t="str">
        <f t="shared" si="43"/>
        <v>NO EXISTE</v>
      </c>
      <c r="L269" s="143" t="str">
        <f t="shared" si="44"/>
        <v>NO EXISTE</v>
      </c>
      <c r="M269" s="143" t="str">
        <f t="shared" si="45"/>
        <v>NO EXISTE</v>
      </c>
      <c r="N269" s="143" t="str">
        <f t="shared" si="46"/>
        <v>NO EXISTE</v>
      </c>
      <c r="O269" s="143" t="str">
        <f t="shared" si="47"/>
        <v>NO EXISTE</v>
      </c>
      <c r="P269" s="143" t="str">
        <f t="shared" si="48"/>
        <v>NO EXISTE</v>
      </c>
      <c r="Q269" s="303" t="s">
        <v>933</v>
      </c>
      <c r="R269" s="148" t="s">
        <v>600</v>
      </c>
      <c r="S269" s="148" t="s">
        <v>934</v>
      </c>
      <c r="T269" s="149">
        <v>0.31</v>
      </c>
      <c r="U269" s="148" t="s">
        <v>935</v>
      </c>
      <c r="V269" s="150">
        <v>52.68</v>
      </c>
      <c r="W269" s="151">
        <f t="shared" si="49"/>
        <v>52680</v>
      </c>
    </row>
    <row r="270" spans="1:23" ht="15" customHeight="1" x14ac:dyDescent="0.25">
      <c r="A270" s="148">
        <v>10772</v>
      </c>
      <c r="B270" s="148" t="s">
        <v>1850</v>
      </c>
      <c r="C270" s="143" t="s">
        <v>2504</v>
      </c>
      <c r="D270" s="143" t="s">
        <v>2504</v>
      </c>
      <c r="E270" s="143" t="s">
        <v>2504</v>
      </c>
      <c r="F270" s="143" t="s">
        <v>2504</v>
      </c>
      <c r="G270" s="143" t="s">
        <v>2504</v>
      </c>
      <c r="H270" s="143" t="s">
        <v>2504</v>
      </c>
      <c r="I270" s="143" t="str">
        <f t="shared" si="41"/>
        <v>NO EXISTE</v>
      </c>
      <c r="J270" s="143" t="str">
        <f t="shared" si="42"/>
        <v>NO EXISTE</v>
      </c>
      <c r="K270" s="143" t="str">
        <f t="shared" si="43"/>
        <v>NO EXISTE</v>
      </c>
      <c r="L270" s="143" t="str">
        <f t="shared" si="44"/>
        <v>NO EXISTE</v>
      </c>
      <c r="M270" s="143" t="str">
        <f t="shared" si="45"/>
        <v>NO EXISTE</v>
      </c>
      <c r="N270" s="143" t="str">
        <f t="shared" si="46"/>
        <v>NO EXISTE</v>
      </c>
      <c r="O270" s="143" t="str">
        <f t="shared" si="47"/>
        <v>NO EXISTE</v>
      </c>
      <c r="P270" s="143" t="str">
        <f t="shared" si="48"/>
        <v>NO EXISTE</v>
      </c>
      <c r="Q270" s="303" t="s">
        <v>1851</v>
      </c>
      <c r="R270" s="148" t="s">
        <v>1025</v>
      </c>
      <c r="S270" s="148" t="s">
        <v>1817</v>
      </c>
      <c r="T270" s="149">
        <v>200</v>
      </c>
      <c r="U270" s="148" t="s">
        <v>935</v>
      </c>
      <c r="V270" s="150">
        <v>17776.18</v>
      </c>
      <c r="W270" s="151">
        <f t="shared" si="49"/>
        <v>17776180</v>
      </c>
    </row>
    <row r="271" spans="1:23" ht="15" customHeight="1" x14ac:dyDescent="0.25">
      <c r="A271" s="148">
        <v>16921</v>
      </c>
      <c r="B271" s="148" t="s">
        <v>2407</v>
      </c>
      <c r="C271" s="143" t="s">
        <v>2504</v>
      </c>
      <c r="D271" s="143" t="s">
        <v>2504</v>
      </c>
      <c r="E271" s="143" t="s">
        <v>2504</v>
      </c>
      <c r="F271" s="143" t="s">
        <v>2504</v>
      </c>
      <c r="G271" s="143" t="s">
        <v>2504</v>
      </c>
      <c r="H271" s="143" t="s">
        <v>2504</v>
      </c>
      <c r="I271" s="143" t="str">
        <f t="shared" si="41"/>
        <v>NO EXISTE</v>
      </c>
      <c r="J271" s="143" t="str">
        <f t="shared" si="42"/>
        <v>NO EXISTE</v>
      </c>
      <c r="K271" s="143" t="str">
        <f t="shared" si="43"/>
        <v>NO EXISTE</v>
      </c>
      <c r="L271" s="143" t="str">
        <f t="shared" si="44"/>
        <v>NO EXISTE</v>
      </c>
      <c r="M271" s="143" t="str">
        <f t="shared" si="45"/>
        <v>NO EXISTE</v>
      </c>
      <c r="N271" s="143" t="str">
        <f t="shared" si="46"/>
        <v>NO EXISTE</v>
      </c>
      <c r="O271" s="143" t="str">
        <f t="shared" si="47"/>
        <v>NO EXISTE</v>
      </c>
      <c r="P271" s="143" t="str">
        <f t="shared" si="48"/>
        <v>NO EXISTE</v>
      </c>
      <c r="Q271" s="303" t="s">
        <v>2408</v>
      </c>
      <c r="R271" s="148" t="s">
        <v>594</v>
      </c>
      <c r="S271" s="148" t="s">
        <v>2406</v>
      </c>
      <c r="T271" s="149">
        <v>0.95</v>
      </c>
      <c r="U271" s="148" t="s">
        <v>935</v>
      </c>
      <c r="V271" s="150">
        <v>112.11</v>
      </c>
      <c r="W271" s="151">
        <f t="shared" si="49"/>
        <v>112110</v>
      </c>
    </row>
    <row r="272" spans="1:23" ht="15" customHeight="1" x14ac:dyDescent="0.25">
      <c r="A272" s="148">
        <v>11</v>
      </c>
      <c r="B272" s="148" t="s">
        <v>592</v>
      </c>
      <c r="C272" s="143" t="s">
        <v>2504</v>
      </c>
      <c r="D272" s="143" t="s">
        <v>2504</v>
      </c>
      <c r="E272" s="143" t="s">
        <v>2504</v>
      </c>
      <c r="F272" s="143" t="s">
        <v>2504</v>
      </c>
      <c r="G272" s="143" t="s">
        <v>2504</v>
      </c>
      <c r="H272" s="143" t="s">
        <v>2504</v>
      </c>
      <c r="I272" s="143" t="str">
        <f t="shared" si="41"/>
        <v>NO EXISTE</v>
      </c>
      <c r="J272" s="143" t="str">
        <f t="shared" si="42"/>
        <v>NO EXISTE</v>
      </c>
      <c r="K272" s="143" t="str">
        <f t="shared" si="43"/>
        <v>NO EXISTE</v>
      </c>
      <c r="L272" s="143" t="str">
        <f t="shared" si="44"/>
        <v>NO EXISTE</v>
      </c>
      <c r="M272" s="143" t="str">
        <f t="shared" si="45"/>
        <v>NO EXISTE</v>
      </c>
      <c r="N272" s="143" t="str">
        <f t="shared" si="46"/>
        <v>NO EXISTE</v>
      </c>
      <c r="O272" s="143" t="str">
        <f t="shared" si="47"/>
        <v>NO EXISTE</v>
      </c>
      <c r="P272" s="143" t="str">
        <f t="shared" si="48"/>
        <v>NO EXISTE</v>
      </c>
      <c r="Q272" s="302" t="s">
        <v>593</v>
      </c>
      <c r="R272" s="148" t="s">
        <v>594</v>
      </c>
      <c r="S272" s="148" t="s">
        <v>595</v>
      </c>
      <c r="T272" s="149">
        <v>0.95</v>
      </c>
      <c r="U272" s="148" t="s">
        <v>596</v>
      </c>
      <c r="V272" s="150">
        <v>101.1</v>
      </c>
      <c r="W272" s="151">
        <f t="shared" si="49"/>
        <v>101100</v>
      </c>
    </row>
    <row r="273" spans="1:23" ht="15" customHeight="1" x14ac:dyDescent="0.25">
      <c r="A273" s="148">
        <v>20</v>
      </c>
      <c r="B273" s="148" t="s">
        <v>602</v>
      </c>
      <c r="C273" s="143" t="s">
        <v>2504</v>
      </c>
      <c r="D273" s="143" t="s">
        <v>2504</v>
      </c>
      <c r="E273" s="143" t="s">
        <v>2504</v>
      </c>
      <c r="F273" s="143" t="s">
        <v>2504</v>
      </c>
      <c r="G273" s="143" t="s">
        <v>2504</v>
      </c>
      <c r="H273" s="143" t="s">
        <v>2504</v>
      </c>
      <c r="I273" s="143" t="str">
        <f t="shared" si="41"/>
        <v>NO EXISTE</v>
      </c>
      <c r="J273" s="143" t="str">
        <f t="shared" si="42"/>
        <v>NO EXISTE</v>
      </c>
      <c r="K273" s="143" t="str">
        <f t="shared" si="43"/>
        <v>NO EXISTE</v>
      </c>
      <c r="L273" s="143" t="str">
        <f t="shared" si="44"/>
        <v>NO EXISTE</v>
      </c>
      <c r="M273" s="143" t="str">
        <f t="shared" si="45"/>
        <v>NO EXISTE</v>
      </c>
      <c r="N273" s="143" t="str">
        <f t="shared" si="46"/>
        <v>NO EXISTE</v>
      </c>
      <c r="O273" s="143" t="str">
        <f t="shared" si="47"/>
        <v>NO EXISTE</v>
      </c>
      <c r="P273" s="143" t="str">
        <f t="shared" si="48"/>
        <v>NO EXISTE</v>
      </c>
      <c r="Q273" s="302" t="s">
        <v>603</v>
      </c>
      <c r="R273" s="148" t="s">
        <v>594</v>
      </c>
      <c r="S273" s="148" t="s">
        <v>604</v>
      </c>
      <c r="T273" s="149">
        <v>0.95</v>
      </c>
      <c r="U273" s="148" t="s">
        <v>596</v>
      </c>
      <c r="V273" s="150">
        <v>113.22</v>
      </c>
      <c r="W273" s="151">
        <f t="shared" si="49"/>
        <v>113220</v>
      </c>
    </row>
    <row r="274" spans="1:23" ht="15" customHeight="1" x14ac:dyDescent="0.25">
      <c r="A274" s="148">
        <v>45</v>
      </c>
      <c r="B274" s="148" t="s">
        <v>609</v>
      </c>
      <c r="C274" s="143" t="s">
        <v>2504</v>
      </c>
      <c r="D274" s="143" t="s">
        <v>2504</v>
      </c>
      <c r="E274" s="143" t="s">
        <v>2504</v>
      </c>
      <c r="F274" s="143" t="s">
        <v>2504</v>
      </c>
      <c r="G274" s="143" t="s">
        <v>2504</v>
      </c>
      <c r="H274" s="143" t="s">
        <v>2504</v>
      </c>
      <c r="I274" s="143" t="str">
        <f t="shared" si="41"/>
        <v>NO EXISTE</v>
      </c>
      <c r="J274" s="143" t="str">
        <f t="shared" si="42"/>
        <v>NO EXISTE</v>
      </c>
      <c r="K274" s="143" t="str">
        <f t="shared" si="43"/>
        <v>NO EXISTE</v>
      </c>
      <c r="L274" s="143" t="str">
        <f t="shared" si="44"/>
        <v>NO EXISTE</v>
      </c>
      <c r="M274" s="143" t="str">
        <f t="shared" si="45"/>
        <v>NO EXISTE</v>
      </c>
      <c r="N274" s="143" t="str">
        <f t="shared" si="46"/>
        <v>NO EXISTE</v>
      </c>
      <c r="O274" s="143" t="str">
        <f t="shared" si="47"/>
        <v>NO EXISTE</v>
      </c>
      <c r="P274" s="143" t="str">
        <f t="shared" si="48"/>
        <v>NO EXISTE</v>
      </c>
      <c r="Q274" s="302" t="s">
        <v>610</v>
      </c>
      <c r="R274" s="148" t="s">
        <v>594</v>
      </c>
      <c r="S274" s="148" t="s">
        <v>604</v>
      </c>
      <c r="T274" s="149">
        <v>3.8</v>
      </c>
      <c r="U274" s="148" t="s">
        <v>596</v>
      </c>
      <c r="V274" s="150">
        <v>412.42</v>
      </c>
      <c r="W274" s="151">
        <f t="shared" si="49"/>
        <v>412420</v>
      </c>
    </row>
    <row r="275" spans="1:23" ht="15" customHeight="1" x14ac:dyDescent="0.25">
      <c r="A275" s="148">
        <v>51</v>
      </c>
      <c r="B275" s="148" t="s">
        <v>619</v>
      </c>
      <c r="C275" s="143" t="s">
        <v>2504</v>
      </c>
      <c r="D275" s="143" t="s">
        <v>2504</v>
      </c>
      <c r="E275" s="143" t="s">
        <v>2504</v>
      </c>
      <c r="F275" s="143" t="s">
        <v>2504</v>
      </c>
      <c r="G275" s="143" t="s">
        <v>2504</v>
      </c>
      <c r="H275" s="143" t="s">
        <v>2504</v>
      </c>
      <c r="I275" s="143" t="str">
        <f t="shared" si="41"/>
        <v>NO EXISTE</v>
      </c>
      <c r="J275" s="143" t="str">
        <f t="shared" si="42"/>
        <v>NO EXISTE</v>
      </c>
      <c r="K275" s="143" t="str">
        <f t="shared" si="43"/>
        <v>NO EXISTE</v>
      </c>
      <c r="L275" s="143" t="str">
        <f t="shared" si="44"/>
        <v>NO EXISTE</v>
      </c>
      <c r="M275" s="143" t="str">
        <f t="shared" si="45"/>
        <v>NO EXISTE</v>
      </c>
      <c r="N275" s="143" t="str">
        <f t="shared" si="46"/>
        <v>NO EXISTE</v>
      </c>
      <c r="O275" s="143" t="str">
        <f t="shared" si="47"/>
        <v>NO EXISTE</v>
      </c>
      <c r="P275" s="143" t="str">
        <f t="shared" si="48"/>
        <v>NO EXISTE</v>
      </c>
      <c r="Q275" s="302" t="s">
        <v>620</v>
      </c>
      <c r="R275" s="148" t="s">
        <v>594</v>
      </c>
      <c r="S275" s="148" t="s">
        <v>604</v>
      </c>
      <c r="T275" s="149">
        <v>3.8</v>
      </c>
      <c r="U275" s="148" t="s">
        <v>596</v>
      </c>
      <c r="V275" s="150">
        <v>421.9</v>
      </c>
      <c r="W275" s="151">
        <v>21618.13</v>
      </c>
    </row>
    <row r="276" spans="1:23" ht="15" customHeight="1" x14ac:dyDescent="0.25">
      <c r="A276" s="148">
        <v>57</v>
      </c>
      <c r="B276" s="148" t="s">
        <v>622</v>
      </c>
      <c r="C276" s="143" t="s">
        <v>2504</v>
      </c>
      <c r="D276" s="143" t="s">
        <v>2504</v>
      </c>
      <c r="E276" s="143" t="s">
        <v>2504</v>
      </c>
      <c r="F276" s="143" t="s">
        <v>2504</v>
      </c>
      <c r="G276" s="143" t="s">
        <v>2504</v>
      </c>
      <c r="H276" s="143" t="s">
        <v>2504</v>
      </c>
      <c r="I276" s="143" t="str">
        <f t="shared" si="41"/>
        <v>NO EXISTE</v>
      </c>
      <c r="J276" s="143" t="str">
        <f t="shared" si="42"/>
        <v>NO EXISTE</v>
      </c>
      <c r="K276" s="143" t="str">
        <f t="shared" si="43"/>
        <v>NO EXISTE</v>
      </c>
      <c r="L276" s="143" t="str">
        <f t="shared" si="44"/>
        <v>NO EXISTE</v>
      </c>
      <c r="M276" s="143" t="str">
        <f t="shared" si="45"/>
        <v>NO EXISTE</v>
      </c>
      <c r="N276" s="143" t="str">
        <f t="shared" si="46"/>
        <v>NO EXISTE</v>
      </c>
      <c r="O276" s="143" t="str">
        <f t="shared" si="47"/>
        <v>NO EXISTE</v>
      </c>
      <c r="P276" s="143" t="str">
        <f t="shared" si="48"/>
        <v>NO EXISTE</v>
      </c>
      <c r="Q276" s="302" t="s">
        <v>623</v>
      </c>
      <c r="R276" s="148" t="s">
        <v>594</v>
      </c>
      <c r="S276" s="148" t="s">
        <v>624</v>
      </c>
      <c r="T276" s="149">
        <v>0.95</v>
      </c>
      <c r="U276" s="148" t="s">
        <v>596</v>
      </c>
      <c r="V276" s="150">
        <v>99.75</v>
      </c>
      <c r="W276" s="151">
        <v>2010.72</v>
      </c>
    </row>
    <row r="277" spans="1:23" ht="15" customHeight="1" x14ac:dyDescent="0.25">
      <c r="A277" s="148">
        <v>59</v>
      </c>
      <c r="B277" s="148" t="s">
        <v>625</v>
      </c>
      <c r="C277" s="143" t="s">
        <v>2504</v>
      </c>
      <c r="D277" s="143" t="s">
        <v>2504</v>
      </c>
      <c r="E277" s="143" t="s">
        <v>2504</v>
      </c>
      <c r="F277" s="143" t="s">
        <v>2504</v>
      </c>
      <c r="G277" s="143" t="s">
        <v>2504</v>
      </c>
      <c r="H277" s="143" t="s">
        <v>2504</v>
      </c>
      <c r="I277" s="143" t="str">
        <f t="shared" si="41"/>
        <v>NO EXISTE</v>
      </c>
      <c r="J277" s="143" t="str">
        <f t="shared" si="42"/>
        <v>NO EXISTE</v>
      </c>
      <c r="K277" s="143" t="str">
        <f t="shared" si="43"/>
        <v>NO EXISTE</v>
      </c>
      <c r="L277" s="143" t="str">
        <f t="shared" si="44"/>
        <v>NO EXISTE</v>
      </c>
      <c r="M277" s="143" t="str">
        <f t="shared" si="45"/>
        <v>NO EXISTE</v>
      </c>
      <c r="N277" s="143" t="str">
        <f t="shared" si="46"/>
        <v>NO EXISTE</v>
      </c>
      <c r="O277" s="143" t="str">
        <f t="shared" si="47"/>
        <v>NO EXISTE</v>
      </c>
      <c r="P277" s="143" t="str">
        <f t="shared" si="48"/>
        <v>NO EXISTE</v>
      </c>
      <c r="Q277" s="302" t="s">
        <v>626</v>
      </c>
      <c r="R277" s="148" t="s">
        <v>589</v>
      </c>
      <c r="S277" s="148" t="s">
        <v>627</v>
      </c>
      <c r="T277" s="149">
        <v>0.95</v>
      </c>
      <c r="U277" s="148" t="s">
        <v>596</v>
      </c>
      <c r="V277" s="150">
        <v>83.04</v>
      </c>
      <c r="W277" s="151">
        <v>21265.87</v>
      </c>
    </row>
    <row r="278" spans="1:23" ht="15" customHeight="1" x14ac:dyDescent="0.25">
      <c r="A278" s="148">
        <v>62</v>
      </c>
      <c r="B278" s="148" t="s">
        <v>632</v>
      </c>
      <c r="C278" s="143" t="s">
        <v>2504</v>
      </c>
      <c r="D278" s="143" t="s">
        <v>2504</v>
      </c>
      <c r="E278" s="143" t="s">
        <v>2504</v>
      </c>
      <c r="F278" s="143" t="s">
        <v>2504</v>
      </c>
      <c r="G278" s="143" t="s">
        <v>2504</v>
      </c>
      <c r="H278" s="143" t="s">
        <v>2504</v>
      </c>
      <c r="I278" s="143" t="str">
        <f t="shared" si="41"/>
        <v>NO EXISTE</v>
      </c>
      <c r="J278" s="143" t="str">
        <f t="shared" si="42"/>
        <v>NO EXISTE</v>
      </c>
      <c r="K278" s="143" t="str">
        <f t="shared" si="43"/>
        <v>NO EXISTE</v>
      </c>
      <c r="L278" s="143" t="str">
        <f t="shared" si="44"/>
        <v>NO EXISTE</v>
      </c>
      <c r="M278" s="143" t="str">
        <f t="shared" si="45"/>
        <v>NO EXISTE</v>
      </c>
      <c r="N278" s="143" t="str">
        <f t="shared" si="46"/>
        <v>NO EXISTE</v>
      </c>
      <c r="O278" s="143" t="str">
        <f t="shared" si="47"/>
        <v>NO EXISTE</v>
      </c>
      <c r="P278" s="143" t="str">
        <f t="shared" si="48"/>
        <v>NO EXISTE</v>
      </c>
      <c r="Q278" s="302" t="s">
        <v>633</v>
      </c>
      <c r="R278" s="148" t="s">
        <v>630</v>
      </c>
      <c r="S278" s="148" t="s">
        <v>634</v>
      </c>
      <c r="T278" s="149">
        <v>19</v>
      </c>
      <c r="U278" s="148" t="s">
        <v>596</v>
      </c>
      <c r="V278" s="150">
        <v>1974.72</v>
      </c>
      <c r="W278" s="151">
        <f>V278*1000</f>
        <v>1974720</v>
      </c>
    </row>
    <row r="279" spans="1:23" ht="15" customHeight="1" x14ac:dyDescent="0.25">
      <c r="A279" s="148">
        <v>68</v>
      </c>
      <c r="B279" s="148" t="s">
        <v>637</v>
      </c>
      <c r="C279" s="143" t="s">
        <v>2504</v>
      </c>
      <c r="D279" s="143" t="s">
        <v>2504</v>
      </c>
      <c r="E279" s="143" t="s">
        <v>2504</v>
      </c>
      <c r="F279" s="143" t="s">
        <v>2504</v>
      </c>
      <c r="G279" s="143" t="s">
        <v>2504</v>
      </c>
      <c r="H279" s="143" t="s">
        <v>2504</v>
      </c>
      <c r="I279" s="143" t="str">
        <f t="shared" si="41"/>
        <v>NO EXISTE</v>
      </c>
      <c r="J279" s="143" t="str">
        <f t="shared" si="42"/>
        <v>NO EXISTE</v>
      </c>
      <c r="K279" s="143" t="str">
        <f t="shared" si="43"/>
        <v>NO EXISTE</v>
      </c>
      <c r="L279" s="143" t="str">
        <f t="shared" si="44"/>
        <v>NO EXISTE</v>
      </c>
      <c r="M279" s="143" t="str">
        <f t="shared" si="45"/>
        <v>NO EXISTE</v>
      </c>
      <c r="N279" s="143" t="str">
        <f t="shared" si="46"/>
        <v>NO EXISTE</v>
      </c>
      <c r="O279" s="143" t="str">
        <f t="shared" si="47"/>
        <v>NO EXISTE</v>
      </c>
      <c r="P279" s="143" t="str">
        <f t="shared" si="48"/>
        <v>NO EXISTE</v>
      </c>
      <c r="Q279" s="302" t="s">
        <v>638</v>
      </c>
      <c r="R279" s="148" t="s">
        <v>606</v>
      </c>
      <c r="S279" s="148" t="s">
        <v>618</v>
      </c>
      <c r="T279" s="149">
        <v>19</v>
      </c>
      <c r="U279" s="148" t="s">
        <v>596</v>
      </c>
      <c r="V279" s="150">
        <v>1629.39</v>
      </c>
      <c r="W279" s="151">
        <f>V279*1000</f>
        <v>1629390</v>
      </c>
    </row>
    <row r="280" spans="1:23" ht="15" customHeight="1" x14ac:dyDescent="0.25">
      <c r="A280" s="148">
        <v>70</v>
      </c>
      <c r="B280" s="148" t="s">
        <v>639</v>
      </c>
      <c r="C280" s="143" t="s">
        <v>2504</v>
      </c>
      <c r="D280" s="143" t="s">
        <v>2504</v>
      </c>
      <c r="E280" s="143" t="s">
        <v>2504</v>
      </c>
      <c r="F280" s="143" t="s">
        <v>2504</v>
      </c>
      <c r="G280" s="143" t="s">
        <v>2504</v>
      </c>
      <c r="H280" s="143" t="s">
        <v>2504</v>
      </c>
      <c r="I280" s="143" t="str">
        <f t="shared" si="41"/>
        <v>NO EXISTE</v>
      </c>
      <c r="J280" s="143" t="str">
        <f t="shared" si="42"/>
        <v>NO EXISTE</v>
      </c>
      <c r="K280" s="143" t="str">
        <f t="shared" si="43"/>
        <v>NO EXISTE</v>
      </c>
      <c r="L280" s="143" t="str">
        <f t="shared" si="44"/>
        <v>NO EXISTE</v>
      </c>
      <c r="M280" s="143" t="str">
        <f t="shared" si="45"/>
        <v>NO EXISTE</v>
      </c>
      <c r="N280" s="143" t="str">
        <f t="shared" si="46"/>
        <v>NO EXISTE</v>
      </c>
      <c r="O280" s="143" t="str">
        <f t="shared" si="47"/>
        <v>NO EXISTE</v>
      </c>
      <c r="P280" s="143" t="str">
        <f t="shared" si="48"/>
        <v>NO EXISTE</v>
      </c>
      <c r="Q280" s="302" t="s">
        <v>640</v>
      </c>
      <c r="R280" s="148" t="s">
        <v>606</v>
      </c>
      <c r="S280" s="148" t="s">
        <v>618</v>
      </c>
      <c r="T280" s="149">
        <v>200</v>
      </c>
      <c r="U280" s="148" t="s">
        <v>596</v>
      </c>
      <c r="V280" s="150">
        <v>17259.29</v>
      </c>
      <c r="W280" s="151">
        <f>V280*4</f>
        <v>69037.16</v>
      </c>
    </row>
    <row r="281" spans="1:23" ht="15" customHeight="1" x14ac:dyDescent="0.25">
      <c r="A281" s="148">
        <v>72</v>
      </c>
      <c r="B281" s="148" t="s">
        <v>641</v>
      </c>
      <c r="C281" s="143" t="s">
        <v>2504</v>
      </c>
      <c r="D281" s="143" t="s">
        <v>2504</v>
      </c>
      <c r="E281" s="143" t="s">
        <v>2504</v>
      </c>
      <c r="F281" s="143" t="s">
        <v>2504</v>
      </c>
      <c r="G281" s="143" t="s">
        <v>2504</v>
      </c>
      <c r="H281" s="143" t="s">
        <v>2504</v>
      </c>
      <c r="I281" s="143" t="str">
        <f t="shared" si="41"/>
        <v>NO EXISTE</v>
      </c>
      <c r="J281" s="143" t="str">
        <f t="shared" si="42"/>
        <v>NO EXISTE</v>
      </c>
      <c r="K281" s="143" t="str">
        <f t="shared" si="43"/>
        <v>NO EXISTE</v>
      </c>
      <c r="L281" s="143" t="str">
        <f t="shared" si="44"/>
        <v>NO EXISTE</v>
      </c>
      <c r="M281" s="143" t="str">
        <f t="shared" si="45"/>
        <v>NO EXISTE</v>
      </c>
      <c r="N281" s="143" t="str">
        <f t="shared" si="46"/>
        <v>NO EXISTE</v>
      </c>
      <c r="O281" s="143" t="str">
        <f t="shared" si="47"/>
        <v>NO EXISTE</v>
      </c>
      <c r="P281" s="143" t="str">
        <f t="shared" si="48"/>
        <v>NO EXISTE</v>
      </c>
      <c r="Q281" s="302" t="s">
        <v>642</v>
      </c>
      <c r="R281" s="148" t="s">
        <v>594</v>
      </c>
      <c r="S281" s="148" t="s">
        <v>643</v>
      </c>
      <c r="T281" s="149">
        <v>0.95</v>
      </c>
      <c r="U281" s="148" t="s">
        <v>596</v>
      </c>
      <c r="V281" s="150">
        <v>117.74</v>
      </c>
      <c r="W281" s="151">
        <v>22412.39</v>
      </c>
    </row>
    <row r="282" spans="1:23" ht="15" customHeight="1" x14ac:dyDescent="0.25">
      <c r="A282" s="148">
        <v>88</v>
      </c>
      <c r="B282" s="148" t="s">
        <v>648</v>
      </c>
      <c r="C282" s="143" t="s">
        <v>2504</v>
      </c>
      <c r="D282" s="143" t="s">
        <v>2504</v>
      </c>
      <c r="E282" s="143" t="s">
        <v>2504</v>
      </c>
      <c r="F282" s="143" t="s">
        <v>2504</v>
      </c>
      <c r="G282" s="143" t="s">
        <v>2504</v>
      </c>
      <c r="H282" s="143" t="s">
        <v>2504</v>
      </c>
      <c r="I282" s="143" t="str">
        <f t="shared" si="41"/>
        <v>NO EXISTE</v>
      </c>
      <c r="J282" s="143" t="str">
        <f t="shared" si="42"/>
        <v>NO EXISTE</v>
      </c>
      <c r="K282" s="143" t="str">
        <f t="shared" si="43"/>
        <v>NO EXISTE</v>
      </c>
      <c r="L282" s="143" t="str">
        <f t="shared" si="44"/>
        <v>NO EXISTE</v>
      </c>
      <c r="M282" s="143" t="str">
        <f t="shared" si="45"/>
        <v>NO EXISTE</v>
      </c>
      <c r="N282" s="143" t="str">
        <f t="shared" si="46"/>
        <v>NO EXISTE</v>
      </c>
      <c r="O282" s="143" t="str">
        <f t="shared" si="47"/>
        <v>NO EXISTE</v>
      </c>
      <c r="P282" s="143" t="str">
        <f t="shared" si="48"/>
        <v>NO EXISTE</v>
      </c>
      <c r="Q282" s="302" t="s">
        <v>649</v>
      </c>
      <c r="R282" s="148" t="s">
        <v>600</v>
      </c>
      <c r="S282" s="148" t="s">
        <v>650</v>
      </c>
      <c r="T282" s="149">
        <v>0.25</v>
      </c>
      <c r="U282" s="148" t="s">
        <v>596</v>
      </c>
      <c r="V282" s="150">
        <v>33.28</v>
      </c>
      <c r="W282" s="151">
        <v>23068.240000000002</v>
      </c>
    </row>
    <row r="283" spans="1:23" ht="15" customHeight="1" x14ac:dyDescent="0.25">
      <c r="A283" s="148">
        <v>93</v>
      </c>
      <c r="B283" s="148" t="s">
        <v>654</v>
      </c>
      <c r="C283" s="143" t="s">
        <v>2504</v>
      </c>
      <c r="D283" s="143" t="s">
        <v>2504</v>
      </c>
      <c r="E283" s="143" t="s">
        <v>2504</v>
      </c>
      <c r="F283" s="143" t="s">
        <v>2504</v>
      </c>
      <c r="G283" s="143" t="s">
        <v>2504</v>
      </c>
      <c r="H283" s="143" t="s">
        <v>2504</v>
      </c>
      <c r="I283" s="143" t="str">
        <f t="shared" si="41"/>
        <v>NO EXISTE</v>
      </c>
      <c r="J283" s="143" t="str">
        <f t="shared" si="42"/>
        <v>NO EXISTE</v>
      </c>
      <c r="K283" s="143" t="str">
        <f t="shared" si="43"/>
        <v>NO EXISTE</v>
      </c>
      <c r="L283" s="143" t="str">
        <f t="shared" si="44"/>
        <v>NO EXISTE</v>
      </c>
      <c r="M283" s="143" t="str">
        <f t="shared" si="45"/>
        <v>NO EXISTE</v>
      </c>
      <c r="N283" s="143" t="str">
        <f t="shared" si="46"/>
        <v>NO EXISTE</v>
      </c>
      <c r="O283" s="143" t="str">
        <f t="shared" si="47"/>
        <v>NO EXISTE</v>
      </c>
      <c r="P283" s="143" t="str">
        <f t="shared" si="48"/>
        <v>NO EXISTE</v>
      </c>
      <c r="Q283" s="302" t="s">
        <v>655</v>
      </c>
      <c r="R283" s="148" t="s">
        <v>594</v>
      </c>
      <c r="S283" s="148" t="s">
        <v>595</v>
      </c>
      <c r="T283" s="149">
        <v>3.8</v>
      </c>
      <c r="U283" s="148" t="s">
        <v>596</v>
      </c>
      <c r="V283" s="150">
        <v>581.5</v>
      </c>
      <c r="W283" s="151">
        <v>23178.99</v>
      </c>
    </row>
    <row r="284" spans="1:23" ht="15" customHeight="1" x14ac:dyDescent="0.25">
      <c r="A284" s="148">
        <v>94</v>
      </c>
      <c r="B284" s="148" t="s">
        <v>656</v>
      </c>
      <c r="C284" s="143" t="s">
        <v>2504</v>
      </c>
      <c r="D284" s="143" t="s">
        <v>2504</v>
      </c>
      <c r="E284" s="143" t="s">
        <v>2504</v>
      </c>
      <c r="F284" s="143" t="s">
        <v>2504</v>
      </c>
      <c r="G284" s="143" t="s">
        <v>2504</v>
      </c>
      <c r="H284" s="143" t="s">
        <v>2504</v>
      </c>
      <c r="I284" s="143" t="str">
        <f t="shared" si="41"/>
        <v>NO EXISTE</v>
      </c>
      <c r="J284" s="143" t="str">
        <f t="shared" si="42"/>
        <v>NO EXISTE</v>
      </c>
      <c r="K284" s="143" t="str">
        <f t="shared" si="43"/>
        <v>NO EXISTE</v>
      </c>
      <c r="L284" s="143" t="str">
        <f t="shared" si="44"/>
        <v>NO EXISTE</v>
      </c>
      <c r="M284" s="143" t="str">
        <f t="shared" si="45"/>
        <v>NO EXISTE</v>
      </c>
      <c r="N284" s="143" t="str">
        <f t="shared" si="46"/>
        <v>NO EXISTE</v>
      </c>
      <c r="O284" s="143" t="str">
        <f t="shared" si="47"/>
        <v>NO EXISTE</v>
      </c>
      <c r="P284" s="143" t="str">
        <f t="shared" si="48"/>
        <v>NO EXISTE</v>
      </c>
      <c r="Q284" s="302" t="s">
        <v>657</v>
      </c>
      <c r="R284" s="148" t="s">
        <v>594</v>
      </c>
      <c r="S284" s="148" t="s">
        <v>595</v>
      </c>
      <c r="T284" s="149">
        <v>3.8</v>
      </c>
      <c r="U284" s="148" t="s">
        <v>596</v>
      </c>
      <c r="V284" s="150">
        <v>558.79</v>
      </c>
      <c r="W284" s="151">
        <v>21009.22</v>
      </c>
    </row>
    <row r="285" spans="1:23" ht="15" customHeight="1" x14ac:dyDescent="0.25">
      <c r="A285" s="148">
        <v>199</v>
      </c>
      <c r="B285" s="148" t="s">
        <v>700</v>
      </c>
      <c r="C285" s="143" t="s">
        <v>2504</v>
      </c>
      <c r="D285" s="143" t="s">
        <v>2504</v>
      </c>
      <c r="E285" s="143" t="s">
        <v>2504</v>
      </c>
      <c r="F285" s="143" t="s">
        <v>2504</v>
      </c>
      <c r="G285" s="143" t="s">
        <v>2504</v>
      </c>
      <c r="H285" s="143" t="s">
        <v>2504</v>
      </c>
      <c r="I285" s="143" t="str">
        <f t="shared" si="41"/>
        <v>NO EXISTE</v>
      </c>
      <c r="J285" s="143" t="str">
        <f t="shared" si="42"/>
        <v>NO EXISTE</v>
      </c>
      <c r="K285" s="143" t="str">
        <f t="shared" si="43"/>
        <v>NO EXISTE</v>
      </c>
      <c r="L285" s="143" t="str">
        <f t="shared" si="44"/>
        <v>NO EXISTE</v>
      </c>
      <c r="M285" s="143" t="str">
        <f t="shared" si="45"/>
        <v>NO EXISTE</v>
      </c>
      <c r="N285" s="143" t="str">
        <f t="shared" si="46"/>
        <v>NO EXISTE</v>
      </c>
      <c r="O285" s="143" t="str">
        <f t="shared" si="47"/>
        <v>NO EXISTE</v>
      </c>
      <c r="P285" s="143" t="str">
        <f t="shared" si="48"/>
        <v>NO EXISTE</v>
      </c>
      <c r="Q285" s="302" t="s">
        <v>701</v>
      </c>
      <c r="R285" s="148" t="s">
        <v>702</v>
      </c>
      <c r="S285" s="148" t="s">
        <v>703</v>
      </c>
      <c r="T285" s="149">
        <v>200</v>
      </c>
      <c r="U285" s="148" t="s">
        <v>596</v>
      </c>
      <c r="V285" s="150">
        <v>16163.94</v>
      </c>
      <c r="W285" s="151">
        <f>V285*12</f>
        <v>193967.28</v>
      </c>
    </row>
    <row r="286" spans="1:23" ht="15" customHeight="1" x14ac:dyDescent="0.25">
      <c r="A286" s="148">
        <v>301</v>
      </c>
      <c r="B286" s="148" t="s">
        <v>741</v>
      </c>
      <c r="C286" s="143" t="s">
        <v>2504</v>
      </c>
      <c r="D286" s="143" t="s">
        <v>2504</v>
      </c>
      <c r="E286" s="143" t="s">
        <v>2504</v>
      </c>
      <c r="F286" s="143" t="s">
        <v>2504</v>
      </c>
      <c r="G286" s="143" t="s">
        <v>2504</v>
      </c>
      <c r="H286" s="143" t="s">
        <v>2504</v>
      </c>
      <c r="I286" s="143" t="str">
        <f t="shared" si="41"/>
        <v>NO EXISTE</v>
      </c>
      <c r="J286" s="143" t="str">
        <f t="shared" si="42"/>
        <v>NO EXISTE</v>
      </c>
      <c r="K286" s="143" t="str">
        <f t="shared" si="43"/>
        <v>NO EXISTE</v>
      </c>
      <c r="L286" s="143" t="str">
        <f t="shared" si="44"/>
        <v>NO EXISTE</v>
      </c>
      <c r="M286" s="143" t="str">
        <f t="shared" si="45"/>
        <v>NO EXISTE</v>
      </c>
      <c r="N286" s="143" t="str">
        <f t="shared" si="46"/>
        <v>NO EXISTE</v>
      </c>
      <c r="O286" s="143" t="str">
        <f t="shared" si="47"/>
        <v>NO EXISTE</v>
      </c>
      <c r="P286" s="143" t="str">
        <f t="shared" si="48"/>
        <v>NO EXISTE</v>
      </c>
      <c r="Q286" s="302" t="s">
        <v>742</v>
      </c>
      <c r="R286" s="148" t="s">
        <v>594</v>
      </c>
      <c r="S286" s="148" t="s">
        <v>674</v>
      </c>
      <c r="T286" s="149">
        <v>0.95</v>
      </c>
      <c r="U286" s="148" t="s">
        <v>596</v>
      </c>
      <c r="V286" s="150">
        <v>112.85</v>
      </c>
      <c r="W286" s="151">
        <f>V286*15</f>
        <v>1692.75</v>
      </c>
    </row>
    <row r="287" spans="1:23" ht="15" customHeight="1" x14ac:dyDescent="0.25">
      <c r="A287" s="148">
        <v>302</v>
      </c>
      <c r="B287" s="148" t="s">
        <v>743</v>
      </c>
      <c r="C287" s="143" t="s">
        <v>2504</v>
      </c>
      <c r="D287" s="143" t="s">
        <v>2504</v>
      </c>
      <c r="E287" s="143" t="s">
        <v>2504</v>
      </c>
      <c r="F287" s="143" t="s">
        <v>2504</v>
      </c>
      <c r="G287" s="143" t="s">
        <v>2504</v>
      </c>
      <c r="H287" s="143" t="s">
        <v>2504</v>
      </c>
      <c r="I287" s="143" t="str">
        <f t="shared" si="41"/>
        <v>NO EXISTE</v>
      </c>
      <c r="J287" s="143" t="str">
        <f t="shared" si="42"/>
        <v>NO EXISTE</v>
      </c>
      <c r="K287" s="143" t="str">
        <f t="shared" si="43"/>
        <v>NO EXISTE</v>
      </c>
      <c r="L287" s="143" t="str">
        <f t="shared" si="44"/>
        <v>NO EXISTE</v>
      </c>
      <c r="M287" s="143" t="str">
        <f t="shared" si="45"/>
        <v>NO EXISTE</v>
      </c>
      <c r="N287" s="143" t="str">
        <f t="shared" si="46"/>
        <v>NO EXISTE</v>
      </c>
      <c r="O287" s="143" t="str">
        <f t="shared" si="47"/>
        <v>NO EXISTE</v>
      </c>
      <c r="P287" s="143" t="str">
        <f t="shared" si="48"/>
        <v>NO EXISTE</v>
      </c>
      <c r="Q287" s="302" t="s">
        <v>744</v>
      </c>
      <c r="R287" s="148" t="s">
        <v>630</v>
      </c>
      <c r="S287" s="148" t="s">
        <v>745</v>
      </c>
      <c r="T287" s="149">
        <v>1</v>
      </c>
      <c r="U287" s="148" t="s">
        <v>596</v>
      </c>
      <c r="V287" s="150">
        <v>171.02</v>
      </c>
      <c r="W287" s="151">
        <f>V287*4</f>
        <v>684.08</v>
      </c>
    </row>
    <row r="288" spans="1:23" ht="15" customHeight="1" x14ac:dyDescent="0.25">
      <c r="A288" s="148">
        <v>304</v>
      </c>
      <c r="B288" s="148" t="s">
        <v>746</v>
      </c>
      <c r="C288" s="143" t="s">
        <v>2504</v>
      </c>
      <c r="D288" s="143" t="s">
        <v>2504</v>
      </c>
      <c r="E288" s="143" t="s">
        <v>2504</v>
      </c>
      <c r="F288" s="143" t="s">
        <v>2504</v>
      </c>
      <c r="G288" s="143" t="s">
        <v>2504</v>
      </c>
      <c r="H288" s="143" t="s">
        <v>2504</v>
      </c>
      <c r="I288" s="143" t="str">
        <f t="shared" si="41"/>
        <v>NO EXISTE</v>
      </c>
      <c r="J288" s="143" t="str">
        <f t="shared" si="42"/>
        <v>NO EXISTE</v>
      </c>
      <c r="K288" s="143" t="str">
        <f t="shared" si="43"/>
        <v>NO EXISTE</v>
      </c>
      <c r="L288" s="143" t="str">
        <f t="shared" si="44"/>
        <v>NO EXISTE</v>
      </c>
      <c r="M288" s="143" t="str">
        <f t="shared" si="45"/>
        <v>NO EXISTE</v>
      </c>
      <c r="N288" s="143" t="str">
        <f t="shared" si="46"/>
        <v>NO EXISTE</v>
      </c>
      <c r="O288" s="143" t="str">
        <f t="shared" si="47"/>
        <v>NO EXISTE</v>
      </c>
      <c r="P288" s="143" t="str">
        <f t="shared" si="48"/>
        <v>NO EXISTE</v>
      </c>
      <c r="Q288" s="302" t="s">
        <v>747</v>
      </c>
      <c r="R288" s="148" t="s">
        <v>630</v>
      </c>
      <c r="S288" s="148" t="s">
        <v>745</v>
      </c>
      <c r="T288" s="149">
        <v>200</v>
      </c>
      <c r="U288" s="148" t="s">
        <v>596</v>
      </c>
      <c r="V288" s="150">
        <v>35156.54</v>
      </c>
      <c r="W288" s="151">
        <v>672.06</v>
      </c>
    </row>
    <row r="289" spans="1:23" ht="15" customHeight="1" x14ac:dyDescent="0.25">
      <c r="A289" s="148">
        <v>312</v>
      </c>
      <c r="B289" s="148" t="s">
        <v>748</v>
      </c>
      <c r="C289" s="143" t="s">
        <v>2504</v>
      </c>
      <c r="D289" s="143" t="s">
        <v>2504</v>
      </c>
      <c r="E289" s="143" t="s">
        <v>2504</v>
      </c>
      <c r="F289" s="143" t="s">
        <v>2504</v>
      </c>
      <c r="G289" s="143" t="s">
        <v>2504</v>
      </c>
      <c r="H289" s="143" t="s">
        <v>2504</v>
      </c>
      <c r="I289" s="143" t="str">
        <f t="shared" si="41"/>
        <v>NO EXISTE</v>
      </c>
      <c r="J289" s="143" t="str">
        <f t="shared" si="42"/>
        <v>NO EXISTE</v>
      </c>
      <c r="K289" s="143" t="str">
        <f t="shared" si="43"/>
        <v>NO EXISTE</v>
      </c>
      <c r="L289" s="143" t="str">
        <f t="shared" si="44"/>
        <v>NO EXISTE</v>
      </c>
      <c r="M289" s="143" t="str">
        <f t="shared" si="45"/>
        <v>NO EXISTE</v>
      </c>
      <c r="N289" s="143" t="str">
        <f t="shared" si="46"/>
        <v>NO EXISTE</v>
      </c>
      <c r="O289" s="143" t="str">
        <f t="shared" si="47"/>
        <v>NO EXISTE</v>
      </c>
      <c r="P289" s="143" t="str">
        <f t="shared" si="48"/>
        <v>NO EXISTE</v>
      </c>
      <c r="Q289" s="302" t="s">
        <v>749</v>
      </c>
      <c r="R289" s="148" t="s">
        <v>594</v>
      </c>
      <c r="S289" s="148" t="s">
        <v>750</v>
      </c>
      <c r="T289" s="149">
        <v>5</v>
      </c>
      <c r="U289" s="148" t="s">
        <v>596</v>
      </c>
      <c r="V289" s="150">
        <v>591.75</v>
      </c>
      <c r="W289" s="151">
        <f>V289*15</f>
        <v>8876.25</v>
      </c>
    </row>
    <row r="290" spans="1:23" ht="15" customHeight="1" x14ac:dyDescent="0.25">
      <c r="A290" s="148">
        <v>313</v>
      </c>
      <c r="B290" s="148" t="s">
        <v>751</v>
      </c>
      <c r="C290" s="143" t="s">
        <v>2504</v>
      </c>
      <c r="D290" s="143" t="s">
        <v>2504</v>
      </c>
      <c r="E290" s="143" t="s">
        <v>2504</v>
      </c>
      <c r="F290" s="143" t="s">
        <v>2504</v>
      </c>
      <c r="G290" s="143" t="s">
        <v>2504</v>
      </c>
      <c r="H290" s="143" t="s">
        <v>2504</v>
      </c>
      <c r="I290" s="143" t="str">
        <f t="shared" si="41"/>
        <v>NO EXISTE</v>
      </c>
      <c r="J290" s="143" t="str">
        <f t="shared" si="42"/>
        <v>NO EXISTE</v>
      </c>
      <c r="K290" s="143" t="str">
        <f t="shared" si="43"/>
        <v>NO EXISTE</v>
      </c>
      <c r="L290" s="143" t="str">
        <f t="shared" si="44"/>
        <v>NO EXISTE</v>
      </c>
      <c r="M290" s="143" t="str">
        <f t="shared" si="45"/>
        <v>NO EXISTE</v>
      </c>
      <c r="N290" s="143" t="str">
        <f t="shared" si="46"/>
        <v>NO EXISTE</v>
      </c>
      <c r="O290" s="143" t="str">
        <f t="shared" si="47"/>
        <v>NO EXISTE</v>
      </c>
      <c r="P290" s="143" t="str">
        <f t="shared" si="48"/>
        <v>NO EXISTE</v>
      </c>
      <c r="Q290" s="302" t="s">
        <v>752</v>
      </c>
      <c r="R290" s="148" t="s">
        <v>594</v>
      </c>
      <c r="S290" s="148" t="s">
        <v>750</v>
      </c>
      <c r="T290" s="149">
        <v>19</v>
      </c>
      <c r="U290" s="148" t="s">
        <v>596</v>
      </c>
      <c r="V290" s="150">
        <v>2169.71</v>
      </c>
      <c r="W290" s="151">
        <f>V290*4</f>
        <v>8678.84</v>
      </c>
    </row>
    <row r="291" spans="1:23" ht="15" customHeight="1" x14ac:dyDescent="0.25">
      <c r="A291" s="148">
        <v>318</v>
      </c>
      <c r="B291" s="148" t="s">
        <v>753</v>
      </c>
      <c r="C291" s="143" t="s">
        <v>2504</v>
      </c>
      <c r="D291" s="143" t="s">
        <v>2504</v>
      </c>
      <c r="E291" s="143" t="s">
        <v>2504</v>
      </c>
      <c r="F291" s="143" t="s">
        <v>2504</v>
      </c>
      <c r="G291" s="143" t="s">
        <v>2504</v>
      </c>
      <c r="H291" s="143" t="s">
        <v>2504</v>
      </c>
      <c r="I291" s="143" t="str">
        <f t="shared" ref="I291:I354" si="50">IFERROR(VLOOKUP(B291,Base08,1,FALSE),"NO EXISTE")</f>
        <v>NO EXISTE</v>
      </c>
      <c r="J291" s="143" t="str">
        <f t="shared" ref="J291:J354" si="51">IFERROR(VLOOKUP(B291,Base09,1,FALSE),"NO EXISTE")</f>
        <v>NO EXISTE</v>
      </c>
      <c r="K291" s="143" t="str">
        <f t="shared" ref="K291:K354" si="52">IFERROR(VLOOKUP(B291,Base10,1,FALSE),"NO EXISTE")</f>
        <v>NO EXISTE</v>
      </c>
      <c r="L291" s="143" t="str">
        <f t="shared" ref="L291:L354" si="53">IFERROR(VLOOKUP(B291,Base11,1,FALSE),"NO EXISTE")</f>
        <v>NO EXISTE</v>
      </c>
      <c r="M291" s="143" t="str">
        <f t="shared" ref="M291:M354" si="54">IFERROR(VLOOKUP(B291,Base12,1,FALSE),"NO EXISTE")</f>
        <v>NO EXISTE</v>
      </c>
      <c r="N291" s="143" t="str">
        <f t="shared" ref="N291:N354" si="55">IFERROR(VLOOKUP(B291,Base13,1,FALSE),"NO EXISTE")</f>
        <v>NO EXISTE</v>
      </c>
      <c r="O291" s="143" t="str">
        <f t="shared" ref="O291:O354" si="56">IFERROR(VLOOKUP(B291,Base14,1,FALSE),"NO EXISTE")</f>
        <v>NO EXISTE</v>
      </c>
      <c r="P291" s="143" t="str">
        <f t="shared" ref="P291:P354" si="57">IFERROR(VLOOKUP(B291,Base15,1,FALSE),"NO EXISTE")</f>
        <v>NO EXISTE</v>
      </c>
      <c r="Q291" s="302" t="s">
        <v>754</v>
      </c>
      <c r="R291" s="148" t="s">
        <v>594</v>
      </c>
      <c r="S291" s="148" t="s">
        <v>750</v>
      </c>
      <c r="T291" s="149">
        <v>19</v>
      </c>
      <c r="U291" s="148" t="s">
        <v>596</v>
      </c>
      <c r="V291" s="150">
        <v>2335.2800000000002</v>
      </c>
      <c r="W291" s="151">
        <v>18479.37</v>
      </c>
    </row>
    <row r="292" spans="1:23" ht="15" customHeight="1" x14ac:dyDescent="0.25">
      <c r="A292" s="148">
        <v>319</v>
      </c>
      <c r="B292" s="148" t="s">
        <v>755</v>
      </c>
      <c r="C292" s="143" t="s">
        <v>2504</v>
      </c>
      <c r="D292" s="143" t="s">
        <v>2504</v>
      </c>
      <c r="E292" s="143" t="s">
        <v>2504</v>
      </c>
      <c r="F292" s="143" t="s">
        <v>2504</v>
      </c>
      <c r="G292" s="143" t="s">
        <v>2504</v>
      </c>
      <c r="H292" s="143" t="s">
        <v>2504</v>
      </c>
      <c r="I292" s="143" t="str">
        <f t="shared" si="50"/>
        <v>NO EXISTE</v>
      </c>
      <c r="J292" s="143" t="str">
        <f t="shared" si="51"/>
        <v>NO EXISTE</v>
      </c>
      <c r="K292" s="143" t="str">
        <f t="shared" si="52"/>
        <v>NO EXISTE</v>
      </c>
      <c r="L292" s="143" t="str">
        <f t="shared" si="53"/>
        <v>NO EXISTE</v>
      </c>
      <c r="M292" s="143" t="str">
        <f t="shared" si="54"/>
        <v>NO EXISTE</v>
      </c>
      <c r="N292" s="143" t="str">
        <f t="shared" si="55"/>
        <v>NO EXISTE</v>
      </c>
      <c r="O292" s="143" t="str">
        <f t="shared" si="56"/>
        <v>NO EXISTE</v>
      </c>
      <c r="P292" s="143" t="str">
        <f t="shared" si="57"/>
        <v>NO EXISTE</v>
      </c>
      <c r="Q292" s="302" t="s">
        <v>756</v>
      </c>
      <c r="R292" s="148" t="s">
        <v>594</v>
      </c>
      <c r="S292" s="148" t="s">
        <v>750</v>
      </c>
      <c r="T292" s="149">
        <v>200</v>
      </c>
      <c r="U292" s="148" t="s">
        <v>596</v>
      </c>
      <c r="V292" s="150">
        <v>24257.18</v>
      </c>
      <c r="W292" s="151">
        <f>V292*24</f>
        <v>582172.32000000007</v>
      </c>
    </row>
    <row r="293" spans="1:23" ht="15" customHeight="1" x14ac:dyDescent="0.25">
      <c r="A293" s="148">
        <v>320</v>
      </c>
      <c r="B293" s="148" t="s">
        <v>757</v>
      </c>
      <c r="C293" s="143" t="s">
        <v>2504</v>
      </c>
      <c r="D293" s="143" t="s">
        <v>2504</v>
      </c>
      <c r="E293" s="143" t="s">
        <v>2504</v>
      </c>
      <c r="F293" s="143" t="s">
        <v>2504</v>
      </c>
      <c r="G293" s="143" t="s">
        <v>2504</v>
      </c>
      <c r="H293" s="143" t="s">
        <v>2504</v>
      </c>
      <c r="I293" s="143" t="str">
        <f t="shared" si="50"/>
        <v>NO EXISTE</v>
      </c>
      <c r="J293" s="143" t="str">
        <f t="shared" si="51"/>
        <v>NO EXISTE</v>
      </c>
      <c r="K293" s="143" t="str">
        <f t="shared" si="52"/>
        <v>NO EXISTE</v>
      </c>
      <c r="L293" s="143" t="str">
        <f t="shared" si="53"/>
        <v>NO EXISTE</v>
      </c>
      <c r="M293" s="143" t="str">
        <f t="shared" si="54"/>
        <v>NO EXISTE</v>
      </c>
      <c r="N293" s="143" t="str">
        <f t="shared" si="55"/>
        <v>NO EXISTE</v>
      </c>
      <c r="O293" s="143" t="str">
        <f t="shared" si="56"/>
        <v>NO EXISTE</v>
      </c>
      <c r="P293" s="143" t="str">
        <f t="shared" si="57"/>
        <v>NO EXISTE</v>
      </c>
      <c r="Q293" s="302" t="s">
        <v>758</v>
      </c>
      <c r="R293" s="148" t="s">
        <v>594</v>
      </c>
      <c r="S293" s="148" t="s">
        <v>759</v>
      </c>
      <c r="T293" s="149">
        <v>0.95</v>
      </c>
      <c r="U293" s="148" t="s">
        <v>596</v>
      </c>
      <c r="V293" s="150">
        <v>171.91</v>
      </c>
      <c r="W293" s="151">
        <f>V293*12</f>
        <v>2062.92</v>
      </c>
    </row>
    <row r="294" spans="1:23" ht="15" customHeight="1" x14ac:dyDescent="0.25">
      <c r="A294" s="148">
        <v>321</v>
      </c>
      <c r="B294" s="148" t="s">
        <v>760</v>
      </c>
      <c r="C294" s="143" t="s">
        <v>2504</v>
      </c>
      <c r="D294" s="143" t="s">
        <v>2504</v>
      </c>
      <c r="E294" s="143" t="s">
        <v>2504</v>
      </c>
      <c r="F294" s="143" t="s">
        <v>2504</v>
      </c>
      <c r="G294" s="143" t="s">
        <v>2504</v>
      </c>
      <c r="H294" s="143" t="s">
        <v>2504</v>
      </c>
      <c r="I294" s="143" t="str">
        <f t="shared" si="50"/>
        <v>NO EXISTE</v>
      </c>
      <c r="J294" s="143" t="str">
        <f t="shared" si="51"/>
        <v>NO EXISTE</v>
      </c>
      <c r="K294" s="143" t="str">
        <f t="shared" si="52"/>
        <v>NO EXISTE</v>
      </c>
      <c r="L294" s="143" t="str">
        <f t="shared" si="53"/>
        <v>NO EXISTE</v>
      </c>
      <c r="M294" s="143" t="str">
        <f t="shared" si="54"/>
        <v>NO EXISTE</v>
      </c>
      <c r="N294" s="143" t="str">
        <f t="shared" si="55"/>
        <v>NO EXISTE</v>
      </c>
      <c r="O294" s="143" t="str">
        <f t="shared" si="56"/>
        <v>NO EXISTE</v>
      </c>
      <c r="P294" s="143" t="str">
        <f t="shared" si="57"/>
        <v>NO EXISTE</v>
      </c>
      <c r="Q294" s="302" t="s">
        <v>761</v>
      </c>
      <c r="R294" s="148" t="s">
        <v>594</v>
      </c>
      <c r="S294" s="148" t="s">
        <v>759</v>
      </c>
      <c r="T294" s="149">
        <v>19</v>
      </c>
      <c r="U294" s="148" t="s">
        <v>596</v>
      </c>
      <c r="V294" s="150">
        <v>3360.66</v>
      </c>
      <c r="W294" s="151">
        <v>414.69</v>
      </c>
    </row>
    <row r="295" spans="1:23" ht="15" customHeight="1" x14ac:dyDescent="0.25">
      <c r="A295" s="148">
        <v>322</v>
      </c>
      <c r="B295" s="148" t="s">
        <v>762</v>
      </c>
      <c r="C295" s="143" t="s">
        <v>2504</v>
      </c>
      <c r="D295" s="143" t="s">
        <v>2504</v>
      </c>
      <c r="E295" s="143" t="s">
        <v>2504</v>
      </c>
      <c r="F295" s="143" t="s">
        <v>2504</v>
      </c>
      <c r="G295" s="143" t="s">
        <v>2504</v>
      </c>
      <c r="H295" s="143" t="s">
        <v>2504</v>
      </c>
      <c r="I295" s="143" t="str">
        <f t="shared" si="50"/>
        <v>NO EXISTE</v>
      </c>
      <c r="J295" s="143" t="str">
        <f t="shared" si="51"/>
        <v>NO EXISTE</v>
      </c>
      <c r="K295" s="143" t="str">
        <f t="shared" si="52"/>
        <v>NO EXISTE</v>
      </c>
      <c r="L295" s="143" t="str">
        <f t="shared" si="53"/>
        <v>NO EXISTE</v>
      </c>
      <c r="M295" s="143" t="str">
        <f t="shared" si="54"/>
        <v>NO EXISTE</v>
      </c>
      <c r="N295" s="143" t="str">
        <f t="shared" si="55"/>
        <v>NO EXISTE</v>
      </c>
      <c r="O295" s="143" t="str">
        <f t="shared" si="56"/>
        <v>NO EXISTE</v>
      </c>
      <c r="P295" s="143" t="str">
        <f t="shared" si="57"/>
        <v>NO EXISTE</v>
      </c>
      <c r="Q295" s="302" t="s">
        <v>763</v>
      </c>
      <c r="R295" s="148" t="s">
        <v>594</v>
      </c>
      <c r="S295" s="148" t="s">
        <v>759</v>
      </c>
      <c r="T295" s="149">
        <v>200</v>
      </c>
      <c r="U295" s="148" t="s">
        <v>596</v>
      </c>
      <c r="V295" s="150">
        <v>27851.02</v>
      </c>
      <c r="W295" s="151">
        <v>1806.8</v>
      </c>
    </row>
    <row r="296" spans="1:23" ht="15" customHeight="1" x14ac:dyDescent="0.25">
      <c r="A296" s="148">
        <v>324</v>
      </c>
      <c r="B296" s="148" t="s">
        <v>764</v>
      </c>
      <c r="C296" s="143" t="s">
        <v>2504</v>
      </c>
      <c r="D296" s="143" t="s">
        <v>2504</v>
      </c>
      <c r="E296" s="143" t="s">
        <v>2504</v>
      </c>
      <c r="F296" s="143" t="s">
        <v>2504</v>
      </c>
      <c r="G296" s="143" t="s">
        <v>2504</v>
      </c>
      <c r="H296" s="143" t="s">
        <v>2504</v>
      </c>
      <c r="I296" s="143" t="str">
        <f t="shared" si="50"/>
        <v>NO EXISTE</v>
      </c>
      <c r="J296" s="143" t="str">
        <f t="shared" si="51"/>
        <v>NO EXISTE</v>
      </c>
      <c r="K296" s="143" t="str">
        <f t="shared" si="52"/>
        <v>NO EXISTE</v>
      </c>
      <c r="L296" s="143" t="str">
        <f t="shared" si="53"/>
        <v>NO EXISTE</v>
      </c>
      <c r="M296" s="143" t="str">
        <f t="shared" si="54"/>
        <v>NO EXISTE</v>
      </c>
      <c r="N296" s="143" t="str">
        <f t="shared" si="55"/>
        <v>NO EXISTE</v>
      </c>
      <c r="O296" s="143" t="str">
        <f t="shared" si="56"/>
        <v>NO EXISTE</v>
      </c>
      <c r="P296" s="143" t="str">
        <f t="shared" si="57"/>
        <v>NO EXISTE</v>
      </c>
      <c r="Q296" s="302" t="s">
        <v>765</v>
      </c>
      <c r="R296" s="148" t="s">
        <v>606</v>
      </c>
      <c r="S296" s="148" t="s">
        <v>766</v>
      </c>
      <c r="T296" s="149">
        <v>19</v>
      </c>
      <c r="U296" s="148" t="s">
        <v>596</v>
      </c>
      <c r="V296" s="150">
        <v>5319.69</v>
      </c>
      <c r="W296" s="151">
        <v>19463.45</v>
      </c>
    </row>
    <row r="297" spans="1:23" ht="15" customHeight="1" x14ac:dyDescent="0.25">
      <c r="A297" s="148">
        <v>336</v>
      </c>
      <c r="B297" s="148" t="s">
        <v>767</v>
      </c>
      <c r="C297" s="143" t="s">
        <v>2504</v>
      </c>
      <c r="D297" s="143" t="s">
        <v>2504</v>
      </c>
      <c r="E297" s="143" t="s">
        <v>2504</v>
      </c>
      <c r="F297" s="143" t="s">
        <v>2504</v>
      </c>
      <c r="G297" s="143" t="s">
        <v>2504</v>
      </c>
      <c r="H297" s="143" t="s">
        <v>2504</v>
      </c>
      <c r="I297" s="143" t="str">
        <f t="shared" si="50"/>
        <v>NO EXISTE</v>
      </c>
      <c r="J297" s="143" t="str">
        <f t="shared" si="51"/>
        <v>NO EXISTE</v>
      </c>
      <c r="K297" s="143" t="str">
        <f t="shared" si="52"/>
        <v>NO EXISTE</v>
      </c>
      <c r="L297" s="143" t="str">
        <f t="shared" si="53"/>
        <v>NO EXISTE</v>
      </c>
      <c r="M297" s="143" t="str">
        <f t="shared" si="54"/>
        <v>NO EXISTE</v>
      </c>
      <c r="N297" s="143" t="str">
        <f t="shared" si="55"/>
        <v>NO EXISTE</v>
      </c>
      <c r="O297" s="143" t="str">
        <f t="shared" si="56"/>
        <v>NO EXISTE</v>
      </c>
      <c r="P297" s="143" t="str">
        <f t="shared" si="57"/>
        <v>NO EXISTE</v>
      </c>
      <c r="Q297" s="302" t="s">
        <v>768</v>
      </c>
      <c r="R297" s="148" t="s">
        <v>600</v>
      </c>
      <c r="S297" s="148" t="s">
        <v>613</v>
      </c>
      <c r="T297" s="149">
        <v>0.95</v>
      </c>
      <c r="U297" s="148" t="s">
        <v>596</v>
      </c>
      <c r="V297" s="150">
        <v>49.27</v>
      </c>
      <c r="W297" s="151">
        <f>V297*12</f>
        <v>591.24</v>
      </c>
    </row>
    <row r="298" spans="1:23" ht="15" customHeight="1" x14ac:dyDescent="0.25">
      <c r="A298" s="148">
        <v>366</v>
      </c>
      <c r="B298" s="148" t="s">
        <v>773</v>
      </c>
      <c r="C298" s="143" t="s">
        <v>2504</v>
      </c>
      <c r="D298" s="143" t="s">
        <v>2504</v>
      </c>
      <c r="E298" s="143" t="s">
        <v>2504</v>
      </c>
      <c r="F298" s="143" t="s">
        <v>2504</v>
      </c>
      <c r="G298" s="143" t="s">
        <v>2504</v>
      </c>
      <c r="H298" s="143" t="s">
        <v>2504</v>
      </c>
      <c r="I298" s="143" t="str">
        <f t="shared" si="50"/>
        <v>NO EXISTE</v>
      </c>
      <c r="J298" s="143" t="str">
        <f t="shared" si="51"/>
        <v>NO EXISTE</v>
      </c>
      <c r="K298" s="143" t="str">
        <f t="shared" si="52"/>
        <v>NO EXISTE</v>
      </c>
      <c r="L298" s="143" t="str">
        <f t="shared" si="53"/>
        <v>NO EXISTE</v>
      </c>
      <c r="M298" s="143" t="str">
        <f t="shared" si="54"/>
        <v>NO EXISTE</v>
      </c>
      <c r="N298" s="143" t="str">
        <f t="shared" si="55"/>
        <v>NO EXISTE</v>
      </c>
      <c r="O298" s="143" t="str">
        <f t="shared" si="56"/>
        <v>NO EXISTE</v>
      </c>
      <c r="P298" s="143" t="str">
        <f t="shared" si="57"/>
        <v>NO EXISTE</v>
      </c>
      <c r="Q298" s="302" t="s">
        <v>774</v>
      </c>
      <c r="R298" s="148" t="s">
        <v>600</v>
      </c>
      <c r="S298" s="148" t="s">
        <v>770</v>
      </c>
      <c r="T298" s="149">
        <v>0.443</v>
      </c>
      <c r="U298" s="148" t="s">
        <v>596</v>
      </c>
      <c r="V298" s="150">
        <v>9.26</v>
      </c>
      <c r="W298" s="151">
        <v>822.82</v>
      </c>
    </row>
    <row r="299" spans="1:23" ht="15" customHeight="1" x14ac:dyDescent="0.25">
      <c r="A299" s="148">
        <v>370</v>
      </c>
      <c r="B299" s="148" t="s">
        <v>777</v>
      </c>
      <c r="C299" s="143" t="s">
        <v>2504</v>
      </c>
      <c r="D299" s="143" t="s">
        <v>2504</v>
      </c>
      <c r="E299" s="143" t="s">
        <v>2504</v>
      </c>
      <c r="F299" s="143" t="s">
        <v>2504</v>
      </c>
      <c r="G299" s="143" t="s">
        <v>2504</v>
      </c>
      <c r="H299" s="143" t="s">
        <v>2504</v>
      </c>
      <c r="I299" s="143" t="str">
        <f t="shared" si="50"/>
        <v>NO EXISTE</v>
      </c>
      <c r="J299" s="143" t="str">
        <f t="shared" si="51"/>
        <v>NO EXISTE</v>
      </c>
      <c r="K299" s="143" t="str">
        <f t="shared" si="52"/>
        <v>NO EXISTE</v>
      </c>
      <c r="L299" s="143" t="str">
        <f t="shared" si="53"/>
        <v>NO EXISTE</v>
      </c>
      <c r="M299" s="143" t="str">
        <f t="shared" si="54"/>
        <v>NO EXISTE</v>
      </c>
      <c r="N299" s="143" t="str">
        <f t="shared" si="55"/>
        <v>NO EXISTE</v>
      </c>
      <c r="O299" s="143" t="str">
        <f t="shared" si="56"/>
        <v>NO EXISTE</v>
      </c>
      <c r="P299" s="143" t="str">
        <f t="shared" si="57"/>
        <v>NO EXISTE</v>
      </c>
      <c r="Q299" s="302" t="s">
        <v>778</v>
      </c>
      <c r="R299" s="148" t="s">
        <v>594</v>
      </c>
      <c r="S299" s="148" t="s">
        <v>776</v>
      </c>
      <c r="T299" s="149">
        <v>19</v>
      </c>
      <c r="U299" s="148" t="s">
        <v>596</v>
      </c>
      <c r="V299" s="150">
        <v>2080.5500000000002</v>
      </c>
      <c r="W299" s="151">
        <f>V299*24</f>
        <v>49933.200000000004</v>
      </c>
    </row>
    <row r="300" spans="1:23" ht="15" customHeight="1" x14ac:dyDescent="0.25">
      <c r="A300" s="148">
        <v>411</v>
      </c>
      <c r="B300" s="148" t="s">
        <v>790</v>
      </c>
      <c r="C300" s="143" t="s">
        <v>2504</v>
      </c>
      <c r="D300" s="143" t="s">
        <v>2504</v>
      </c>
      <c r="E300" s="143" t="s">
        <v>2504</v>
      </c>
      <c r="F300" s="143" t="s">
        <v>2504</v>
      </c>
      <c r="G300" s="143" t="s">
        <v>2504</v>
      </c>
      <c r="H300" s="143" t="s">
        <v>2504</v>
      </c>
      <c r="I300" s="143" t="str">
        <f t="shared" si="50"/>
        <v>NO EXISTE</v>
      </c>
      <c r="J300" s="143" t="str">
        <f t="shared" si="51"/>
        <v>NO EXISTE</v>
      </c>
      <c r="K300" s="143" t="str">
        <f t="shared" si="52"/>
        <v>NO EXISTE</v>
      </c>
      <c r="L300" s="143" t="str">
        <f t="shared" si="53"/>
        <v>NO EXISTE</v>
      </c>
      <c r="M300" s="143" t="str">
        <f t="shared" si="54"/>
        <v>NO EXISTE</v>
      </c>
      <c r="N300" s="143" t="str">
        <f t="shared" si="55"/>
        <v>NO EXISTE</v>
      </c>
      <c r="O300" s="143" t="str">
        <f t="shared" si="56"/>
        <v>NO EXISTE</v>
      </c>
      <c r="P300" s="143" t="str">
        <f t="shared" si="57"/>
        <v>NO EXISTE</v>
      </c>
      <c r="Q300" s="302" t="s">
        <v>791</v>
      </c>
      <c r="R300" s="148" t="s">
        <v>589</v>
      </c>
      <c r="S300" s="148" t="s">
        <v>590</v>
      </c>
      <c r="T300" s="149">
        <v>0.95</v>
      </c>
      <c r="U300" s="148" t="s">
        <v>596</v>
      </c>
      <c r="V300" s="150">
        <v>51.56</v>
      </c>
      <c r="W300" s="151">
        <f>V300*24</f>
        <v>1237.44</v>
      </c>
    </row>
    <row r="301" spans="1:23" ht="15" customHeight="1" x14ac:dyDescent="0.25">
      <c r="A301" s="148">
        <v>414</v>
      </c>
      <c r="B301" s="148" t="s">
        <v>792</v>
      </c>
      <c r="C301" s="143" t="s">
        <v>2504</v>
      </c>
      <c r="D301" s="143" t="s">
        <v>2504</v>
      </c>
      <c r="E301" s="143" t="s">
        <v>2504</v>
      </c>
      <c r="F301" s="143" t="s">
        <v>2504</v>
      </c>
      <c r="G301" s="143" t="s">
        <v>2504</v>
      </c>
      <c r="H301" s="143" t="s">
        <v>2504</v>
      </c>
      <c r="I301" s="143" t="str">
        <f t="shared" si="50"/>
        <v>NO EXISTE</v>
      </c>
      <c r="J301" s="143" t="str">
        <f t="shared" si="51"/>
        <v>NO EXISTE</v>
      </c>
      <c r="K301" s="143" t="str">
        <f t="shared" si="52"/>
        <v>NO EXISTE</v>
      </c>
      <c r="L301" s="143" t="str">
        <f t="shared" si="53"/>
        <v>NO EXISTE</v>
      </c>
      <c r="M301" s="143" t="str">
        <f t="shared" si="54"/>
        <v>NO EXISTE</v>
      </c>
      <c r="N301" s="143" t="str">
        <f t="shared" si="55"/>
        <v>NO EXISTE</v>
      </c>
      <c r="O301" s="143" t="str">
        <f t="shared" si="56"/>
        <v>NO EXISTE</v>
      </c>
      <c r="P301" s="143" t="str">
        <f t="shared" si="57"/>
        <v>NO EXISTE</v>
      </c>
      <c r="Q301" s="302" t="s">
        <v>793</v>
      </c>
      <c r="R301" s="148" t="s">
        <v>589</v>
      </c>
      <c r="S301" s="148" t="s">
        <v>794</v>
      </c>
      <c r="T301" s="149">
        <v>1</v>
      </c>
      <c r="U301" s="148" t="s">
        <v>596</v>
      </c>
      <c r="V301" s="150">
        <v>40.28</v>
      </c>
      <c r="W301" s="151">
        <v>18157.86</v>
      </c>
    </row>
    <row r="302" spans="1:23" ht="15" customHeight="1" x14ac:dyDescent="0.25">
      <c r="A302" s="148">
        <v>425</v>
      </c>
      <c r="B302" s="148" t="s">
        <v>801</v>
      </c>
      <c r="C302" s="143" t="s">
        <v>2504</v>
      </c>
      <c r="D302" s="143" t="s">
        <v>2504</v>
      </c>
      <c r="E302" s="143" t="s">
        <v>2504</v>
      </c>
      <c r="F302" s="143" t="s">
        <v>2504</v>
      </c>
      <c r="G302" s="143" t="s">
        <v>2504</v>
      </c>
      <c r="H302" s="143" t="s">
        <v>2504</v>
      </c>
      <c r="I302" s="143" t="str">
        <f t="shared" si="50"/>
        <v>NO EXISTE</v>
      </c>
      <c r="J302" s="143" t="str">
        <f t="shared" si="51"/>
        <v>NO EXISTE</v>
      </c>
      <c r="K302" s="143" t="str">
        <f t="shared" si="52"/>
        <v>NO EXISTE</v>
      </c>
      <c r="L302" s="143" t="str">
        <f t="shared" si="53"/>
        <v>NO EXISTE</v>
      </c>
      <c r="M302" s="143" t="str">
        <f t="shared" si="54"/>
        <v>NO EXISTE</v>
      </c>
      <c r="N302" s="143" t="str">
        <f t="shared" si="55"/>
        <v>NO EXISTE</v>
      </c>
      <c r="O302" s="143" t="str">
        <f t="shared" si="56"/>
        <v>NO EXISTE</v>
      </c>
      <c r="P302" s="143" t="str">
        <f t="shared" si="57"/>
        <v>NO EXISTE</v>
      </c>
      <c r="Q302" s="302" t="s">
        <v>802</v>
      </c>
      <c r="R302" s="148" t="s">
        <v>594</v>
      </c>
      <c r="S302" s="148" t="s">
        <v>759</v>
      </c>
      <c r="T302" s="149">
        <v>0.95</v>
      </c>
      <c r="U302" s="148" t="s">
        <v>596</v>
      </c>
      <c r="V302" s="150">
        <v>171.7</v>
      </c>
      <c r="W302" s="151">
        <v>23035.22</v>
      </c>
    </row>
    <row r="303" spans="1:23" ht="15" customHeight="1" x14ac:dyDescent="0.25">
      <c r="A303" s="148">
        <v>426</v>
      </c>
      <c r="B303" s="148" t="s">
        <v>803</v>
      </c>
      <c r="C303" s="143" t="s">
        <v>2504</v>
      </c>
      <c r="D303" s="143" t="s">
        <v>2504</v>
      </c>
      <c r="E303" s="143" t="s">
        <v>2504</v>
      </c>
      <c r="F303" s="143" t="s">
        <v>2504</v>
      </c>
      <c r="G303" s="143" t="s">
        <v>2504</v>
      </c>
      <c r="H303" s="143" t="s">
        <v>2504</v>
      </c>
      <c r="I303" s="143" t="str">
        <f t="shared" si="50"/>
        <v>NO EXISTE</v>
      </c>
      <c r="J303" s="143" t="str">
        <f t="shared" si="51"/>
        <v>NO EXISTE</v>
      </c>
      <c r="K303" s="143" t="str">
        <f t="shared" si="52"/>
        <v>NO EXISTE</v>
      </c>
      <c r="L303" s="143" t="str">
        <f t="shared" si="53"/>
        <v>NO EXISTE</v>
      </c>
      <c r="M303" s="143" t="str">
        <f t="shared" si="54"/>
        <v>NO EXISTE</v>
      </c>
      <c r="N303" s="143" t="str">
        <f t="shared" si="55"/>
        <v>NO EXISTE</v>
      </c>
      <c r="O303" s="143" t="str">
        <f t="shared" si="56"/>
        <v>NO EXISTE</v>
      </c>
      <c r="P303" s="143" t="str">
        <f t="shared" si="57"/>
        <v>NO EXISTE</v>
      </c>
      <c r="Q303" s="302" t="s">
        <v>804</v>
      </c>
      <c r="R303" s="148" t="s">
        <v>589</v>
      </c>
      <c r="S303" s="148" t="s">
        <v>627</v>
      </c>
      <c r="T303" s="149">
        <v>200</v>
      </c>
      <c r="U303" s="148" t="s">
        <v>596</v>
      </c>
      <c r="V303" s="150">
        <v>17313.86</v>
      </c>
      <c r="W303" s="151">
        <v>2181.56</v>
      </c>
    </row>
    <row r="304" spans="1:23" ht="15" customHeight="1" x14ac:dyDescent="0.25">
      <c r="A304" s="148">
        <v>427</v>
      </c>
      <c r="B304" s="148" t="s">
        <v>805</v>
      </c>
      <c r="C304" s="143" t="s">
        <v>2504</v>
      </c>
      <c r="D304" s="143" t="s">
        <v>2504</v>
      </c>
      <c r="E304" s="143" t="s">
        <v>2504</v>
      </c>
      <c r="F304" s="143" t="s">
        <v>2504</v>
      </c>
      <c r="G304" s="143" t="s">
        <v>2504</v>
      </c>
      <c r="H304" s="143" t="s">
        <v>2504</v>
      </c>
      <c r="I304" s="143" t="str">
        <f t="shared" si="50"/>
        <v>NO EXISTE</v>
      </c>
      <c r="J304" s="143" t="str">
        <f t="shared" si="51"/>
        <v>NO EXISTE</v>
      </c>
      <c r="K304" s="143" t="str">
        <f t="shared" si="52"/>
        <v>NO EXISTE</v>
      </c>
      <c r="L304" s="143" t="str">
        <f t="shared" si="53"/>
        <v>NO EXISTE</v>
      </c>
      <c r="M304" s="143" t="str">
        <f t="shared" si="54"/>
        <v>NO EXISTE</v>
      </c>
      <c r="N304" s="143" t="str">
        <f t="shared" si="55"/>
        <v>NO EXISTE</v>
      </c>
      <c r="O304" s="143" t="str">
        <f t="shared" si="56"/>
        <v>NO EXISTE</v>
      </c>
      <c r="P304" s="143" t="str">
        <f t="shared" si="57"/>
        <v>NO EXISTE</v>
      </c>
      <c r="Q304" s="302" t="s">
        <v>806</v>
      </c>
      <c r="R304" s="148" t="s">
        <v>589</v>
      </c>
      <c r="S304" s="148" t="s">
        <v>627</v>
      </c>
      <c r="T304" s="149">
        <v>3.7850000000000001</v>
      </c>
      <c r="U304" s="148" t="s">
        <v>596</v>
      </c>
      <c r="V304" s="150">
        <v>352.53</v>
      </c>
      <c r="W304" s="151">
        <f>V304*6</f>
        <v>2115.1799999999998</v>
      </c>
    </row>
    <row r="305" spans="1:23" ht="15" customHeight="1" x14ac:dyDescent="0.25">
      <c r="A305" s="148">
        <v>439</v>
      </c>
      <c r="B305" s="148" t="s">
        <v>815</v>
      </c>
      <c r="C305" s="143" t="s">
        <v>2504</v>
      </c>
      <c r="D305" s="143" t="s">
        <v>2504</v>
      </c>
      <c r="E305" s="143" t="s">
        <v>2504</v>
      </c>
      <c r="F305" s="143" t="s">
        <v>2504</v>
      </c>
      <c r="G305" s="143" t="s">
        <v>2504</v>
      </c>
      <c r="H305" s="143" t="s">
        <v>2504</v>
      </c>
      <c r="I305" s="143" t="str">
        <f t="shared" si="50"/>
        <v>NO EXISTE</v>
      </c>
      <c r="J305" s="143" t="str">
        <f t="shared" si="51"/>
        <v>NO EXISTE</v>
      </c>
      <c r="K305" s="143" t="str">
        <f t="shared" si="52"/>
        <v>NO EXISTE</v>
      </c>
      <c r="L305" s="143" t="str">
        <f t="shared" si="53"/>
        <v>NO EXISTE</v>
      </c>
      <c r="M305" s="143" t="str">
        <f t="shared" si="54"/>
        <v>NO EXISTE</v>
      </c>
      <c r="N305" s="143" t="str">
        <f t="shared" si="55"/>
        <v>NO EXISTE</v>
      </c>
      <c r="O305" s="143" t="str">
        <f t="shared" si="56"/>
        <v>NO EXISTE</v>
      </c>
      <c r="P305" s="143" t="str">
        <f t="shared" si="57"/>
        <v>NO EXISTE</v>
      </c>
      <c r="Q305" s="302" t="s">
        <v>816</v>
      </c>
      <c r="R305" s="148" t="s">
        <v>630</v>
      </c>
      <c r="S305" s="148" t="s">
        <v>817</v>
      </c>
      <c r="T305" s="149">
        <v>1</v>
      </c>
      <c r="U305" s="148" t="s">
        <v>596</v>
      </c>
      <c r="V305" s="150">
        <v>201.44</v>
      </c>
      <c r="W305" s="151">
        <f>V305*6</f>
        <v>1208.6399999999999</v>
      </c>
    </row>
    <row r="306" spans="1:23" ht="15" customHeight="1" x14ac:dyDescent="0.25">
      <c r="A306" s="148">
        <v>440</v>
      </c>
      <c r="B306" s="148" t="s">
        <v>818</v>
      </c>
      <c r="C306" s="143" t="s">
        <v>2504</v>
      </c>
      <c r="D306" s="143" t="s">
        <v>2504</v>
      </c>
      <c r="E306" s="143" t="s">
        <v>2504</v>
      </c>
      <c r="F306" s="143" t="s">
        <v>2504</v>
      </c>
      <c r="G306" s="143" t="s">
        <v>2504</v>
      </c>
      <c r="H306" s="143" t="s">
        <v>2504</v>
      </c>
      <c r="I306" s="143" t="str">
        <f t="shared" si="50"/>
        <v>NO EXISTE</v>
      </c>
      <c r="J306" s="143" t="str">
        <f t="shared" si="51"/>
        <v>NO EXISTE</v>
      </c>
      <c r="K306" s="143" t="str">
        <f t="shared" si="52"/>
        <v>NO EXISTE</v>
      </c>
      <c r="L306" s="143" t="str">
        <f t="shared" si="53"/>
        <v>NO EXISTE</v>
      </c>
      <c r="M306" s="143" t="str">
        <f t="shared" si="54"/>
        <v>NO EXISTE</v>
      </c>
      <c r="N306" s="143" t="str">
        <f t="shared" si="55"/>
        <v>NO EXISTE</v>
      </c>
      <c r="O306" s="143" t="str">
        <f t="shared" si="56"/>
        <v>NO EXISTE</v>
      </c>
      <c r="P306" s="143" t="str">
        <f t="shared" si="57"/>
        <v>NO EXISTE</v>
      </c>
      <c r="Q306" s="302" t="s">
        <v>819</v>
      </c>
      <c r="R306" s="148" t="s">
        <v>630</v>
      </c>
      <c r="S306" s="148" t="s">
        <v>817</v>
      </c>
      <c r="T306" s="149">
        <v>19</v>
      </c>
      <c r="U306" s="148" t="s">
        <v>596</v>
      </c>
      <c r="V306" s="150">
        <v>3926.95</v>
      </c>
      <c r="W306" s="151">
        <f>V306*6</f>
        <v>23561.699999999997</v>
      </c>
    </row>
    <row r="307" spans="1:23" ht="15" customHeight="1" x14ac:dyDescent="0.25">
      <c r="A307" s="148">
        <v>441</v>
      </c>
      <c r="B307" s="148" t="s">
        <v>820</v>
      </c>
      <c r="C307" s="143" t="s">
        <v>2504</v>
      </c>
      <c r="D307" s="143" t="s">
        <v>2504</v>
      </c>
      <c r="E307" s="143" t="s">
        <v>2504</v>
      </c>
      <c r="F307" s="143" t="s">
        <v>2504</v>
      </c>
      <c r="G307" s="143" t="s">
        <v>2504</v>
      </c>
      <c r="H307" s="143" t="s">
        <v>2504</v>
      </c>
      <c r="I307" s="143" t="str">
        <f t="shared" si="50"/>
        <v>NO EXISTE</v>
      </c>
      <c r="J307" s="143" t="str">
        <f t="shared" si="51"/>
        <v>NO EXISTE</v>
      </c>
      <c r="K307" s="143" t="str">
        <f t="shared" si="52"/>
        <v>NO EXISTE</v>
      </c>
      <c r="L307" s="143" t="str">
        <f t="shared" si="53"/>
        <v>NO EXISTE</v>
      </c>
      <c r="M307" s="143" t="str">
        <f t="shared" si="54"/>
        <v>NO EXISTE</v>
      </c>
      <c r="N307" s="143" t="str">
        <f t="shared" si="55"/>
        <v>NO EXISTE</v>
      </c>
      <c r="O307" s="143" t="str">
        <f t="shared" si="56"/>
        <v>NO EXISTE</v>
      </c>
      <c r="P307" s="143" t="str">
        <f t="shared" si="57"/>
        <v>NO EXISTE</v>
      </c>
      <c r="Q307" s="302" t="s">
        <v>821</v>
      </c>
      <c r="R307" s="148" t="s">
        <v>630</v>
      </c>
      <c r="S307" s="148" t="s">
        <v>817</v>
      </c>
      <c r="T307" s="149">
        <v>200</v>
      </c>
      <c r="U307" s="148" t="s">
        <v>596</v>
      </c>
      <c r="V307" s="150">
        <v>41239.230000000003</v>
      </c>
      <c r="W307" s="151">
        <f>V307*6</f>
        <v>247435.38</v>
      </c>
    </row>
    <row r="308" spans="1:23" ht="15" customHeight="1" x14ac:dyDescent="0.25">
      <c r="A308" s="148">
        <v>448</v>
      </c>
      <c r="B308" s="148" t="s">
        <v>828</v>
      </c>
      <c r="C308" s="143" t="s">
        <v>2504</v>
      </c>
      <c r="D308" s="143" t="s">
        <v>2504</v>
      </c>
      <c r="E308" s="143" t="s">
        <v>2504</v>
      </c>
      <c r="F308" s="143" t="s">
        <v>2504</v>
      </c>
      <c r="G308" s="143" t="s">
        <v>2504</v>
      </c>
      <c r="H308" s="143" t="s">
        <v>2504</v>
      </c>
      <c r="I308" s="143" t="str">
        <f t="shared" si="50"/>
        <v>NO EXISTE</v>
      </c>
      <c r="J308" s="143" t="str">
        <f t="shared" si="51"/>
        <v>NO EXISTE</v>
      </c>
      <c r="K308" s="143" t="str">
        <f t="shared" si="52"/>
        <v>NO EXISTE</v>
      </c>
      <c r="L308" s="143" t="str">
        <f t="shared" si="53"/>
        <v>NO EXISTE</v>
      </c>
      <c r="M308" s="143" t="str">
        <f t="shared" si="54"/>
        <v>NO EXISTE</v>
      </c>
      <c r="N308" s="143" t="str">
        <f t="shared" si="55"/>
        <v>NO EXISTE</v>
      </c>
      <c r="O308" s="143" t="str">
        <f t="shared" si="56"/>
        <v>NO EXISTE</v>
      </c>
      <c r="P308" s="143" t="str">
        <f t="shared" si="57"/>
        <v>NO EXISTE</v>
      </c>
      <c r="Q308" s="302" t="s">
        <v>829</v>
      </c>
      <c r="R308" s="148" t="s">
        <v>630</v>
      </c>
      <c r="S308" s="148" t="s">
        <v>830</v>
      </c>
      <c r="T308" s="149">
        <v>5</v>
      </c>
      <c r="U308" s="148" t="s">
        <v>596</v>
      </c>
      <c r="V308" s="150">
        <v>494.39</v>
      </c>
      <c r="W308" s="151">
        <f>V308*24</f>
        <v>11865.36</v>
      </c>
    </row>
    <row r="309" spans="1:23" ht="15" customHeight="1" x14ac:dyDescent="0.25">
      <c r="A309" s="148">
        <v>455</v>
      </c>
      <c r="B309" s="148" t="s">
        <v>831</v>
      </c>
      <c r="C309" s="143" t="s">
        <v>2504</v>
      </c>
      <c r="D309" s="143" t="s">
        <v>2504</v>
      </c>
      <c r="E309" s="143" t="s">
        <v>2504</v>
      </c>
      <c r="F309" s="143" t="s">
        <v>2504</v>
      </c>
      <c r="G309" s="143" t="s">
        <v>2504</v>
      </c>
      <c r="H309" s="143" t="s">
        <v>2504</v>
      </c>
      <c r="I309" s="143" t="str">
        <f t="shared" si="50"/>
        <v>NO EXISTE</v>
      </c>
      <c r="J309" s="143" t="str">
        <f t="shared" si="51"/>
        <v>NO EXISTE</v>
      </c>
      <c r="K309" s="143" t="str">
        <f t="shared" si="52"/>
        <v>NO EXISTE</v>
      </c>
      <c r="L309" s="143" t="str">
        <f t="shared" si="53"/>
        <v>NO EXISTE</v>
      </c>
      <c r="M309" s="143" t="str">
        <f t="shared" si="54"/>
        <v>NO EXISTE</v>
      </c>
      <c r="N309" s="143" t="str">
        <f t="shared" si="55"/>
        <v>NO EXISTE</v>
      </c>
      <c r="O309" s="143" t="str">
        <f t="shared" si="56"/>
        <v>NO EXISTE</v>
      </c>
      <c r="P309" s="143" t="str">
        <f t="shared" si="57"/>
        <v>NO EXISTE</v>
      </c>
      <c r="Q309" s="302" t="s">
        <v>832</v>
      </c>
      <c r="R309" s="148" t="s">
        <v>630</v>
      </c>
      <c r="S309" s="148" t="s">
        <v>830</v>
      </c>
      <c r="T309" s="149">
        <v>200</v>
      </c>
      <c r="U309" s="148" t="s">
        <v>596</v>
      </c>
      <c r="V309" s="150">
        <v>18085.96</v>
      </c>
      <c r="W309" s="151">
        <f>V309*12</f>
        <v>217031.52</v>
      </c>
    </row>
    <row r="310" spans="1:23" ht="15" customHeight="1" x14ac:dyDescent="0.25">
      <c r="A310" s="148">
        <v>458</v>
      </c>
      <c r="B310" s="148" t="s">
        <v>836</v>
      </c>
      <c r="C310" s="143" t="s">
        <v>2504</v>
      </c>
      <c r="D310" s="143" t="s">
        <v>2504</v>
      </c>
      <c r="E310" s="143" t="s">
        <v>2504</v>
      </c>
      <c r="F310" s="143" t="s">
        <v>2504</v>
      </c>
      <c r="G310" s="143" t="s">
        <v>2504</v>
      </c>
      <c r="H310" s="143" t="s">
        <v>2504</v>
      </c>
      <c r="I310" s="143" t="str">
        <f t="shared" si="50"/>
        <v>NO EXISTE</v>
      </c>
      <c r="J310" s="143" t="str">
        <f t="shared" si="51"/>
        <v>NO EXISTE</v>
      </c>
      <c r="K310" s="143" t="str">
        <f t="shared" si="52"/>
        <v>NO EXISTE</v>
      </c>
      <c r="L310" s="143" t="str">
        <f t="shared" si="53"/>
        <v>NO EXISTE</v>
      </c>
      <c r="M310" s="143" t="str">
        <f t="shared" si="54"/>
        <v>NO EXISTE</v>
      </c>
      <c r="N310" s="143" t="str">
        <f t="shared" si="55"/>
        <v>NO EXISTE</v>
      </c>
      <c r="O310" s="143" t="str">
        <f t="shared" si="56"/>
        <v>NO EXISTE</v>
      </c>
      <c r="P310" s="143" t="str">
        <f t="shared" si="57"/>
        <v>NO EXISTE</v>
      </c>
      <c r="Q310" s="302" t="s">
        <v>837</v>
      </c>
      <c r="R310" s="148" t="s">
        <v>630</v>
      </c>
      <c r="S310" s="148" t="s">
        <v>835</v>
      </c>
      <c r="T310" s="149">
        <v>200</v>
      </c>
      <c r="U310" s="148" t="s">
        <v>596</v>
      </c>
      <c r="V310" s="150">
        <v>18786.150000000001</v>
      </c>
      <c r="W310" s="151">
        <f>V310*6</f>
        <v>112716.90000000001</v>
      </c>
    </row>
    <row r="311" spans="1:23" ht="15" customHeight="1" x14ac:dyDescent="0.25">
      <c r="A311" s="148">
        <v>461</v>
      </c>
      <c r="B311" s="148" t="s">
        <v>838</v>
      </c>
      <c r="C311" s="143" t="s">
        <v>2504</v>
      </c>
      <c r="D311" s="143" t="s">
        <v>2504</v>
      </c>
      <c r="E311" s="143" t="s">
        <v>2504</v>
      </c>
      <c r="F311" s="143" t="s">
        <v>2504</v>
      </c>
      <c r="G311" s="143" t="s">
        <v>2504</v>
      </c>
      <c r="H311" s="143" t="s">
        <v>2504</v>
      </c>
      <c r="I311" s="143" t="str">
        <f t="shared" si="50"/>
        <v>NO EXISTE</v>
      </c>
      <c r="J311" s="143" t="str">
        <f t="shared" si="51"/>
        <v>NO EXISTE</v>
      </c>
      <c r="K311" s="143" t="str">
        <f t="shared" si="52"/>
        <v>NO EXISTE</v>
      </c>
      <c r="L311" s="143" t="str">
        <f t="shared" si="53"/>
        <v>NO EXISTE</v>
      </c>
      <c r="M311" s="143" t="str">
        <f t="shared" si="54"/>
        <v>NO EXISTE</v>
      </c>
      <c r="N311" s="143" t="str">
        <f t="shared" si="55"/>
        <v>NO EXISTE</v>
      </c>
      <c r="O311" s="143" t="str">
        <f t="shared" si="56"/>
        <v>NO EXISTE</v>
      </c>
      <c r="P311" s="143" t="str">
        <f t="shared" si="57"/>
        <v>NO EXISTE</v>
      </c>
      <c r="Q311" s="302" t="s">
        <v>839</v>
      </c>
      <c r="R311" s="148" t="s">
        <v>630</v>
      </c>
      <c r="S311" s="148" t="s">
        <v>840</v>
      </c>
      <c r="T311" s="149">
        <v>200</v>
      </c>
      <c r="U311" s="148" t="s">
        <v>596</v>
      </c>
      <c r="V311" s="150">
        <v>25205.42</v>
      </c>
      <c r="W311" s="151">
        <f>V311*6</f>
        <v>151232.51999999999</v>
      </c>
    </row>
    <row r="312" spans="1:23" ht="15" customHeight="1" x14ac:dyDescent="0.25">
      <c r="A312" s="148">
        <v>480</v>
      </c>
      <c r="B312" s="148" t="s">
        <v>843</v>
      </c>
      <c r="C312" s="143" t="s">
        <v>2504</v>
      </c>
      <c r="D312" s="143" t="s">
        <v>2504</v>
      </c>
      <c r="E312" s="143" t="s">
        <v>2504</v>
      </c>
      <c r="F312" s="143" t="s">
        <v>2504</v>
      </c>
      <c r="G312" s="143" t="s">
        <v>2504</v>
      </c>
      <c r="H312" s="143" t="s">
        <v>2504</v>
      </c>
      <c r="I312" s="143" t="str">
        <f t="shared" si="50"/>
        <v>NO EXISTE</v>
      </c>
      <c r="J312" s="143" t="str">
        <f t="shared" si="51"/>
        <v>NO EXISTE</v>
      </c>
      <c r="K312" s="143" t="str">
        <f t="shared" si="52"/>
        <v>NO EXISTE</v>
      </c>
      <c r="L312" s="143" t="str">
        <f t="shared" si="53"/>
        <v>NO EXISTE</v>
      </c>
      <c r="M312" s="143" t="str">
        <f t="shared" si="54"/>
        <v>NO EXISTE</v>
      </c>
      <c r="N312" s="143" t="str">
        <f t="shared" si="55"/>
        <v>NO EXISTE</v>
      </c>
      <c r="O312" s="143" t="str">
        <f t="shared" si="56"/>
        <v>NO EXISTE</v>
      </c>
      <c r="P312" s="143" t="str">
        <f t="shared" si="57"/>
        <v>NO EXISTE</v>
      </c>
      <c r="Q312" s="302" t="s">
        <v>844</v>
      </c>
      <c r="R312" s="148" t="s">
        <v>594</v>
      </c>
      <c r="S312" s="148" t="s">
        <v>759</v>
      </c>
      <c r="T312" s="149">
        <v>19</v>
      </c>
      <c r="U312" s="148" t="s">
        <v>596</v>
      </c>
      <c r="V312" s="150">
        <v>3306.87</v>
      </c>
      <c r="W312" s="151">
        <f>V312*6</f>
        <v>19841.22</v>
      </c>
    </row>
    <row r="313" spans="1:23" ht="15" customHeight="1" x14ac:dyDescent="0.25">
      <c r="A313" s="148">
        <v>484</v>
      </c>
      <c r="B313" s="148" t="s">
        <v>845</v>
      </c>
      <c r="C313" s="143" t="s">
        <v>2504</v>
      </c>
      <c r="D313" s="143" t="s">
        <v>2504</v>
      </c>
      <c r="E313" s="143" t="s">
        <v>2504</v>
      </c>
      <c r="F313" s="143" t="s">
        <v>2504</v>
      </c>
      <c r="G313" s="143" t="s">
        <v>2504</v>
      </c>
      <c r="H313" s="143" t="s">
        <v>2504</v>
      </c>
      <c r="I313" s="143" t="str">
        <f t="shared" si="50"/>
        <v>NO EXISTE</v>
      </c>
      <c r="J313" s="143" t="str">
        <f t="shared" si="51"/>
        <v>NO EXISTE</v>
      </c>
      <c r="K313" s="143" t="str">
        <f t="shared" si="52"/>
        <v>NO EXISTE</v>
      </c>
      <c r="L313" s="143" t="str">
        <f t="shared" si="53"/>
        <v>NO EXISTE</v>
      </c>
      <c r="M313" s="143" t="str">
        <f t="shared" si="54"/>
        <v>NO EXISTE</v>
      </c>
      <c r="N313" s="143" t="str">
        <f t="shared" si="55"/>
        <v>NO EXISTE</v>
      </c>
      <c r="O313" s="143" t="str">
        <f t="shared" si="56"/>
        <v>NO EXISTE</v>
      </c>
      <c r="P313" s="143" t="str">
        <f t="shared" si="57"/>
        <v>NO EXISTE</v>
      </c>
      <c r="Q313" s="302" t="s">
        <v>846</v>
      </c>
      <c r="R313" s="148" t="s">
        <v>630</v>
      </c>
      <c r="S313" s="148" t="s">
        <v>835</v>
      </c>
      <c r="T313" s="149">
        <v>200</v>
      </c>
      <c r="U313" s="148" t="s">
        <v>596</v>
      </c>
      <c r="V313" s="150">
        <v>19381.71</v>
      </c>
      <c r="W313" s="151">
        <f>V313*6</f>
        <v>116290.26</v>
      </c>
    </row>
    <row r="314" spans="1:23" ht="15" customHeight="1" x14ac:dyDescent="0.25">
      <c r="A314" s="148">
        <v>489</v>
      </c>
      <c r="B314" s="148" t="s">
        <v>849</v>
      </c>
      <c r="C314" s="143" t="s">
        <v>2504</v>
      </c>
      <c r="D314" s="143" t="s">
        <v>2504</v>
      </c>
      <c r="E314" s="143" t="s">
        <v>2504</v>
      </c>
      <c r="F314" s="143" t="s">
        <v>2504</v>
      </c>
      <c r="G314" s="143" t="s">
        <v>2504</v>
      </c>
      <c r="H314" s="143" t="s">
        <v>2504</v>
      </c>
      <c r="I314" s="143" t="str">
        <f t="shared" si="50"/>
        <v>NO EXISTE</v>
      </c>
      <c r="J314" s="143" t="str">
        <f t="shared" si="51"/>
        <v>NO EXISTE</v>
      </c>
      <c r="K314" s="143" t="str">
        <f t="shared" si="52"/>
        <v>NO EXISTE</v>
      </c>
      <c r="L314" s="143" t="str">
        <f t="shared" si="53"/>
        <v>NO EXISTE</v>
      </c>
      <c r="M314" s="143" t="str">
        <f t="shared" si="54"/>
        <v>NO EXISTE</v>
      </c>
      <c r="N314" s="143" t="str">
        <f t="shared" si="55"/>
        <v>NO EXISTE</v>
      </c>
      <c r="O314" s="143" t="str">
        <f t="shared" si="56"/>
        <v>NO EXISTE</v>
      </c>
      <c r="P314" s="143" t="str">
        <f t="shared" si="57"/>
        <v>NO EXISTE</v>
      </c>
      <c r="Q314" s="302" t="s">
        <v>850</v>
      </c>
      <c r="R314" s="148" t="s">
        <v>606</v>
      </c>
      <c r="S314" s="148" t="s">
        <v>618</v>
      </c>
      <c r="T314" s="149">
        <v>0.95</v>
      </c>
      <c r="U314" s="148" t="s">
        <v>596</v>
      </c>
      <c r="V314" s="150">
        <v>87.54</v>
      </c>
      <c r="W314" s="151">
        <v>12303.7</v>
      </c>
    </row>
    <row r="315" spans="1:23" ht="15" customHeight="1" x14ac:dyDescent="0.25">
      <c r="A315" s="148">
        <v>496</v>
      </c>
      <c r="B315" s="148" t="s">
        <v>856</v>
      </c>
      <c r="C315" s="143" t="s">
        <v>2504</v>
      </c>
      <c r="D315" s="143" t="s">
        <v>2504</v>
      </c>
      <c r="E315" s="143" t="s">
        <v>2504</v>
      </c>
      <c r="F315" s="143" t="s">
        <v>2504</v>
      </c>
      <c r="G315" s="143" t="s">
        <v>2504</v>
      </c>
      <c r="H315" s="143" t="s">
        <v>2504</v>
      </c>
      <c r="I315" s="143" t="str">
        <f t="shared" si="50"/>
        <v>NO EXISTE</v>
      </c>
      <c r="J315" s="143" t="str">
        <f t="shared" si="51"/>
        <v>NO EXISTE</v>
      </c>
      <c r="K315" s="143" t="str">
        <f t="shared" si="52"/>
        <v>NO EXISTE</v>
      </c>
      <c r="L315" s="143" t="str">
        <f t="shared" si="53"/>
        <v>NO EXISTE</v>
      </c>
      <c r="M315" s="143" t="str">
        <f t="shared" si="54"/>
        <v>NO EXISTE</v>
      </c>
      <c r="N315" s="143" t="str">
        <f t="shared" si="55"/>
        <v>NO EXISTE</v>
      </c>
      <c r="O315" s="143" t="str">
        <f t="shared" si="56"/>
        <v>NO EXISTE</v>
      </c>
      <c r="P315" s="143" t="str">
        <f t="shared" si="57"/>
        <v>NO EXISTE</v>
      </c>
      <c r="Q315" s="302" t="s">
        <v>857</v>
      </c>
      <c r="R315" s="148" t="s">
        <v>594</v>
      </c>
      <c r="S315" s="148" t="s">
        <v>858</v>
      </c>
      <c r="T315" s="149">
        <v>0.95</v>
      </c>
      <c r="U315" s="148" t="s">
        <v>596</v>
      </c>
      <c r="V315" s="150">
        <v>148.61000000000001</v>
      </c>
      <c r="W315" s="151">
        <v>1651.4</v>
      </c>
    </row>
    <row r="316" spans="1:23" ht="15" customHeight="1" x14ac:dyDescent="0.25">
      <c r="A316" s="148">
        <v>527</v>
      </c>
      <c r="B316" s="148" t="s">
        <v>864</v>
      </c>
      <c r="C316" s="143" t="s">
        <v>2504</v>
      </c>
      <c r="D316" s="143" t="s">
        <v>2504</v>
      </c>
      <c r="E316" s="143" t="s">
        <v>2504</v>
      </c>
      <c r="F316" s="143" t="s">
        <v>2504</v>
      </c>
      <c r="G316" s="143" t="s">
        <v>2504</v>
      </c>
      <c r="H316" s="143" t="s">
        <v>2504</v>
      </c>
      <c r="I316" s="143" t="str">
        <f t="shared" si="50"/>
        <v>NO EXISTE</v>
      </c>
      <c r="J316" s="143" t="str">
        <f t="shared" si="51"/>
        <v>NO EXISTE</v>
      </c>
      <c r="K316" s="143" t="str">
        <f t="shared" si="52"/>
        <v>NO EXISTE</v>
      </c>
      <c r="L316" s="143" t="str">
        <f t="shared" si="53"/>
        <v>NO EXISTE</v>
      </c>
      <c r="M316" s="143" t="str">
        <f t="shared" si="54"/>
        <v>NO EXISTE</v>
      </c>
      <c r="N316" s="143" t="str">
        <f t="shared" si="55"/>
        <v>NO EXISTE</v>
      </c>
      <c r="O316" s="143" t="str">
        <f t="shared" si="56"/>
        <v>NO EXISTE</v>
      </c>
      <c r="P316" s="143" t="str">
        <f t="shared" si="57"/>
        <v>NO EXISTE</v>
      </c>
      <c r="Q316" s="302" t="s">
        <v>865</v>
      </c>
      <c r="R316" s="148" t="s">
        <v>594</v>
      </c>
      <c r="S316" s="148" t="s">
        <v>595</v>
      </c>
      <c r="T316" s="149">
        <v>4</v>
      </c>
      <c r="U316" s="148" t="s">
        <v>596</v>
      </c>
      <c r="V316" s="150">
        <v>426.04</v>
      </c>
      <c r="W316" s="151">
        <v>1931.92</v>
      </c>
    </row>
    <row r="317" spans="1:23" ht="15" customHeight="1" x14ac:dyDescent="0.25">
      <c r="A317" s="148">
        <v>535</v>
      </c>
      <c r="B317" s="148" t="s">
        <v>870</v>
      </c>
      <c r="C317" s="143" t="s">
        <v>2504</v>
      </c>
      <c r="D317" s="143" t="s">
        <v>2504</v>
      </c>
      <c r="E317" s="143" t="s">
        <v>2504</v>
      </c>
      <c r="F317" s="143" t="s">
        <v>2504</v>
      </c>
      <c r="G317" s="143" t="s">
        <v>2504</v>
      </c>
      <c r="H317" s="143" t="s">
        <v>2504</v>
      </c>
      <c r="I317" s="143" t="str">
        <f t="shared" si="50"/>
        <v>NO EXISTE</v>
      </c>
      <c r="J317" s="143" t="str">
        <f t="shared" si="51"/>
        <v>NO EXISTE</v>
      </c>
      <c r="K317" s="143" t="str">
        <f t="shared" si="52"/>
        <v>NO EXISTE</v>
      </c>
      <c r="L317" s="143" t="str">
        <f t="shared" si="53"/>
        <v>NO EXISTE</v>
      </c>
      <c r="M317" s="143" t="str">
        <f t="shared" si="54"/>
        <v>NO EXISTE</v>
      </c>
      <c r="N317" s="143" t="str">
        <f t="shared" si="55"/>
        <v>NO EXISTE</v>
      </c>
      <c r="O317" s="143" t="str">
        <f t="shared" si="56"/>
        <v>NO EXISTE</v>
      </c>
      <c r="P317" s="143" t="str">
        <f t="shared" si="57"/>
        <v>NO EXISTE</v>
      </c>
      <c r="Q317" s="302" t="s">
        <v>871</v>
      </c>
      <c r="R317" s="148" t="s">
        <v>606</v>
      </c>
      <c r="S317" s="148" t="s">
        <v>618</v>
      </c>
      <c r="T317" s="149">
        <v>5</v>
      </c>
      <c r="U317" s="148" t="s">
        <v>596</v>
      </c>
      <c r="V317" s="150">
        <v>444.84</v>
      </c>
      <c r="W317" s="151">
        <v>1189.6099999999999</v>
      </c>
    </row>
    <row r="318" spans="1:23" ht="15" customHeight="1" x14ac:dyDescent="0.25">
      <c r="A318" s="148">
        <v>538</v>
      </c>
      <c r="B318" s="148" t="s">
        <v>874</v>
      </c>
      <c r="C318" s="143" t="s">
        <v>2504</v>
      </c>
      <c r="D318" s="143" t="s">
        <v>2504</v>
      </c>
      <c r="E318" s="143" t="s">
        <v>2504</v>
      </c>
      <c r="F318" s="143" t="s">
        <v>2504</v>
      </c>
      <c r="G318" s="143" t="s">
        <v>2504</v>
      </c>
      <c r="H318" s="143" t="s">
        <v>2504</v>
      </c>
      <c r="I318" s="143" t="str">
        <f t="shared" si="50"/>
        <v>NO EXISTE</v>
      </c>
      <c r="J318" s="143" t="str">
        <f t="shared" si="51"/>
        <v>NO EXISTE</v>
      </c>
      <c r="K318" s="143" t="str">
        <f t="shared" si="52"/>
        <v>NO EXISTE</v>
      </c>
      <c r="L318" s="143" t="str">
        <f t="shared" si="53"/>
        <v>NO EXISTE</v>
      </c>
      <c r="M318" s="143" t="str">
        <f t="shared" si="54"/>
        <v>NO EXISTE</v>
      </c>
      <c r="N318" s="143" t="str">
        <f t="shared" si="55"/>
        <v>NO EXISTE</v>
      </c>
      <c r="O318" s="143" t="str">
        <f t="shared" si="56"/>
        <v>NO EXISTE</v>
      </c>
      <c r="P318" s="143" t="str">
        <f t="shared" si="57"/>
        <v>NO EXISTE</v>
      </c>
      <c r="Q318" s="302" t="s">
        <v>875</v>
      </c>
      <c r="R318" s="148" t="s">
        <v>606</v>
      </c>
      <c r="S318" s="148" t="s">
        <v>645</v>
      </c>
      <c r="T318" s="149">
        <v>5</v>
      </c>
      <c r="U318" s="148" t="s">
        <v>596</v>
      </c>
      <c r="V318" s="150">
        <v>501.3</v>
      </c>
      <c r="W318" s="151">
        <v>2417.38</v>
      </c>
    </row>
    <row r="319" spans="1:23" ht="15" customHeight="1" x14ac:dyDescent="0.25">
      <c r="A319" s="148">
        <v>558</v>
      </c>
      <c r="B319" s="148" t="s">
        <v>882</v>
      </c>
      <c r="C319" s="143" t="s">
        <v>2504</v>
      </c>
      <c r="D319" s="143" t="s">
        <v>2504</v>
      </c>
      <c r="E319" s="143" t="s">
        <v>2504</v>
      </c>
      <c r="F319" s="143" t="s">
        <v>2504</v>
      </c>
      <c r="G319" s="143" t="s">
        <v>2504</v>
      </c>
      <c r="H319" s="143" t="s">
        <v>2504</v>
      </c>
      <c r="I319" s="143" t="str">
        <f t="shared" si="50"/>
        <v>NO EXISTE</v>
      </c>
      <c r="J319" s="143" t="str">
        <f t="shared" si="51"/>
        <v>NO EXISTE</v>
      </c>
      <c r="K319" s="143" t="str">
        <f t="shared" si="52"/>
        <v>NO EXISTE</v>
      </c>
      <c r="L319" s="143" t="str">
        <f t="shared" si="53"/>
        <v>NO EXISTE</v>
      </c>
      <c r="M319" s="143" t="str">
        <f t="shared" si="54"/>
        <v>NO EXISTE</v>
      </c>
      <c r="N319" s="143" t="str">
        <f t="shared" si="55"/>
        <v>NO EXISTE</v>
      </c>
      <c r="O319" s="143" t="str">
        <f t="shared" si="56"/>
        <v>NO EXISTE</v>
      </c>
      <c r="P319" s="143" t="str">
        <f t="shared" si="57"/>
        <v>NO EXISTE</v>
      </c>
      <c r="Q319" s="302" t="s">
        <v>883</v>
      </c>
      <c r="R319" s="148" t="s">
        <v>594</v>
      </c>
      <c r="S319" s="148" t="s">
        <v>669</v>
      </c>
      <c r="T319" s="149">
        <v>19</v>
      </c>
      <c r="U319" s="148" t="s">
        <v>596</v>
      </c>
      <c r="V319" s="150">
        <v>2723.76</v>
      </c>
      <c r="W319" s="151">
        <f t="shared" ref="W319:W366" si="58">V319*1000</f>
        <v>2723760</v>
      </c>
    </row>
    <row r="320" spans="1:23" ht="15" customHeight="1" x14ac:dyDescent="0.25">
      <c r="A320" s="148">
        <v>604</v>
      </c>
      <c r="B320" s="148" t="s">
        <v>897</v>
      </c>
      <c r="C320" s="143" t="s">
        <v>2504</v>
      </c>
      <c r="D320" s="143" t="s">
        <v>2504</v>
      </c>
      <c r="E320" s="143" t="s">
        <v>2504</v>
      </c>
      <c r="F320" s="143" t="s">
        <v>2504</v>
      </c>
      <c r="G320" s="143" t="s">
        <v>2504</v>
      </c>
      <c r="H320" s="143" t="s">
        <v>2504</v>
      </c>
      <c r="I320" s="143" t="str">
        <f t="shared" si="50"/>
        <v>NO EXISTE</v>
      </c>
      <c r="J320" s="143" t="str">
        <f t="shared" si="51"/>
        <v>NO EXISTE</v>
      </c>
      <c r="K320" s="143" t="str">
        <f t="shared" si="52"/>
        <v>NO EXISTE</v>
      </c>
      <c r="L320" s="143" t="str">
        <f t="shared" si="53"/>
        <v>NO EXISTE</v>
      </c>
      <c r="M320" s="143" t="str">
        <f t="shared" si="54"/>
        <v>NO EXISTE</v>
      </c>
      <c r="N320" s="143" t="str">
        <f t="shared" si="55"/>
        <v>NO EXISTE</v>
      </c>
      <c r="O320" s="143" t="str">
        <f t="shared" si="56"/>
        <v>NO EXISTE</v>
      </c>
      <c r="P320" s="143" t="str">
        <f t="shared" si="57"/>
        <v>NO EXISTE</v>
      </c>
      <c r="Q320" s="302" t="s">
        <v>898</v>
      </c>
      <c r="R320" s="148" t="s">
        <v>589</v>
      </c>
      <c r="S320" s="148" t="s">
        <v>627</v>
      </c>
      <c r="T320" s="149">
        <v>0.95</v>
      </c>
      <c r="U320" s="148" t="s">
        <v>596</v>
      </c>
      <c r="V320" s="150">
        <v>88.53</v>
      </c>
      <c r="W320" s="151">
        <f t="shared" si="58"/>
        <v>88530</v>
      </c>
    </row>
    <row r="321" spans="1:23" ht="15" customHeight="1" x14ac:dyDescent="0.25">
      <c r="A321" s="148">
        <v>654</v>
      </c>
      <c r="B321" s="148" t="s">
        <v>928</v>
      </c>
      <c r="C321" s="143" t="s">
        <v>2504</v>
      </c>
      <c r="D321" s="143" t="s">
        <v>2504</v>
      </c>
      <c r="E321" s="143" t="s">
        <v>2504</v>
      </c>
      <c r="F321" s="143" t="s">
        <v>2504</v>
      </c>
      <c r="G321" s="143" t="s">
        <v>2504</v>
      </c>
      <c r="H321" s="143" t="s">
        <v>2504</v>
      </c>
      <c r="I321" s="143" t="str">
        <f t="shared" si="50"/>
        <v>NO EXISTE</v>
      </c>
      <c r="J321" s="143" t="str">
        <f t="shared" si="51"/>
        <v>NO EXISTE</v>
      </c>
      <c r="K321" s="143" t="str">
        <f t="shared" si="52"/>
        <v>NO EXISTE</v>
      </c>
      <c r="L321" s="143" t="str">
        <f t="shared" si="53"/>
        <v>NO EXISTE</v>
      </c>
      <c r="M321" s="143" t="str">
        <f t="shared" si="54"/>
        <v>NO EXISTE</v>
      </c>
      <c r="N321" s="143" t="str">
        <f t="shared" si="55"/>
        <v>NO EXISTE</v>
      </c>
      <c r="O321" s="143" t="str">
        <f t="shared" si="56"/>
        <v>NO EXISTE</v>
      </c>
      <c r="P321" s="143" t="str">
        <f t="shared" si="57"/>
        <v>NO EXISTE</v>
      </c>
      <c r="Q321" s="302" t="s">
        <v>929</v>
      </c>
      <c r="R321" s="148" t="s">
        <v>694</v>
      </c>
      <c r="S321" s="148" t="s">
        <v>698</v>
      </c>
      <c r="T321" s="149">
        <v>0.95</v>
      </c>
      <c r="U321" s="148" t="s">
        <v>596</v>
      </c>
      <c r="V321" s="150">
        <v>115.47</v>
      </c>
      <c r="W321" s="151">
        <f t="shared" si="58"/>
        <v>115470</v>
      </c>
    </row>
    <row r="322" spans="1:23" ht="15" customHeight="1" x14ac:dyDescent="0.25">
      <c r="A322" s="148">
        <v>758</v>
      </c>
      <c r="B322" s="148" t="s">
        <v>953</v>
      </c>
      <c r="C322" s="143" t="s">
        <v>2504</v>
      </c>
      <c r="D322" s="143" t="s">
        <v>2504</v>
      </c>
      <c r="E322" s="143" t="s">
        <v>2504</v>
      </c>
      <c r="F322" s="143" t="s">
        <v>2504</v>
      </c>
      <c r="G322" s="143" t="s">
        <v>2504</v>
      </c>
      <c r="H322" s="143" t="s">
        <v>2504</v>
      </c>
      <c r="I322" s="143" t="str">
        <f t="shared" si="50"/>
        <v>NO EXISTE</v>
      </c>
      <c r="J322" s="143" t="str">
        <f t="shared" si="51"/>
        <v>NO EXISTE</v>
      </c>
      <c r="K322" s="143" t="str">
        <f t="shared" si="52"/>
        <v>NO EXISTE</v>
      </c>
      <c r="L322" s="143" t="str">
        <f t="shared" si="53"/>
        <v>NO EXISTE</v>
      </c>
      <c r="M322" s="143" t="str">
        <f t="shared" si="54"/>
        <v>NO EXISTE</v>
      </c>
      <c r="N322" s="143" t="str">
        <f t="shared" si="55"/>
        <v>NO EXISTE</v>
      </c>
      <c r="O322" s="143" t="str">
        <f t="shared" si="56"/>
        <v>NO EXISTE</v>
      </c>
      <c r="P322" s="143" t="str">
        <f t="shared" si="57"/>
        <v>NO EXISTE</v>
      </c>
      <c r="Q322" s="302" t="s">
        <v>954</v>
      </c>
      <c r="R322" s="148" t="s">
        <v>705</v>
      </c>
      <c r="S322" s="148" t="s">
        <v>727</v>
      </c>
      <c r="T322" s="149">
        <v>7</v>
      </c>
      <c r="U322" s="148" t="s">
        <v>596</v>
      </c>
      <c r="V322" s="150">
        <v>882.56</v>
      </c>
      <c r="W322" s="151">
        <f t="shared" si="58"/>
        <v>882560</v>
      </c>
    </row>
    <row r="323" spans="1:23" ht="15" customHeight="1" x14ac:dyDescent="0.25">
      <c r="A323" s="148">
        <v>759</v>
      </c>
      <c r="B323" s="148" t="s">
        <v>955</v>
      </c>
      <c r="C323" s="143" t="s">
        <v>2504</v>
      </c>
      <c r="D323" s="143" t="s">
        <v>2504</v>
      </c>
      <c r="E323" s="143" t="s">
        <v>2504</v>
      </c>
      <c r="F323" s="143" t="s">
        <v>2504</v>
      </c>
      <c r="G323" s="143" t="s">
        <v>2504</v>
      </c>
      <c r="H323" s="143" t="s">
        <v>2504</v>
      </c>
      <c r="I323" s="143" t="str">
        <f t="shared" si="50"/>
        <v>NO EXISTE</v>
      </c>
      <c r="J323" s="143" t="str">
        <f t="shared" si="51"/>
        <v>NO EXISTE</v>
      </c>
      <c r="K323" s="143" t="str">
        <f t="shared" si="52"/>
        <v>NO EXISTE</v>
      </c>
      <c r="L323" s="143" t="str">
        <f t="shared" si="53"/>
        <v>NO EXISTE</v>
      </c>
      <c r="M323" s="143" t="str">
        <f t="shared" si="54"/>
        <v>NO EXISTE</v>
      </c>
      <c r="N323" s="143" t="str">
        <f t="shared" si="55"/>
        <v>NO EXISTE</v>
      </c>
      <c r="O323" s="143" t="str">
        <f t="shared" si="56"/>
        <v>NO EXISTE</v>
      </c>
      <c r="P323" s="143" t="str">
        <f t="shared" si="57"/>
        <v>NO EXISTE</v>
      </c>
      <c r="Q323" s="302" t="s">
        <v>956</v>
      </c>
      <c r="R323" s="148" t="s">
        <v>705</v>
      </c>
      <c r="S323" s="148" t="s">
        <v>727</v>
      </c>
      <c r="T323" s="149">
        <v>16</v>
      </c>
      <c r="U323" s="148" t="s">
        <v>596</v>
      </c>
      <c r="V323" s="150">
        <v>1960.16</v>
      </c>
      <c r="W323" s="151">
        <f t="shared" si="58"/>
        <v>1960160</v>
      </c>
    </row>
    <row r="324" spans="1:23" ht="15" customHeight="1" x14ac:dyDescent="0.25">
      <c r="A324" s="148">
        <v>765</v>
      </c>
      <c r="B324" s="148" t="s">
        <v>957</v>
      </c>
      <c r="C324" s="143" t="s">
        <v>2504</v>
      </c>
      <c r="D324" s="143" t="s">
        <v>2504</v>
      </c>
      <c r="E324" s="143" t="s">
        <v>2504</v>
      </c>
      <c r="F324" s="143" t="s">
        <v>2504</v>
      </c>
      <c r="G324" s="143" t="s">
        <v>2504</v>
      </c>
      <c r="H324" s="143" t="s">
        <v>2504</v>
      </c>
      <c r="I324" s="143" t="str">
        <f t="shared" si="50"/>
        <v>NO EXISTE</v>
      </c>
      <c r="J324" s="143" t="str">
        <f t="shared" si="51"/>
        <v>NO EXISTE</v>
      </c>
      <c r="K324" s="143" t="str">
        <f t="shared" si="52"/>
        <v>NO EXISTE</v>
      </c>
      <c r="L324" s="143" t="str">
        <f t="shared" si="53"/>
        <v>NO EXISTE</v>
      </c>
      <c r="M324" s="143" t="str">
        <f t="shared" si="54"/>
        <v>NO EXISTE</v>
      </c>
      <c r="N324" s="143" t="str">
        <f t="shared" si="55"/>
        <v>NO EXISTE</v>
      </c>
      <c r="O324" s="143" t="str">
        <f t="shared" si="56"/>
        <v>NO EXISTE</v>
      </c>
      <c r="P324" s="143" t="str">
        <f t="shared" si="57"/>
        <v>NO EXISTE</v>
      </c>
      <c r="Q324" s="302" t="s">
        <v>958</v>
      </c>
      <c r="R324" s="148" t="s">
        <v>606</v>
      </c>
      <c r="S324" s="148" t="s">
        <v>497</v>
      </c>
      <c r="T324" s="149">
        <v>200</v>
      </c>
      <c r="U324" s="148" t="s">
        <v>596</v>
      </c>
      <c r="V324" s="150">
        <v>55672.01</v>
      </c>
      <c r="W324" s="151">
        <f t="shared" si="58"/>
        <v>55672010</v>
      </c>
    </row>
    <row r="325" spans="1:23" ht="15" customHeight="1" x14ac:dyDescent="0.25">
      <c r="A325" s="148">
        <v>809</v>
      </c>
      <c r="B325" s="148" t="s">
        <v>970</v>
      </c>
      <c r="C325" s="143" t="s">
        <v>2504</v>
      </c>
      <c r="D325" s="143" t="s">
        <v>2504</v>
      </c>
      <c r="E325" s="143" t="s">
        <v>2504</v>
      </c>
      <c r="F325" s="143" t="s">
        <v>2504</v>
      </c>
      <c r="G325" s="143" t="s">
        <v>2504</v>
      </c>
      <c r="H325" s="143" t="s">
        <v>2504</v>
      </c>
      <c r="I325" s="143" t="str">
        <f t="shared" si="50"/>
        <v>NO EXISTE</v>
      </c>
      <c r="J325" s="143" t="str">
        <f t="shared" si="51"/>
        <v>NO EXISTE</v>
      </c>
      <c r="K325" s="143" t="str">
        <f t="shared" si="52"/>
        <v>NO EXISTE</v>
      </c>
      <c r="L325" s="143" t="str">
        <f t="shared" si="53"/>
        <v>NO EXISTE</v>
      </c>
      <c r="M325" s="143" t="str">
        <f t="shared" si="54"/>
        <v>NO EXISTE</v>
      </c>
      <c r="N325" s="143" t="str">
        <f t="shared" si="55"/>
        <v>NO EXISTE</v>
      </c>
      <c r="O325" s="143" t="str">
        <f t="shared" si="56"/>
        <v>NO EXISTE</v>
      </c>
      <c r="P325" s="143" t="str">
        <f t="shared" si="57"/>
        <v>NO EXISTE</v>
      </c>
      <c r="Q325" s="302" t="s">
        <v>971</v>
      </c>
      <c r="R325" s="148" t="s">
        <v>594</v>
      </c>
      <c r="S325" s="148" t="s">
        <v>604</v>
      </c>
      <c r="T325" s="149">
        <v>0.95</v>
      </c>
      <c r="U325" s="148" t="s">
        <v>596</v>
      </c>
      <c r="V325" s="150">
        <v>106.1</v>
      </c>
      <c r="W325" s="151">
        <f t="shared" si="58"/>
        <v>106100</v>
      </c>
    </row>
    <row r="326" spans="1:23" ht="15" customHeight="1" x14ac:dyDescent="0.25">
      <c r="A326" s="148">
        <v>810</v>
      </c>
      <c r="B326" s="148" t="s">
        <v>972</v>
      </c>
      <c r="C326" s="143" t="s">
        <v>2504</v>
      </c>
      <c r="D326" s="143" t="s">
        <v>2504</v>
      </c>
      <c r="E326" s="143" t="s">
        <v>2504</v>
      </c>
      <c r="F326" s="143" t="s">
        <v>2504</v>
      </c>
      <c r="G326" s="143" t="s">
        <v>2504</v>
      </c>
      <c r="H326" s="143" t="s">
        <v>2504</v>
      </c>
      <c r="I326" s="143" t="str">
        <f t="shared" si="50"/>
        <v>NO EXISTE</v>
      </c>
      <c r="J326" s="143" t="str">
        <f t="shared" si="51"/>
        <v>NO EXISTE</v>
      </c>
      <c r="K326" s="143" t="str">
        <f t="shared" si="52"/>
        <v>NO EXISTE</v>
      </c>
      <c r="L326" s="143" t="str">
        <f t="shared" si="53"/>
        <v>NO EXISTE</v>
      </c>
      <c r="M326" s="143" t="str">
        <f t="shared" si="54"/>
        <v>NO EXISTE</v>
      </c>
      <c r="N326" s="143" t="str">
        <f t="shared" si="55"/>
        <v>NO EXISTE</v>
      </c>
      <c r="O326" s="143" t="str">
        <f t="shared" si="56"/>
        <v>NO EXISTE</v>
      </c>
      <c r="P326" s="143" t="str">
        <f t="shared" si="57"/>
        <v>NO EXISTE</v>
      </c>
      <c r="Q326" s="302" t="s">
        <v>973</v>
      </c>
      <c r="R326" s="148" t="s">
        <v>594</v>
      </c>
      <c r="S326" s="148" t="s">
        <v>604</v>
      </c>
      <c r="T326" s="149">
        <v>5</v>
      </c>
      <c r="U326" s="148" t="s">
        <v>596</v>
      </c>
      <c r="V326" s="150">
        <v>556.6</v>
      </c>
      <c r="W326" s="151">
        <f t="shared" si="58"/>
        <v>556600</v>
      </c>
    </row>
    <row r="327" spans="1:23" ht="15" customHeight="1" x14ac:dyDescent="0.25">
      <c r="A327" s="148">
        <v>811</v>
      </c>
      <c r="B327" s="148" t="s">
        <v>974</v>
      </c>
      <c r="C327" s="143" t="s">
        <v>2504</v>
      </c>
      <c r="D327" s="143" t="s">
        <v>2504</v>
      </c>
      <c r="E327" s="143" t="s">
        <v>2504</v>
      </c>
      <c r="F327" s="143" t="s">
        <v>2504</v>
      </c>
      <c r="G327" s="143" t="s">
        <v>2504</v>
      </c>
      <c r="H327" s="143" t="s">
        <v>2504</v>
      </c>
      <c r="I327" s="143" t="str">
        <f t="shared" si="50"/>
        <v>NO EXISTE</v>
      </c>
      <c r="J327" s="143" t="str">
        <f t="shared" si="51"/>
        <v>NO EXISTE</v>
      </c>
      <c r="K327" s="143" t="str">
        <f t="shared" si="52"/>
        <v>NO EXISTE</v>
      </c>
      <c r="L327" s="143" t="str">
        <f t="shared" si="53"/>
        <v>NO EXISTE</v>
      </c>
      <c r="M327" s="143" t="str">
        <f t="shared" si="54"/>
        <v>NO EXISTE</v>
      </c>
      <c r="N327" s="143" t="str">
        <f t="shared" si="55"/>
        <v>NO EXISTE</v>
      </c>
      <c r="O327" s="143" t="str">
        <f t="shared" si="56"/>
        <v>NO EXISTE</v>
      </c>
      <c r="P327" s="143" t="str">
        <f t="shared" si="57"/>
        <v>NO EXISTE</v>
      </c>
      <c r="Q327" s="302" t="s">
        <v>975</v>
      </c>
      <c r="R327" s="148" t="s">
        <v>594</v>
      </c>
      <c r="S327" s="148" t="s">
        <v>604</v>
      </c>
      <c r="T327" s="149">
        <v>0.95</v>
      </c>
      <c r="U327" s="148" t="s">
        <v>596</v>
      </c>
      <c r="V327" s="150">
        <v>106.02</v>
      </c>
      <c r="W327" s="151">
        <f t="shared" si="58"/>
        <v>106020</v>
      </c>
    </row>
    <row r="328" spans="1:23" ht="15" customHeight="1" x14ac:dyDescent="0.25">
      <c r="A328" s="148">
        <v>813</v>
      </c>
      <c r="B328" s="148" t="s">
        <v>978</v>
      </c>
      <c r="C328" s="143" t="s">
        <v>2504</v>
      </c>
      <c r="D328" s="143" t="s">
        <v>2504</v>
      </c>
      <c r="E328" s="143" t="s">
        <v>2504</v>
      </c>
      <c r="F328" s="143" t="s">
        <v>2504</v>
      </c>
      <c r="G328" s="143" t="s">
        <v>2504</v>
      </c>
      <c r="H328" s="143" t="s">
        <v>2504</v>
      </c>
      <c r="I328" s="143" t="str">
        <f t="shared" si="50"/>
        <v>NO EXISTE</v>
      </c>
      <c r="J328" s="143" t="str">
        <f t="shared" si="51"/>
        <v>NO EXISTE</v>
      </c>
      <c r="K328" s="143" t="str">
        <f t="shared" si="52"/>
        <v>NO EXISTE</v>
      </c>
      <c r="L328" s="143" t="str">
        <f t="shared" si="53"/>
        <v>NO EXISTE</v>
      </c>
      <c r="M328" s="143" t="str">
        <f t="shared" si="54"/>
        <v>NO EXISTE</v>
      </c>
      <c r="N328" s="143" t="str">
        <f t="shared" si="55"/>
        <v>NO EXISTE</v>
      </c>
      <c r="O328" s="143" t="str">
        <f t="shared" si="56"/>
        <v>NO EXISTE</v>
      </c>
      <c r="P328" s="143" t="str">
        <f t="shared" si="57"/>
        <v>NO EXISTE</v>
      </c>
      <c r="Q328" s="302" t="s">
        <v>979</v>
      </c>
      <c r="R328" s="148" t="s">
        <v>594</v>
      </c>
      <c r="S328" s="148" t="s">
        <v>604</v>
      </c>
      <c r="T328" s="149">
        <v>19</v>
      </c>
      <c r="U328" s="148" t="s">
        <v>596</v>
      </c>
      <c r="V328" s="150">
        <v>2019.52</v>
      </c>
      <c r="W328" s="151">
        <f t="shared" si="58"/>
        <v>2019520</v>
      </c>
    </row>
    <row r="329" spans="1:23" ht="15" customHeight="1" x14ac:dyDescent="0.25">
      <c r="A329" s="148">
        <v>814</v>
      </c>
      <c r="B329" s="148" t="s">
        <v>980</v>
      </c>
      <c r="C329" s="143" t="s">
        <v>2504</v>
      </c>
      <c r="D329" s="143" t="s">
        <v>2504</v>
      </c>
      <c r="E329" s="143" t="s">
        <v>2504</v>
      </c>
      <c r="F329" s="143" t="s">
        <v>2504</v>
      </c>
      <c r="G329" s="143" t="s">
        <v>2504</v>
      </c>
      <c r="H329" s="143" t="s">
        <v>2504</v>
      </c>
      <c r="I329" s="143" t="str">
        <f t="shared" si="50"/>
        <v>NO EXISTE</v>
      </c>
      <c r="J329" s="143" t="str">
        <f t="shared" si="51"/>
        <v>NO EXISTE</v>
      </c>
      <c r="K329" s="143" t="str">
        <f t="shared" si="52"/>
        <v>NO EXISTE</v>
      </c>
      <c r="L329" s="143" t="str">
        <f t="shared" si="53"/>
        <v>NO EXISTE</v>
      </c>
      <c r="M329" s="143" t="str">
        <f t="shared" si="54"/>
        <v>NO EXISTE</v>
      </c>
      <c r="N329" s="143" t="str">
        <f t="shared" si="55"/>
        <v>NO EXISTE</v>
      </c>
      <c r="O329" s="143" t="str">
        <f t="shared" si="56"/>
        <v>NO EXISTE</v>
      </c>
      <c r="P329" s="143" t="str">
        <f t="shared" si="57"/>
        <v>NO EXISTE</v>
      </c>
      <c r="Q329" s="302" t="s">
        <v>981</v>
      </c>
      <c r="R329" s="148" t="s">
        <v>594</v>
      </c>
      <c r="S329" s="148" t="s">
        <v>604</v>
      </c>
      <c r="T329" s="149">
        <v>200</v>
      </c>
      <c r="U329" s="148" t="s">
        <v>596</v>
      </c>
      <c r="V329" s="150">
        <v>20975.48</v>
      </c>
      <c r="W329" s="151">
        <f t="shared" si="58"/>
        <v>20975480</v>
      </c>
    </row>
    <row r="330" spans="1:23" ht="15" customHeight="1" x14ac:dyDescent="0.25">
      <c r="A330" s="148">
        <v>816</v>
      </c>
      <c r="B330" s="148" t="s">
        <v>982</v>
      </c>
      <c r="C330" s="143" t="s">
        <v>2504</v>
      </c>
      <c r="D330" s="143" t="s">
        <v>2504</v>
      </c>
      <c r="E330" s="143" t="s">
        <v>2504</v>
      </c>
      <c r="F330" s="143" t="s">
        <v>2504</v>
      </c>
      <c r="G330" s="143" t="s">
        <v>2504</v>
      </c>
      <c r="H330" s="143" t="s">
        <v>2504</v>
      </c>
      <c r="I330" s="143" t="str">
        <f t="shared" si="50"/>
        <v>NO EXISTE</v>
      </c>
      <c r="J330" s="143" t="str">
        <f t="shared" si="51"/>
        <v>NO EXISTE</v>
      </c>
      <c r="K330" s="143" t="str">
        <f t="shared" si="52"/>
        <v>NO EXISTE</v>
      </c>
      <c r="L330" s="143" t="str">
        <f t="shared" si="53"/>
        <v>NO EXISTE</v>
      </c>
      <c r="M330" s="143" t="str">
        <f t="shared" si="54"/>
        <v>NO EXISTE</v>
      </c>
      <c r="N330" s="143" t="str">
        <f t="shared" si="55"/>
        <v>NO EXISTE</v>
      </c>
      <c r="O330" s="143" t="str">
        <f t="shared" si="56"/>
        <v>NO EXISTE</v>
      </c>
      <c r="P330" s="143" t="str">
        <f t="shared" si="57"/>
        <v>NO EXISTE</v>
      </c>
      <c r="Q330" s="302" t="s">
        <v>983</v>
      </c>
      <c r="R330" s="148" t="s">
        <v>594</v>
      </c>
      <c r="S330" s="148" t="s">
        <v>604</v>
      </c>
      <c r="T330" s="149">
        <v>19</v>
      </c>
      <c r="U330" s="148" t="s">
        <v>596</v>
      </c>
      <c r="V330" s="150">
        <v>2017.98</v>
      </c>
      <c r="W330" s="151">
        <f t="shared" si="58"/>
        <v>2017980</v>
      </c>
    </row>
    <row r="331" spans="1:23" ht="15" customHeight="1" x14ac:dyDescent="0.25">
      <c r="A331" s="148">
        <v>822</v>
      </c>
      <c r="B331" s="148" t="s">
        <v>984</v>
      </c>
      <c r="C331" s="143" t="s">
        <v>2504</v>
      </c>
      <c r="D331" s="143" t="s">
        <v>2504</v>
      </c>
      <c r="E331" s="143" t="s">
        <v>2504</v>
      </c>
      <c r="F331" s="143" t="s">
        <v>2504</v>
      </c>
      <c r="G331" s="143" t="s">
        <v>2504</v>
      </c>
      <c r="H331" s="143" t="s">
        <v>2504</v>
      </c>
      <c r="I331" s="143" t="str">
        <f t="shared" si="50"/>
        <v>NO EXISTE</v>
      </c>
      <c r="J331" s="143" t="str">
        <f t="shared" si="51"/>
        <v>NO EXISTE</v>
      </c>
      <c r="K331" s="143" t="str">
        <f t="shared" si="52"/>
        <v>NO EXISTE</v>
      </c>
      <c r="L331" s="143" t="str">
        <f t="shared" si="53"/>
        <v>NO EXISTE</v>
      </c>
      <c r="M331" s="143" t="str">
        <f t="shared" si="54"/>
        <v>NO EXISTE</v>
      </c>
      <c r="N331" s="143" t="str">
        <f t="shared" si="55"/>
        <v>NO EXISTE</v>
      </c>
      <c r="O331" s="143" t="str">
        <f t="shared" si="56"/>
        <v>NO EXISTE</v>
      </c>
      <c r="P331" s="143" t="str">
        <f t="shared" si="57"/>
        <v>NO EXISTE</v>
      </c>
      <c r="Q331" s="302" t="s">
        <v>985</v>
      </c>
      <c r="R331" s="148" t="s">
        <v>594</v>
      </c>
      <c r="S331" s="148" t="s">
        <v>986</v>
      </c>
      <c r="T331" s="149">
        <v>200</v>
      </c>
      <c r="U331" s="148" t="s">
        <v>596</v>
      </c>
      <c r="V331" s="150">
        <v>21028.12</v>
      </c>
      <c r="W331" s="151">
        <f t="shared" si="58"/>
        <v>21028120</v>
      </c>
    </row>
    <row r="332" spans="1:23" ht="15" customHeight="1" x14ac:dyDescent="0.25">
      <c r="A332" s="148">
        <v>824</v>
      </c>
      <c r="B332" s="148" t="s">
        <v>988</v>
      </c>
      <c r="C332" s="143" t="s">
        <v>2504</v>
      </c>
      <c r="D332" s="143" t="s">
        <v>2504</v>
      </c>
      <c r="E332" s="143" t="s">
        <v>2504</v>
      </c>
      <c r="F332" s="143" t="s">
        <v>2504</v>
      </c>
      <c r="G332" s="143" t="s">
        <v>2504</v>
      </c>
      <c r="H332" s="143" t="s">
        <v>2504</v>
      </c>
      <c r="I332" s="143" t="str">
        <f t="shared" si="50"/>
        <v>NO EXISTE</v>
      </c>
      <c r="J332" s="143" t="str">
        <f t="shared" si="51"/>
        <v>NO EXISTE</v>
      </c>
      <c r="K332" s="143" t="str">
        <f t="shared" si="52"/>
        <v>NO EXISTE</v>
      </c>
      <c r="L332" s="143" t="str">
        <f t="shared" si="53"/>
        <v>NO EXISTE</v>
      </c>
      <c r="M332" s="143" t="str">
        <f t="shared" si="54"/>
        <v>NO EXISTE</v>
      </c>
      <c r="N332" s="143" t="str">
        <f t="shared" si="55"/>
        <v>NO EXISTE</v>
      </c>
      <c r="O332" s="143" t="str">
        <f t="shared" si="56"/>
        <v>NO EXISTE</v>
      </c>
      <c r="P332" s="143" t="str">
        <f t="shared" si="57"/>
        <v>NO EXISTE</v>
      </c>
      <c r="Q332" s="302" t="s">
        <v>989</v>
      </c>
      <c r="R332" s="148" t="s">
        <v>594</v>
      </c>
      <c r="S332" s="148" t="s">
        <v>604</v>
      </c>
      <c r="T332" s="149">
        <v>5</v>
      </c>
      <c r="U332" s="148" t="s">
        <v>596</v>
      </c>
      <c r="V332" s="150">
        <v>555.33000000000004</v>
      </c>
      <c r="W332" s="151">
        <f t="shared" si="58"/>
        <v>555330</v>
      </c>
    </row>
    <row r="333" spans="1:23" ht="15" customHeight="1" x14ac:dyDescent="0.25">
      <c r="A333" s="148">
        <v>825</v>
      </c>
      <c r="B333" s="148" t="s">
        <v>990</v>
      </c>
      <c r="C333" s="143" t="s">
        <v>2504</v>
      </c>
      <c r="D333" s="143" t="s">
        <v>2504</v>
      </c>
      <c r="E333" s="143" t="s">
        <v>2504</v>
      </c>
      <c r="F333" s="143" t="s">
        <v>2504</v>
      </c>
      <c r="G333" s="143" t="s">
        <v>2504</v>
      </c>
      <c r="H333" s="143" t="s">
        <v>2504</v>
      </c>
      <c r="I333" s="143" t="str">
        <f t="shared" si="50"/>
        <v>NO EXISTE</v>
      </c>
      <c r="J333" s="143" t="str">
        <f t="shared" si="51"/>
        <v>NO EXISTE</v>
      </c>
      <c r="K333" s="143" t="str">
        <f t="shared" si="52"/>
        <v>NO EXISTE</v>
      </c>
      <c r="L333" s="143" t="str">
        <f t="shared" si="53"/>
        <v>NO EXISTE</v>
      </c>
      <c r="M333" s="143" t="str">
        <f t="shared" si="54"/>
        <v>NO EXISTE</v>
      </c>
      <c r="N333" s="143" t="str">
        <f t="shared" si="55"/>
        <v>NO EXISTE</v>
      </c>
      <c r="O333" s="143" t="str">
        <f t="shared" si="56"/>
        <v>NO EXISTE</v>
      </c>
      <c r="P333" s="143" t="str">
        <f t="shared" si="57"/>
        <v>NO EXISTE</v>
      </c>
      <c r="Q333" s="302" t="s">
        <v>991</v>
      </c>
      <c r="R333" s="148" t="s">
        <v>594</v>
      </c>
      <c r="S333" s="148" t="s">
        <v>604</v>
      </c>
      <c r="T333" s="149">
        <v>0.95</v>
      </c>
      <c r="U333" s="148" t="s">
        <v>596</v>
      </c>
      <c r="V333" s="150">
        <v>105.93</v>
      </c>
      <c r="W333" s="151">
        <f t="shared" si="58"/>
        <v>105930</v>
      </c>
    </row>
    <row r="334" spans="1:23" ht="15" customHeight="1" x14ac:dyDescent="0.25">
      <c r="A334" s="148">
        <v>827</v>
      </c>
      <c r="B334" s="148" t="s">
        <v>992</v>
      </c>
      <c r="C334" s="143" t="s">
        <v>2504</v>
      </c>
      <c r="D334" s="143" t="s">
        <v>2504</v>
      </c>
      <c r="E334" s="143" t="s">
        <v>2504</v>
      </c>
      <c r="F334" s="143" t="s">
        <v>2504</v>
      </c>
      <c r="G334" s="143" t="s">
        <v>2504</v>
      </c>
      <c r="H334" s="143" t="s">
        <v>2504</v>
      </c>
      <c r="I334" s="143" t="str">
        <f t="shared" si="50"/>
        <v>NO EXISTE</v>
      </c>
      <c r="J334" s="143" t="str">
        <f t="shared" si="51"/>
        <v>NO EXISTE</v>
      </c>
      <c r="K334" s="143" t="str">
        <f t="shared" si="52"/>
        <v>NO EXISTE</v>
      </c>
      <c r="L334" s="143" t="str">
        <f t="shared" si="53"/>
        <v>NO EXISTE</v>
      </c>
      <c r="M334" s="143" t="str">
        <f t="shared" si="54"/>
        <v>NO EXISTE</v>
      </c>
      <c r="N334" s="143" t="str">
        <f t="shared" si="55"/>
        <v>NO EXISTE</v>
      </c>
      <c r="O334" s="143" t="str">
        <f t="shared" si="56"/>
        <v>NO EXISTE</v>
      </c>
      <c r="P334" s="143" t="str">
        <f t="shared" si="57"/>
        <v>NO EXISTE</v>
      </c>
      <c r="Q334" s="302" t="s">
        <v>993</v>
      </c>
      <c r="R334" s="148" t="s">
        <v>594</v>
      </c>
      <c r="S334" s="148" t="s">
        <v>986</v>
      </c>
      <c r="T334" s="149">
        <v>0.95</v>
      </c>
      <c r="U334" s="148" t="s">
        <v>596</v>
      </c>
      <c r="V334" s="150">
        <v>102.78</v>
      </c>
      <c r="W334" s="151">
        <f t="shared" si="58"/>
        <v>102780</v>
      </c>
    </row>
    <row r="335" spans="1:23" ht="15" customHeight="1" x14ac:dyDescent="0.25">
      <c r="A335" s="148">
        <v>831</v>
      </c>
      <c r="B335" s="148" t="s">
        <v>994</v>
      </c>
      <c r="C335" s="143" t="s">
        <v>2504</v>
      </c>
      <c r="D335" s="143" t="s">
        <v>2504</v>
      </c>
      <c r="E335" s="143" t="s">
        <v>2504</v>
      </c>
      <c r="F335" s="143" t="s">
        <v>2504</v>
      </c>
      <c r="G335" s="143" t="s">
        <v>2504</v>
      </c>
      <c r="H335" s="143" t="s">
        <v>2504</v>
      </c>
      <c r="I335" s="143" t="str">
        <f t="shared" si="50"/>
        <v>NO EXISTE</v>
      </c>
      <c r="J335" s="143" t="str">
        <f t="shared" si="51"/>
        <v>NO EXISTE</v>
      </c>
      <c r="K335" s="143" t="str">
        <f t="shared" si="52"/>
        <v>NO EXISTE</v>
      </c>
      <c r="L335" s="143" t="str">
        <f t="shared" si="53"/>
        <v>NO EXISTE</v>
      </c>
      <c r="M335" s="143" t="str">
        <f t="shared" si="54"/>
        <v>NO EXISTE</v>
      </c>
      <c r="N335" s="143" t="str">
        <f t="shared" si="55"/>
        <v>NO EXISTE</v>
      </c>
      <c r="O335" s="143" t="str">
        <f t="shared" si="56"/>
        <v>NO EXISTE</v>
      </c>
      <c r="P335" s="143" t="str">
        <f t="shared" si="57"/>
        <v>NO EXISTE</v>
      </c>
      <c r="Q335" s="302" t="s">
        <v>995</v>
      </c>
      <c r="R335" s="148" t="s">
        <v>600</v>
      </c>
      <c r="S335" s="148" t="s">
        <v>996</v>
      </c>
      <c r="T335" s="149">
        <v>0.25</v>
      </c>
      <c r="U335" s="148" t="s">
        <v>596</v>
      </c>
      <c r="V335" s="150">
        <v>41.26</v>
      </c>
      <c r="W335" s="151">
        <f t="shared" si="58"/>
        <v>41260</v>
      </c>
    </row>
    <row r="336" spans="1:23" ht="15" customHeight="1" x14ac:dyDescent="0.25">
      <c r="A336" s="148">
        <v>833</v>
      </c>
      <c r="B336" s="148" t="s">
        <v>997</v>
      </c>
      <c r="C336" s="143" t="s">
        <v>2504</v>
      </c>
      <c r="D336" s="143" t="s">
        <v>2504</v>
      </c>
      <c r="E336" s="143" t="s">
        <v>2504</v>
      </c>
      <c r="F336" s="143" t="s">
        <v>2504</v>
      </c>
      <c r="G336" s="143" t="s">
        <v>2504</v>
      </c>
      <c r="H336" s="143" t="s">
        <v>2504</v>
      </c>
      <c r="I336" s="143" t="str">
        <f t="shared" si="50"/>
        <v>NO EXISTE</v>
      </c>
      <c r="J336" s="143" t="str">
        <f t="shared" si="51"/>
        <v>NO EXISTE</v>
      </c>
      <c r="K336" s="143" t="str">
        <f t="shared" si="52"/>
        <v>NO EXISTE</v>
      </c>
      <c r="L336" s="143" t="str">
        <f t="shared" si="53"/>
        <v>NO EXISTE</v>
      </c>
      <c r="M336" s="143" t="str">
        <f t="shared" si="54"/>
        <v>NO EXISTE</v>
      </c>
      <c r="N336" s="143" t="str">
        <f t="shared" si="55"/>
        <v>NO EXISTE</v>
      </c>
      <c r="O336" s="143" t="str">
        <f t="shared" si="56"/>
        <v>NO EXISTE</v>
      </c>
      <c r="P336" s="143" t="str">
        <f t="shared" si="57"/>
        <v>NO EXISTE</v>
      </c>
      <c r="Q336" s="302" t="s">
        <v>998</v>
      </c>
      <c r="R336" s="148" t="s">
        <v>594</v>
      </c>
      <c r="S336" s="148" t="s">
        <v>604</v>
      </c>
      <c r="T336" s="149">
        <v>19</v>
      </c>
      <c r="U336" s="148" t="s">
        <v>596</v>
      </c>
      <c r="V336" s="150">
        <v>2014.73</v>
      </c>
      <c r="W336" s="151">
        <f t="shared" si="58"/>
        <v>2014730</v>
      </c>
    </row>
    <row r="337" spans="1:23" ht="15" customHeight="1" x14ac:dyDescent="0.25">
      <c r="A337" s="148">
        <v>835</v>
      </c>
      <c r="B337" s="148" t="s">
        <v>999</v>
      </c>
      <c r="C337" s="143" t="s">
        <v>2504</v>
      </c>
      <c r="D337" s="143" t="s">
        <v>2504</v>
      </c>
      <c r="E337" s="143" t="s">
        <v>2504</v>
      </c>
      <c r="F337" s="143" t="s">
        <v>2504</v>
      </c>
      <c r="G337" s="143" t="s">
        <v>2504</v>
      </c>
      <c r="H337" s="143" t="s">
        <v>2504</v>
      </c>
      <c r="I337" s="143" t="str">
        <f t="shared" si="50"/>
        <v>NO EXISTE</v>
      </c>
      <c r="J337" s="143" t="str">
        <f t="shared" si="51"/>
        <v>NO EXISTE</v>
      </c>
      <c r="K337" s="143" t="str">
        <f t="shared" si="52"/>
        <v>NO EXISTE</v>
      </c>
      <c r="L337" s="143" t="str">
        <f t="shared" si="53"/>
        <v>NO EXISTE</v>
      </c>
      <c r="M337" s="143" t="str">
        <f t="shared" si="54"/>
        <v>NO EXISTE</v>
      </c>
      <c r="N337" s="143" t="str">
        <f t="shared" si="55"/>
        <v>NO EXISTE</v>
      </c>
      <c r="O337" s="143" t="str">
        <f t="shared" si="56"/>
        <v>NO EXISTE</v>
      </c>
      <c r="P337" s="143" t="str">
        <f t="shared" si="57"/>
        <v>NO EXISTE</v>
      </c>
      <c r="Q337" s="302" t="s">
        <v>1000</v>
      </c>
      <c r="R337" s="148" t="s">
        <v>594</v>
      </c>
      <c r="S337" s="148" t="s">
        <v>986</v>
      </c>
      <c r="T337" s="149">
        <v>19</v>
      </c>
      <c r="U337" s="148" t="s">
        <v>596</v>
      </c>
      <c r="V337" s="150">
        <v>1962.24</v>
      </c>
      <c r="W337" s="151">
        <f t="shared" si="58"/>
        <v>1962240</v>
      </c>
    </row>
    <row r="338" spans="1:23" ht="15" customHeight="1" x14ac:dyDescent="0.25">
      <c r="A338" s="148">
        <v>837</v>
      </c>
      <c r="B338" s="148" t="s">
        <v>1001</v>
      </c>
      <c r="C338" s="143" t="s">
        <v>2504</v>
      </c>
      <c r="D338" s="143" t="s">
        <v>2504</v>
      </c>
      <c r="E338" s="143" t="s">
        <v>2504</v>
      </c>
      <c r="F338" s="143" t="s">
        <v>2504</v>
      </c>
      <c r="G338" s="143" t="s">
        <v>2504</v>
      </c>
      <c r="H338" s="143" t="s">
        <v>2504</v>
      </c>
      <c r="I338" s="143" t="str">
        <f t="shared" si="50"/>
        <v>NO EXISTE</v>
      </c>
      <c r="J338" s="143" t="str">
        <f t="shared" si="51"/>
        <v>NO EXISTE</v>
      </c>
      <c r="K338" s="143" t="str">
        <f t="shared" si="52"/>
        <v>NO EXISTE</v>
      </c>
      <c r="L338" s="143" t="str">
        <f t="shared" si="53"/>
        <v>NO EXISTE</v>
      </c>
      <c r="M338" s="143" t="str">
        <f t="shared" si="54"/>
        <v>NO EXISTE</v>
      </c>
      <c r="N338" s="143" t="str">
        <f t="shared" si="55"/>
        <v>NO EXISTE</v>
      </c>
      <c r="O338" s="143" t="str">
        <f t="shared" si="56"/>
        <v>NO EXISTE</v>
      </c>
      <c r="P338" s="143" t="str">
        <f t="shared" si="57"/>
        <v>NO EXISTE</v>
      </c>
      <c r="Q338" s="302" t="s">
        <v>1002</v>
      </c>
      <c r="R338" s="148" t="s">
        <v>594</v>
      </c>
      <c r="S338" s="148" t="s">
        <v>604</v>
      </c>
      <c r="T338" s="149">
        <v>19</v>
      </c>
      <c r="U338" s="148" t="s">
        <v>596</v>
      </c>
      <c r="V338" s="150">
        <v>2007.48</v>
      </c>
      <c r="W338" s="151">
        <f t="shared" si="58"/>
        <v>2007480</v>
      </c>
    </row>
    <row r="339" spans="1:23" ht="15" customHeight="1" x14ac:dyDescent="0.25">
      <c r="A339" s="148">
        <v>838</v>
      </c>
      <c r="B339" s="148" t="s">
        <v>1003</v>
      </c>
      <c r="C339" s="143" t="s">
        <v>2504</v>
      </c>
      <c r="D339" s="143" t="s">
        <v>2504</v>
      </c>
      <c r="E339" s="143" t="s">
        <v>2504</v>
      </c>
      <c r="F339" s="143" t="s">
        <v>2504</v>
      </c>
      <c r="G339" s="143" t="s">
        <v>2504</v>
      </c>
      <c r="H339" s="143" t="s">
        <v>2504</v>
      </c>
      <c r="I339" s="143" t="str">
        <f t="shared" si="50"/>
        <v>NO EXISTE</v>
      </c>
      <c r="J339" s="143" t="str">
        <f t="shared" si="51"/>
        <v>NO EXISTE</v>
      </c>
      <c r="K339" s="143" t="str">
        <f t="shared" si="52"/>
        <v>NO EXISTE</v>
      </c>
      <c r="L339" s="143" t="str">
        <f t="shared" si="53"/>
        <v>NO EXISTE</v>
      </c>
      <c r="M339" s="143" t="str">
        <f t="shared" si="54"/>
        <v>NO EXISTE</v>
      </c>
      <c r="N339" s="143" t="str">
        <f t="shared" si="55"/>
        <v>NO EXISTE</v>
      </c>
      <c r="O339" s="143" t="str">
        <f t="shared" si="56"/>
        <v>NO EXISTE</v>
      </c>
      <c r="P339" s="143" t="str">
        <f t="shared" si="57"/>
        <v>NO EXISTE</v>
      </c>
      <c r="Q339" s="302" t="s">
        <v>1004</v>
      </c>
      <c r="R339" s="148" t="s">
        <v>594</v>
      </c>
      <c r="S339" s="148" t="s">
        <v>604</v>
      </c>
      <c r="T339" s="149">
        <v>200</v>
      </c>
      <c r="U339" s="148" t="s">
        <v>596</v>
      </c>
      <c r="V339" s="150">
        <v>20848.95</v>
      </c>
      <c r="W339" s="151">
        <f t="shared" si="58"/>
        <v>20848950</v>
      </c>
    </row>
    <row r="340" spans="1:23" ht="15" customHeight="1" x14ac:dyDescent="0.25">
      <c r="A340" s="148">
        <v>858</v>
      </c>
      <c r="B340" s="148" t="s">
        <v>1005</v>
      </c>
      <c r="C340" s="143" t="s">
        <v>2504</v>
      </c>
      <c r="D340" s="143" t="s">
        <v>2504</v>
      </c>
      <c r="E340" s="143" t="s">
        <v>2504</v>
      </c>
      <c r="F340" s="143" t="s">
        <v>2504</v>
      </c>
      <c r="G340" s="143" t="s">
        <v>2504</v>
      </c>
      <c r="H340" s="143" t="s">
        <v>2504</v>
      </c>
      <c r="I340" s="143" t="str">
        <f t="shared" si="50"/>
        <v>NO EXISTE</v>
      </c>
      <c r="J340" s="143" t="str">
        <f t="shared" si="51"/>
        <v>NO EXISTE</v>
      </c>
      <c r="K340" s="143" t="str">
        <f t="shared" si="52"/>
        <v>NO EXISTE</v>
      </c>
      <c r="L340" s="143" t="str">
        <f t="shared" si="53"/>
        <v>NO EXISTE</v>
      </c>
      <c r="M340" s="143" t="str">
        <f t="shared" si="54"/>
        <v>NO EXISTE</v>
      </c>
      <c r="N340" s="143" t="str">
        <f t="shared" si="55"/>
        <v>NO EXISTE</v>
      </c>
      <c r="O340" s="143" t="str">
        <f t="shared" si="56"/>
        <v>NO EXISTE</v>
      </c>
      <c r="P340" s="143" t="str">
        <f t="shared" si="57"/>
        <v>NO EXISTE</v>
      </c>
      <c r="Q340" s="302" t="s">
        <v>1006</v>
      </c>
      <c r="R340" s="148" t="s">
        <v>630</v>
      </c>
      <c r="S340" s="148" t="s">
        <v>830</v>
      </c>
      <c r="T340" s="149">
        <v>0.95</v>
      </c>
      <c r="U340" s="148" t="s">
        <v>596</v>
      </c>
      <c r="V340" s="150">
        <v>88.26</v>
      </c>
      <c r="W340" s="151">
        <f t="shared" si="58"/>
        <v>88260</v>
      </c>
    </row>
    <row r="341" spans="1:23" ht="15" customHeight="1" x14ac:dyDescent="0.25">
      <c r="A341" s="148">
        <v>897</v>
      </c>
      <c r="B341" s="148" t="s">
        <v>1010</v>
      </c>
      <c r="C341" s="143" t="s">
        <v>2504</v>
      </c>
      <c r="D341" s="143" t="s">
        <v>2504</v>
      </c>
      <c r="E341" s="143" t="s">
        <v>2504</v>
      </c>
      <c r="F341" s="143" t="s">
        <v>2504</v>
      </c>
      <c r="G341" s="143" t="s">
        <v>2504</v>
      </c>
      <c r="H341" s="143" t="s">
        <v>2504</v>
      </c>
      <c r="I341" s="143" t="str">
        <f t="shared" si="50"/>
        <v>NO EXISTE</v>
      </c>
      <c r="J341" s="143" t="str">
        <f t="shared" si="51"/>
        <v>NO EXISTE</v>
      </c>
      <c r="K341" s="143" t="str">
        <f t="shared" si="52"/>
        <v>NO EXISTE</v>
      </c>
      <c r="L341" s="143" t="str">
        <f t="shared" si="53"/>
        <v>NO EXISTE</v>
      </c>
      <c r="M341" s="143" t="str">
        <f t="shared" si="54"/>
        <v>NO EXISTE</v>
      </c>
      <c r="N341" s="143" t="str">
        <f t="shared" si="55"/>
        <v>NO EXISTE</v>
      </c>
      <c r="O341" s="143" t="str">
        <f t="shared" si="56"/>
        <v>NO EXISTE</v>
      </c>
      <c r="P341" s="143" t="str">
        <f t="shared" si="57"/>
        <v>NO EXISTE</v>
      </c>
      <c r="Q341" s="302" t="s">
        <v>1011</v>
      </c>
      <c r="R341" s="148" t="s">
        <v>594</v>
      </c>
      <c r="S341" s="148" t="s">
        <v>1012</v>
      </c>
      <c r="T341" s="149">
        <v>0.95</v>
      </c>
      <c r="U341" s="148" t="s">
        <v>596</v>
      </c>
      <c r="V341" s="150">
        <v>136.91999999999999</v>
      </c>
      <c r="W341" s="151">
        <f t="shared" si="58"/>
        <v>136920</v>
      </c>
    </row>
    <row r="342" spans="1:23" ht="15" customHeight="1" x14ac:dyDescent="0.25">
      <c r="A342" s="148">
        <v>1012</v>
      </c>
      <c r="B342" s="148" t="s">
        <v>1023</v>
      </c>
      <c r="C342" s="143" t="s">
        <v>2504</v>
      </c>
      <c r="D342" s="143" t="s">
        <v>2504</v>
      </c>
      <c r="E342" s="143" t="s">
        <v>2504</v>
      </c>
      <c r="F342" s="143" t="s">
        <v>2504</v>
      </c>
      <c r="G342" s="143" t="s">
        <v>2504</v>
      </c>
      <c r="H342" s="143" t="s">
        <v>2504</v>
      </c>
      <c r="I342" s="143" t="str">
        <f t="shared" si="50"/>
        <v>NO EXISTE</v>
      </c>
      <c r="J342" s="143" t="str">
        <f t="shared" si="51"/>
        <v>NO EXISTE</v>
      </c>
      <c r="K342" s="143" t="str">
        <f t="shared" si="52"/>
        <v>NO EXISTE</v>
      </c>
      <c r="L342" s="143" t="str">
        <f t="shared" si="53"/>
        <v>NO EXISTE</v>
      </c>
      <c r="M342" s="143" t="str">
        <f t="shared" si="54"/>
        <v>NO EXISTE</v>
      </c>
      <c r="N342" s="143" t="str">
        <f t="shared" si="55"/>
        <v>NO EXISTE</v>
      </c>
      <c r="O342" s="143" t="str">
        <f t="shared" si="56"/>
        <v>NO EXISTE</v>
      </c>
      <c r="P342" s="143" t="str">
        <f t="shared" si="57"/>
        <v>NO EXISTE</v>
      </c>
      <c r="Q342" s="302" t="s">
        <v>1024</v>
      </c>
      <c r="R342" s="148" t="s">
        <v>1025</v>
      </c>
      <c r="S342" s="148" t="s">
        <v>1026</v>
      </c>
      <c r="T342" s="149">
        <v>19</v>
      </c>
      <c r="U342" s="148" t="s">
        <v>596</v>
      </c>
      <c r="V342" s="150">
        <v>1979.93</v>
      </c>
      <c r="W342" s="151">
        <f t="shared" si="58"/>
        <v>1979930</v>
      </c>
    </row>
    <row r="343" spans="1:23" ht="15" customHeight="1" x14ac:dyDescent="0.25">
      <c r="A343" s="148">
        <v>1197</v>
      </c>
      <c r="B343" s="148" t="s">
        <v>1046</v>
      </c>
      <c r="C343" s="143" t="s">
        <v>2504</v>
      </c>
      <c r="D343" s="143" t="s">
        <v>2504</v>
      </c>
      <c r="E343" s="143" t="s">
        <v>2504</v>
      </c>
      <c r="F343" s="143" t="s">
        <v>2504</v>
      </c>
      <c r="G343" s="143" t="s">
        <v>2504</v>
      </c>
      <c r="H343" s="143" t="s">
        <v>2504</v>
      </c>
      <c r="I343" s="143" t="str">
        <f t="shared" si="50"/>
        <v>NO EXISTE</v>
      </c>
      <c r="J343" s="143" t="str">
        <f t="shared" si="51"/>
        <v>NO EXISTE</v>
      </c>
      <c r="K343" s="143" t="str">
        <f t="shared" si="52"/>
        <v>NO EXISTE</v>
      </c>
      <c r="L343" s="143" t="str">
        <f t="shared" si="53"/>
        <v>NO EXISTE</v>
      </c>
      <c r="M343" s="143" t="str">
        <f t="shared" si="54"/>
        <v>NO EXISTE</v>
      </c>
      <c r="N343" s="143" t="str">
        <f t="shared" si="55"/>
        <v>NO EXISTE</v>
      </c>
      <c r="O343" s="143" t="str">
        <f t="shared" si="56"/>
        <v>NO EXISTE</v>
      </c>
      <c r="P343" s="143" t="str">
        <f t="shared" si="57"/>
        <v>NO EXISTE</v>
      </c>
      <c r="Q343" s="302" t="s">
        <v>1047</v>
      </c>
      <c r="R343" s="148" t="s">
        <v>594</v>
      </c>
      <c r="S343" s="148" t="s">
        <v>776</v>
      </c>
      <c r="T343" s="149">
        <v>200</v>
      </c>
      <c r="U343" s="148" t="s">
        <v>596</v>
      </c>
      <c r="V343" s="150">
        <v>21618.13</v>
      </c>
      <c r="W343" s="151">
        <f t="shared" si="58"/>
        <v>21618130</v>
      </c>
    </row>
    <row r="344" spans="1:23" ht="15" customHeight="1" x14ac:dyDescent="0.25">
      <c r="A344" s="148">
        <v>1212</v>
      </c>
      <c r="B344" s="148" t="s">
        <v>1052</v>
      </c>
      <c r="C344" s="143" t="s">
        <v>2504</v>
      </c>
      <c r="D344" s="143" t="s">
        <v>2504</v>
      </c>
      <c r="E344" s="143" t="s">
        <v>2504</v>
      </c>
      <c r="F344" s="143" t="s">
        <v>2504</v>
      </c>
      <c r="G344" s="143" t="s">
        <v>2504</v>
      </c>
      <c r="H344" s="143" t="s">
        <v>2504</v>
      </c>
      <c r="I344" s="143" t="str">
        <f t="shared" si="50"/>
        <v>NO EXISTE</v>
      </c>
      <c r="J344" s="143" t="str">
        <f t="shared" si="51"/>
        <v>NO EXISTE</v>
      </c>
      <c r="K344" s="143" t="str">
        <f t="shared" si="52"/>
        <v>NO EXISTE</v>
      </c>
      <c r="L344" s="143" t="str">
        <f t="shared" si="53"/>
        <v>NO EXISTE</v>
      </c>
      <c r="M344" s="143" t="str">
        <f t="shared" si="54"/>
        <v>NO EXISTE</v>
      </c>
      <c r="N344" s="143" t="str">
        <f t="shared" si="55"/>
        <v>NO EXISTE</v>
      </c>
      <c r="O344" s="143" t="str">
        <f t="shared" si="56"/>
        <v>NO EXISTE</v>
      </c>
      <c r="P344" s="143" t="str">
        <f t="shared" si="57"/>
        <v>NO EXISTE</v>
      </c>
      <c r="Q344" s="302" t="s">
        <v>1053</v>
      </c>
      <c r="R344" s="148" t="s">
        <v>589</v>
      </c>
      <c r="S344" s="148" t="s">
        <v>590</v>
      </c>
      <c r="T344" s="149">
        <v>3.7850000000000001</v>
      </c>
      <c r="U344" s="148" t="s">
        <v>596</v>
      </c>
      <c r="V344" s="150">
        <v>195.51</v>
      </c>
      <c r="W344" s="151">
        <f t="shared" si="58"/>
        <v>195510</v>
      </c>
    </row>
    <row r="345" spans="1:23" ht="15" customHeight="1" x14ac:dyDescent="0.25">
      <c r="A345" s="148">
        <v>1216</v>
      </c>
      <c r="B345" s="148" t="s">
        <v>1057</v>
      </c>
      <c r="C345" s="143" t="s">
        <v>2504</v>
      </c>
      <c r="D345" s="143" t="s">
        <v>2504</v>
      </c>
      <c r="E345" s="143" t="s">
        <v>2504</v>
      </c>
      <c r="F345" s="143" t="s">
        <v>2504</v>
      </c>
      <c r="G345" s="143" t="s">
        <v>2504</v>
      </c>
      <c r="H345" s="143" t="s">
        <v>2504</v>
      </c>
      <c r="I345" s="143" t="str">
        <f t="shared" si="50"/>
        <v>NO EXISTE</v>
      </c>
      <c r="J345" s="143" t="str">
        <f t="shared" si="51"/>
        <v>NO EXISTE</v>
      </c>
      <c r="K345" s="143" t="str">
        <f t="shared" si="52"/>
        <v>NO EXISTE</v>
      </c>
      <c r="L345" s="143" t="str">
        <f t="shared" si="53"/>
        <v>NO EXISTE</v>
      </c>
      <c r="M345" s="143" t="str">
        <f t="shared" si="54"/>
        <v>NO EXISTE</v>
      </c>
      <c r="N345" s="143" t="str">
        <f t="shared" si="55"/>
        <v>NO EXISTE</v>
      </c>
      <c r="O345" s="143" t="str">
        <f t="shared" si="56"/>
        <v>NO EXISTE</v>
      </c>
      <c r="P345" s="143" t="str">
        <f t="shared" si="57"/>
        <v>NO EXISTE</v>
      </c>
      <c r="Q345" s="302" t="s">
        <v>1058</v>
      </c>
      <c r="R345" s="148" t="s">
        <v>630</v>
      </c>
      <c r="S345" s="148" t="s">
        <v>1059</v>
      </c>
      <c r="T345" s="149">
        <v>200</v>
      </c>
      <c r="U345" s="148" t="s">
        <v>596</v>
      </c>
      <c r="V345" s="150">
        <v>21009.22</v>
      </c>
      <c r="W345" s="151">
        <f t="shared" si="58"/>
        <v>21009220</v>
      </c>
    </row>
    <row r="346" spans="1:23" ht="15" customHeight="1" x14ac:dyDescent="0.25">
      <c r="A346" s="148">
        <v>1226</v>
      </c>
      <c r="B346" s="148" t="s">
        <v>1063</v>
      </c>
      <c r="C346" s="143" t="s">
        <v>2504</v>
      </c>
      <c r="D346" s="143" t="s">
        <v>2504</v>
      </c>
      <c r="E346" s="143" t="s">
        <v>2504</v>
      </c>
      <c r="F346" s="143" t="s">
        <v>2504</v>
      </c>
      <c r="G346" s="143" t="s">
        <v>2504</v>
      </c>
      <c r="H346" s="143" t="s">
        <v>2504</v>
      </c>
      <c r="I346" s="143" t="str">
        <f t="shared" si="50"/>
        <v>NO EXISTE</v>
      </c>
      <c r="J346" s="143" t="str">
        <f t="shared" si="51"/>
        <v>NO EXISTE</v>
      </c>
      <c r="K346" s="143" t="str">
        <f t="shared" si="52"/>
        <v>NO EXISTE</v>
      </c>
      <c r="L346" s="143" t="str">
        <f t="shared" si="53"/>
        <v>NO EXISTE</v>
      </c>
      <c r="M346" s="143" t="str">
        <f t="shared" si="54"/>
        <v>NO EXISTE</v>
      </c>
      <c r="N346" s="143" t="str">
        <f t="shared" si="55"/>
        <v>NO EXISTE</v>
      </c>
      <c r="O346" s="143" t="str">
        <f t="shared" si="56"/>
        <v>NO EXISTE</v>
      </c>
      <c r="P346" s="143" t="str">
        <f t="shared" si="57"/>
        <v>NO EXISTE</v>
      </c>
      <c r="Q346" s="302" t="s">
        <v>1064</v>
      </c>
      <c r="R346" s="148" t="s">
        <v>705</v>
      </c>
      <c r="S346" s="148" t="s">
        <v>739</v>
      </c>
      <c r="T346" s="149">
        <v>0.85</v>
      </c>
      <c r="U346" s="148" t="s">
        <v>596</v>
      </c>
      <c r="V346" s="150">
        <v>132.33000000000001</v>
      </c>
      <c r="W346" s="151">
        <f t="shared" si="58"/>
        <v>132330</v>
      </c>
    </row>
    <row r="347" spans="1:23" ht="15" customHeight="1" x14ac:dyDescent="0.25">
      <c r="A347" s="148">
        <v>1232</v>
      </c>
      <c r="B347" s="148" t="s">
        <v>1065</v>
      </c>
      <c r="C347" s="143" t="s">
        <v>2504</v>
      </c>
      <c r="D347" s="143" t="s">
        <v>2504</v>
      </c>
      <c r="E347" s="143" t="s">
        <v>2504</v>
      </c>
      <c r="F347" s="143" t="s">
        <v>2504</v>
      </c>
      <c r="G347" s="143" t="s">
        <v>2504</v>
      </c>
      <c r="H347" s="143" t="s">
        <v>2504</v>
      </c>
      <c r="I347" s="143" t="str">
        <f t="shared" si="50"/>
        <v>NO EXISTE</v>
      </c>
      <c r="J347" s="143" t="str">
        <f t="shared" si="51"/>
        <v>NO EXISTE</v>
      </c>
      <c r="K347" s="143" t="str">
        <f t="shared" si="52"/>
        <v>NO EXISTE</v>
      </c>
      <c r="L347" s="143" t="str">
        <f t="shared" si="53"/>
        <v>NO EXISTE</v>
      </c>
      <c r="M347" s="143" t="str">
        <f t="shared" si="54"/>
        <v>NO EXISTE</v>
      </c>
      <c r="N347" s="143" t="str">
        <f t="shared" si="55"/>
        <v>NO EXISTE</v>
      </c>
      <c r="O347" s="143" t="str">
        <f t="shared" si="56"/>
        <v>NO EXISTE</v>
      </c>
      <c r="P347" s="143" t="str">
        <f t="shared" si="57"/>
        <v>NO EXISTE</v>
      </c>
      <c r="Q347" s="302" t="s">
        <v>1066</v>
      </c>
      <c r="R347" s="148" t="s">
        <v>594</v>
      </c>
      <c r="S347" s="148" t="s">
        <v>595</v>
      </c>
      <c r="T347" s="149">
        <v>0.95</v>
      </c>
      <c r="U347" s="148" t="s">
        <v>596</v>
      </c>
      <c r="V347" s="150">
        <v>105.02</v>
      </c>
      <c r="W347" s="151">
        <f t="shared" si="58"/>
        <v>105020</v>
      </c>
    </row>
    <row r="348" spans="1:23" ht="15" customHeight="1" x14ac:dyDescent="0.25">
      <c r="A348" s="148">
        <v>1255</v>
      </c>
      <c r="B348" s="148" t="s">
        <v>1067</v>
      </c>
      <c r="C348" s="143" t="s">
        <v>2504</v>
      </c>
      <c r="D348" s="143" t="s">
        <v>2504</v>
      </c>
      <c r="E348" s="143" t="s">
        <v>2504</v>
      </c>
      <c r="F348" s="143" t="s">
        <v>2504</v>
      </c>
      <c r="G348" s="143" t="s">
        <v>2504</v>
      </c>
      <c r="H348" s="143" t="s">
        <v>2504</v>
      </c>
      <c r="I348" s="143" t="str">
        <f t="shared" si="50"/>
        <v>NO EXISTE</v>
      </c>
      <c r="J348" s="143" t="str">
        <f t="shared" si="51"/>
        <v>NO EXISTE</v>
      </c>
      <c r="K348" s="143" t="str">
        <f t="shared" si="52"/>
        <v>NO EXISTE</v>
      </c>
      <c r="L348" s="143" t="str">
        <f t="shared" si="53"/>
        <v>NO EXISTE</v>
      </c>
      <c r="M348" s="143" t="str">
        <f t="shared" si="54"/>
        <v>NO EXISTE</v>
      </c>
      <c r="N348" s="143" t="str">
        <f t="shared" si="55"/>
        <v>NO EXISTE</v>
      </c>
      <c r="O348" s="143" t="str">
        <f t="shared" si="56"/>
        <v>NO EXISTE</v>
      </c>
      <c r="P348" s="143" t="str">
        <f t="shared" si="57"/>
        <v>NO EXISTE</v>
      </c>
      <c r="Q348" s="302" t="s">
        <v>1068</v>
      </c>
      <c r="R348" s="148" t="s">
        <v>630</v>
      </c>
      <c r="S348" s="148" t="s">
        <v>835</v>
      </c>
      <c r="T348" s="149">
        <v>5</v>
      </c>
      <c r="U348" s="148" t="s">
        <v>596</v>
      </c>
      <c r="V348" s="150">
        <v>511.09</v>
      </c>
      <c r="W348" s="151">
        <f t="shared" si="58"/>
        <v>511090</v>
      </c>
    </row>
    <row r="349" spans="1:23" ht="15" customHeight="1" x14ac:dyDescent="0.25">
      <c r="A349" s="148">
        <v>1262</v>
      </c>
      <c r="B349" s="148" t="s">
        <v>1071</v>
      </c>
      <c r="C349" s="143" t="s">
        <v>2504</v>
      </c>
      <c r="D349" s="143" t="s">
        <v>2504</v>
      </c>
      <c r="E349" s="143" t="s">
        <v>2504</v>
      </c>
      <c r="F349" s="143" t="s">
        <v>2504</v>
      </c>
      <c r="G349" s="143" t="s">
        <v>2504</v>
      </c>
      <c r="H349" s="143" t="s">
        <v>2504</v>
      </c>
      <c r="I349" s="143" t="str">
        <f t="shared" si="50"/>
        <v>NO EXISTE</v>
      </c>
      <c r="J349" s="143" t="str">
        <f t="shared" si="51"/>
        <v>NO EXISTE</v>
      </c>
      <c r="K349" s="143" t="str">
        <f t="shared" si="52"/>
        <v>NO EXISTE</v>
      </c>
      <c r="L349" s="143" t="str">
        <f t="shared" si="53"/>
        <v>NO EXISTE</v>
      </c>
      <c r="M349" s="143" t="str">
        <f t="shared" si="54"/>
        <v>NO EXISTE</v>
      </c>
      <c r="N349" s="143" t="str">
        <f t="shared" si="55"/>
        <v>NO EXISTE</v>
      </c>
      <c r="O349" s="143" t="str">
        <f t="shared" si="56"/>
        <v>NO EXISTE</v>
      </c>
      <c r="P349" s="143" t="str">
        <f t="shared" si="57"/>
        <v>NO EXISTE</v>
      </c>
      <c r="Q349" s="302" t="s">
        <v>1072</v>
      </c>
      <c r="R349" s="148" t="s">
        <v>630</v>
      </c>
      <c r="S349" s="148" t="s">
        <v>830</v>
      </c>
      <c r="T349" s="149">
        <v>0.95</v>
      </c>
      <c r="U349" s="148" t="s">
        <v>596</v>
      </c>
      <c r="V349" s="150">
        <v>92.66</v>
      </c>
      <c r="W349" s="151">
        <f t="shared" si="58"/>
        <v>92660</v>
      </c>
    </row>
    <row r="350" spans="1:23" ht="15" customHeight="1" x14ac:dyDescent="0.25">
      <c r="A350" s="148">
        <v>1263</v>
      </c>
      <c r="B350" s="148" t="s">
        <v>1073</v>
      </c>
      <c r="C350" s="143" t="s">
        <v>2504</v>
      </c>
      <c r="D350" s="143" t="s">
        <v>2504</v>
      </c>
      <c r="E350" s="143" t="s">
        <v>2504</v>
      </c>
      <c r="F350" s="143" t="s">
        <v>2504</v>
      </c>
      <c r="G350" s="143" t="s">
        <v>2504</v>
      </c>
      <c r="H350" s="143" t="s">
        <v>2504</v>
      </c>
      <c r="I350" s="143" t="str">
        <f t="shared" si="50"/>
        <v>NO EXISTE</v>
      </c>
      <c r="J350" s="143" t="str">
        <f t="shared" si="51"/>
        <v>NO EXISTE</v>
      </c>
      <c r="K350" s="143" t="str">
        <f t="shared" si="52"/>
        <v>NO EXISTE</v>
      </c>
      <c r="L350" s="143" t="str">
        <f t="shared" si="53"/>
        <v>NO EXISTE</v>
      </c>
      <c r="M350" s="143" t="str">
        <f t="shared" si="54"/>
        <v>NO EXISTE</v>
      </c>
      <c r="N350" s="143" t="str">
        <f t="shared" si="55"/>
        <v>NO EXISTE</v>
      </c>
      <c r="O350" s="143" t="str">
        <f t="shared" si="56"/>
        <v>NO EXISTE</v>
      </c>
      <c r="P350" s="143" t="str">
        <f t="shared" si="57"/>
        <v>NO EXISTE</v>
      </c>
      <c r="Q350" s="302" t="s">
        <v>1074</v>
      </c>
      <c r="R350" s="148" t="s">
        <v>630</v>
      </c>
      <c r="S350" s="148" t="s">
        <v>830</v>
      </c>
      <c r="T350" s="149">
        <v>5</v>
      </c>
      <c r="U350" s="148" t="s">
        <v>596</v>
      </c>
      <c r="V350" s="150">
        <v>492.29</v>
      </c>
      <c r="W350" s="151">
        <f t="shared" si="58"/>
        <v>492290</v>
      </c>
    </row>
    <row r="351" spans="1:23" ht="15" customHeight="1" x14ac:dyDescent="0.25">
      <c r="A351" s="148">
        <v>1266</v>
      </c>
      <c r="B351" s="148" t="s">
        <v>1075</v>
      </c>
      <c r="C351" s="143" t="s">
        <v>2504</v>
      </c>
      <c r="D351" s="143" t="s">
        <v>2504</v>
      </c>
      <c r="E351" s="143" t="s">
        <v>2504</v>
      </c>
      <c r="F351" s="143" t="s">
        <v>2504</v>
      </c>
      <c r="G351" s="143" t="s">
        <v>2504</v>
      </c>
      <c r="H351" s="143" t="s">
        <v>2504</v>
      </c>
      <c r="I351" s="143" t="str">
        <f t="shared" si="50"/>
        <v>NO EXISTE</v>
      </c>
      <c r="J351" s="143" t="str">
        <f t="shared" si="51"/>
        <v>NO EXISTE</v>
      </c>
      <c r="K351" s="143" t="str">
        <f t="shared" si="52"/>
        <v>NO EXISTE</v>
      </c>
      <c r="L351" s="143" t="str">
        <f t="shared" si="53"/>
        <v>NO EXISTE</v>
      </c>
      <c r="M351" s="143" t="str">
        <f t="shared" si="54"/>
        <v>NO EXISTE</v>
      </c>
      <c r="N351" s="143" t="str">
        <f t="shared" si="55"/>
        <v>NO EXISTE</v>
      </c>
      <c r="O351" s="143" t="str">
        <f t="shared" si="56"/>
        <v>NO EXISTE</v>
      </c>
      <c r="P351" s="143" t="str">
        <f t="shared" si="57"/>
        <v>NO EXISTE</v>
      </c>
      <c r="Q351" s="302" t="s">
        <v>1076</v>
      </c>
      <c r="R351" s="148" t="s">
        <v>630</v>
      </c>
      <c r="S351" s="148" t="s">
        <v>830</v>
      </c>
      <c r="T351" s="149">
        <v>200</v>
      </c>
      <c r="U351" s="148" t="s">
        <v>596</v>
      </c>
      <c r="V351" s="150">
        <v>18479.37</v>
      </c>
      <c r="W351" s="151">
        <f t="shared" si="58"/>
        <v>18479370</v>
      </c>
    </row>
    <row r="352" spans="1:23" ht="15" customHeight="1" x14ac:dyDescent="0.25">
      <c r="A352" s="148">
        <v>1299</v>
      </c>
      <c r="B352" s="148" t="s">
        <v>1089</v>
      </c>
      <c r="C352" s="143" t="s">
        <v>2504</v>
      </c>
      <c r="D352" s="143" t="s">
        <v>2504</v>
      </c>
      <c r="E352" s="143" t="s">
        <v>2504</v>
      </c>
      <c r="F352" s="143" t="s">
        <v>2504</v>
      </c>
      <c r="G352" s="143" t="s">
        <v>2504</v>
      </c>
      <c r="H352" s="143" t="s">
        <v>2504</v>
      </c>
      <c r="I352" s="143" t="str">
        <f t="shared" si="50"/>
        <v>NO EXISTE</v>
      </c>
      <c r="J352" s="143" t="str">
        <f t="shared" si="51"/>
        <v>NO EXISTE</v>
      </c>
      <c r="K352" s="143" t="str">
        <f t="shared" si="52"/>
        <v>NO EXISTE</v>
      </c>
      <c r="L352" s="143" t="str">
        <f t="shared" si="53"/>
        <v>NO EXISTE</v>
      </c>
      <c r="M352" s="143" t="str">
        <f t="shared" si="54"/>
        <v>NO EXISTE</v>
      </c>
      <c r="N352" s="143" t="str">
        <f t="shared" si="55"/>
        <v>NO EXISTE</v>
      </c>
      <c r="O352" s="143" t="str">
        <f t="shared" si="56"/>
        <v>NO EXISTE</v>
      </c>
      <c r="P352" s="143" t="str">
        <f t="shared" si="57"/>
        <v>NO EXISTE</v>
      </c>
      <c r="Q352" s="302" t="s">
        <v>1090</v>
      </c>
      <c r="R352" s="148" t="s">
        <v>630</v>
      </c>
      <c r="S352" s="148" t="s">
        <v>830</v>
      </c>
      <c r="T352" s="149">
        <v>200</v>
      </c>
      <c r="U352" s="148" t="s">
        <v>596</v>
      </c>
      <c r="V352" s="150">
        <v>18157.86</v>
      </c>
      <c r="W352" s="151">
        <f t="shared" si="58"/>
        <v>18157860</v>
      </c>
    </row>
    <row r="353" spans="1:23" ht="15" customHeight="1" x14ac:dyDescent="0.25">
      <c r="A353" s="148">
        <v>1961</v>
      </c>
      <c r="B353" s="148" t="s">
        <v>1102</v>
      </c>
      <c r="C353" s="143" t="s">
        <v>2504</v>
      </c>
      <c r="D353" s="143" t="s">
        <v>2504</v>
      </c>
      <c r="E353" s="143" t="s">
        <v>2504</v>
      </c>
      <c r="F353" s="143" t="s">
        <v>2504</v>
      </c>
      <c r="G353" s="143" t="s">
        <v>2504</v>
      </c>
      <c r="H353" s="143" t="s">
        <v>2504</v>
      </c>
      <c r="I353" s="143" t="str">
        <f t="shared" si="50"/>
        <v>NO EXISTE</v>
      </c>
      <c r="J353" s="143" t="str">
        <f t="shared" si="51"/>
        <v>NO EXISTE</v>
      </c>
      <c r="K353" s="143" t="str">
        <f t="shared" si="52"/>
        <v>NO EXISTE</v>
      </c>
      <c r="L353" s="143" t="str">
        <f t="shared" si="53"/>
        <v>NO EXISTE</v>
      </c>
      <c r="M353" s="143" t="str">
        <f t="shared" si="54"/>
        <v>NO EXISTE</v>
      </c>
      <c r="N353" s="143" t="str">
        <f t="shared" si="55"/>
        <v>NO EXISTE</v>
      </c>
      <c r="O353" s="143" t="str">
        <f t="shared" si="56"/>
        <v>NO EXISTE</v>
      </c>
      <c r="P353" s="143" t="str">
        <f t="shared" si="57"/>
        <v>NO EXISTE</v>
      </c>
      <c r="Q353" s="302" t="s">
        <v>1103</v>
      </c>
      <c r="R353" s="148" t="s">
        <v>600</v>
      </c>
      <c r="S353" s="148" t="s">
        <v>613</v>
      </c>
      <c r="T353" s="149">
        <v>0.6</v>
      </c>
      <c r="U353" s="148" t="s">
        <v>596</v>
      </c>
      <c r="V353" s="150">
        <v>54.82</v>
      </c>
      <c r="W353" s="151">
        <f t="shared" si="58"/>
        <v>54820</v>
      </c>
    </row>
    <row r="354" spans="1:23" ht="15" customHeight="1" x14ac:dyDescent="0.25">
      <c r="A354" s="148">
        <v>1962</v>
      </c>
      <c r="B354" s="148" t="s">
        <v>1104</v>
      </c>
      <c r="C354" s="143" t="s">
        <v>2504</v>
      </c>
      <c r="D354" s="143" t="s">
        <v>2504</v>
      </c>
      <c r="E354" s="143" t="s">
        <v>2504</v>
      </c>
      <c r="F354" s="143" t="s">
        <v>2504</v>
      </c>
      <c r="G354" s="143" t="s">
        <v>2504</v>
      </c>
      <c r="H354" s="143" t="s">
        <v>2504</v>
      </c>
      <c r="I354" s="143" t="str">
        <f t="shared" si="50"/>
        <v>NO EXISTE</v>
      </c>
      <c r="J354" s="143" t="str">
        <f t="shared" si="51"/>
        <v>NO EXISTE</v>
      </c>
      <c r="K354" s="143" t="str">
        <f t="shared" si="52"/>
        <v>NO EXISTE</v>
      </c>
      <c r="L354" s="143" t="str">
        <f t="shared" si="53"/>
        <v>NO EXISTE</v>
      </c>
      <c r="M354" s="143" t="str">
        <f t="shared" si="54"/>
        <v>NO EXISTE</v>
      </c>
      <c r="N354" s="143" t="str">
        <f t="shared" si="55"/>
        <v>NO EXISTE</v>
      </c>
      <c r="O354" s="143" t="str">
        <f t="shared" si="56"/>
        <v>NO EXISTE</v>
      </c>
      <c r="P354" s="143" t="str">
        <f t="shared" si="57"/>
        <v>NO EXISTE</v>
      </c>
      <c r="Q354" s="302" t="s">
        <v>1105</v>
      </c>
      <c r="R354" s="148" t="s">
        <v>600</v>
      </c>
      <c r="S354" s="148" t="s">
        <v>613</v>
      </c>
      <c r="T354" s="149">
        <v>0.6</v>
      </c>
      <c r="U354" s="148" t="s">
        <v>596</v>
      </c>
      <c r="V354" s="150">
        <v>43.97</v>
      </c>
      <c r="W354" s="151">
        <f t="shared" si="58"/>
        <v>43970</v>
      </c>
    </row>
    <row r="355" spans="1:23" ht="15" customHeight="1" x14ac:dyDescent="0.25">
      <c r="A355" s="148">
        <v>1963</v>
      </c>
      <c r="B355" s="148" t="s">
        <v>1106</v>
      </c>
      <c r="C355" s="143" t="s">
        <v>2504</v>
      </c>
      <c r="D355" s="143" t="s">
        <v>2504</v>
      </c>
      <c r="E355" s="143" t="s">
        <v>2504</v>
      </c>
      <c r="F355" s="143" t="s">
        <v>2504</v>
      </c>
      <c r="G355" s="143" t="s">
        <v>2504</v>
      </c>
      <c r="H355" s="143" t="s">
        <v>2504</v>
      </c>
      <c r="I355" s="143" t="str">
        <f t="shared" ref="I355:I399" si="59">IFERROR(VLOOKUP(B355,Base08,1,FALSE),"NO EXISTE")</f>
        <v>NO EXISTE</v>
      </c>
      <c r="J355" s="143" t="str">
        <f t="shared" ref="J355:J399" si="60">IFERROR(VLOOKUP(B355,Base09,1,FALSE),"NO EXISTE")</f>
        <v>NO EXISTE</v>
      </c>
      <c r="K355" s="143" t="str">
        <f t="shared" ref="K355:K399" si="61">IFERROR(VLOOKUP(B355,Base10,1,FALSE),"NO EXISTE")</f>
        <v>NO EXISTE</v>
      </c>
      <c r="L355" s="143" t="str">
        <f t="shared" ref="L355:L399" si="62">IFERROR(VLOOKUP(B355,Base11,1,FALSE),"NO EXISTE")</f>
        <v>NO EXISTE</v>
      </c>
      <c r="M355" s="143" t="str">
        <f t="shared" ref="M355:M399" si="63">IFERROR(VLOOKUP(B355,Base12,1,FALSE),"NO EXISTE")</f>
        <v>NO EXISTE</v>
      </c>
      <c r="N355" s="143" t="str">
        <f t="shared" ref="N355:N399" si="64">IFERROR(VLOOKUP(B355,Base13,1,FALSE),"NO EXISTE")</f>
        <v>NO EXISTE</v>
      </c>
      <c r="O355" s="143" t="str">
        <f t="shared" ref="O355:O399" si="65">IFERROR(VLOOKUP(B355,Base14,1,FALSE),"NO EXISTE")</f>
        <v>NO EXISTE</v>
      </c>
      <c r="P355" s="143" t="str">
        <f t="shared" ref="P355:P399" si="66">IFERROR(VLOOKUP(B355,Base15,1,FALSE),"NO EXISTE")</f>
        <v>NO EXISTE</v>
      </c>
      <c r="Q355" s="302" t="s">
        <v>1107</v>
      </c>
      <c r="R355" s="148" t="s">
        <v>600</v>
      </c>
      <c r="S355" s="148" t="s">
        <v>613</v>
      </c>
      <c r="T355" s="149">
        <v>0.6</v>
      </c>
      <c r="U355" s="148" t="s">
        <v>596</v>
      </c>
      <c r="V355" s="150">
        <v>48.32</v>
      </c>
      <c r="W355" s="151">
        <f t="shared" si="58"/>
        <v>48320</v>
      </c>
    </row>
    <row r="356" spans="1:23" ht="15" customHeight="1" x14ac:dyDescent="0.25">
      <c r="A356" s="148">
        <v>1964</v>
      </c>
      <c r="B356" s="148" t="s">
        <v>1108</v>
      </c>
      <c r="C356" s="143" t="s">
        <v>2504</v>
      </c>
      <c r="D356" s="143" t="s">
        <v>2504</v>
      </c>
      <c r="E356" s="143" t="s">
        <v>2504</v>
      </c>
      <c r="F356" s="143" t="s">
        <v>2504</v>
      </c>
      <c r="G356" s="143" t="s">
        <v>2504</v>
      </c>
      <c r="H356" s="143" t="s">
        <v>2504</v>
      </c>
      <c r="I356" s="143" t="str">
        <f t="shared" si="59"/>
        <v>NO EXISTE</v>
      </c>
      <c r="J356" s="143" t="str">
        <f t="shared" si="60"/>
        <v>NO EXISTE</v>
      </c>
      <c r="K356" s="143" t="str">
        <f t="shared" si="61"/>
        <v>NO EXISTE</v>
      </c>
      <c r="L356" s="143" t="str">
        <f t="shared" si="62"/>
        <v>NO EXISTE</v>
      </c>
      <c r="M356" s="143" t="str">
        <f t="shared" si="63"/>
        <v>NO EXISTE</v>
      </c>
      <c r="N356" s="143" t="str">
        <f t="shared" si="64"/>
        <v>NO EXISTE</v>
      </c>
      <c r="O356" s="143" t="str">
        <f t="shared" si="65"/>
        <v>NO EXISTE</v>
      </c>
      <c r="P356" s="143" t="str">
        <f t="shared" si="66"/>
        <v>NO EXISTE</v>
      </c>
      <c r="Q356" s="302" t="s">
        <v>1109</v>
      </c>
      <c r="R356" s="148" t="s">
        <v>600</v>
      </c>
      <c r="S356" s="148" t="s">
        <v>613</v>
      </c>
      <c r="T356" s="149">
        <v>0.6</v>
      </c>
      <c r="U356" s="148" t="s">
        <v>596</v>
      </c>
      <c r="V356" s="150">
        <v>84.25</v>
      </c>
      <c r="W356" s="151">
        <f t="shared" si="58"/>
        <v>84250</v>
      </c>
    </row>
    <row r="357" spans="1:23" ht="15" customHeight="1" x14ac:dyDescent="0.25">
      <c r="A357" s="148">
        <v>16001</v>
      </c>
      <c r="B357" s="148" t="s">
        <v>2035</v>
      </c>
      <c r="C357" s="143" t="s">
        <v>2504</v>
      </c>
      <c r="D357" s="143" t="s">
        <v>2504</v>
      </c>
      <c r="E357" s="143" t="s">
        <v>2504</v>
      </c>
      <c r="F357" s="143" t="s">
        <v>2504</v>
      </c>
      <c r="G357" s="143" t="s">
        <v>2504</v>
      </c>
      <c r="H357" s="143" t="s">
        <v>2504</v>
      </c>
      <c r="I357" s="143" t="str">
        <f t="shared" si="59"/>
        <v>NO EXISTE</v>
      </c>
      <c r="J357" s="143" t="str">
        <f t="shared" si="60"/>
        <v>NO EXISTE</v>
      </c>
      <c r="K357" s="143" t="str">
        <f t="shared" si="61"/>
        <v>NO EXISTE</v>
      </c>
      <c r="L357" s="143" t="str">
        <f t="shared" si="62"/>
        <v>NO EXISTE</v>
      </c>
      <c r="M357" s="143" t="str">
        <f t="shared" si="63"/>
        <v>NO EXISTE</v>
      </c>
      <c r="N357" s="143" t="str">
        <f t="shared" si="64"/>
        <v>NO EXISTE</v>
      </c>
      <c r="O357" s="143" t="str">
        <f t="shared" si="65"/>
        <v>NO EXISTE</v>
      </c>
      <c r="P357" s="143" t="str">
        <f t="shared" si="66"/>
        <v>NO EXISTE</v>
      </c>
      <c r="Q357" s="302" t="s">
        <v>2036</v>
      </c>
      <c r="R357" s="148" t="s">
        <v>594</v>
      </c>
      <c r="S357" s="148" t="s">
        <v>595</v>
      </c>
      <c r="T357" s="149">
        <v>0.95</v>
      </c>
      <c r="U357" s="148" t="s">
        <v>596</v>
      </c>
      <c r="V357" s="150">
        <v>101.69</v>
      </c>
      <c r="W357" s="151">
        <f t="shared" si="58"/>
        <v>101690</v>
      </c>
    </row>
    <row r="358" spans="1:23" ht="15" customHeight="1" x14ac:dyDescent="0.25">
      <c r="A358" s="148">
        <v>16003</v>
      </c>
      <c r="B358" s="148" t="s">
        <v>2038</v>
      </c>
      <c r="C358" s="143" t="s">
        <v>2504</v>
      </c>
      <c r="D358" s="143" t="s">
        <v>2504</v>
      </c>
      <c r="E358" s="143" t="s">
        <v>2504</v>
      </c>
      <c r="F358" s="143" t="s">
        <v>2504</v>
      </c>
      <c r="G358" s="143" t="s">
        <v>2504</v>
      </c>
      <c r="H358" s="143" t="s">
        <v>2504</v>
      </c>
      <c r="I358" s="143" t="str">
        <f t="shared" si="59"/>
        <v>NO EXISTE</v>
      </c>
      <c r="J358" s="143" t="str">
        <f t="shared" si="60"/>
        <v>NO EXISTE</v>
      </c>
      <c r="K358" s="143" t="str">
        <f t="shared" si="61"/>
        <v>NO EXISTE</v>
      </c>
      <c r="L358" s="143" t="str">
        <f t="shared" si="62"/>
        <v>NO EXISTE</v>
      </c>
      <c r="M358" s="143" t="str">
        <f t="shared" si="63"/>
        <v>NO EXISTE</v>
      </c>
      <c r="N358" s="143" t="str">
        <f t="shared" si="64"/>
        <v>NO EXISTE</v>
      </c>
      <c r="O358" s="143" t="str">
        <f t="shared" si="65"/>
        <v>NO EXISTE</v>
      </c>
      <c r="P358" s="143" t="str">
        <f t="shared" si="66"/>
        <v>NO EXISTE</v>
      </c>
      <c r="Q358" s="302" t="s">
        <v>2039</v>
      </c>
      <c r="R358" s="148" t="s">
        <v>594</v>
      </c>
      <c r="S358" s="148" t="s">
        <v>595</v>
      </c>
      <c r="T358" s="149">
        <v>19</v>
      </c>
      <c r="U358" s="148" t="s">
        <v>596</v>
      </c>
      <c r="V358" s="150">
        <v>2010.21</v>
      </c>
      <c r="W358" s="151">
        <f t="shared" si="58"/>
        <v>2010210</v>
      </c>
    </row>
    <row r="359" spans="1:23" ht="15" customHeight="1" x14ac:dyDescent="0.25">
      <c r="A359" s="148">
        <v>16004</v>
      </c>
      <c r="B359" s="148" t="s">
        <v>2040</v>
      </c>
      <c r="C359" s="143" t="s">
        <v>2504</v>
      </c>
      <c r="D359" s="143" t="s">
        <v>2504</v>
      </c>
      <c r="E359" s="143" t="s">
        <v>2504</v>
      </c>
      <c r="F359" s="143" t="s">
        <v>2504</v>
      </c>
      <c r="G359" s="143" t="s">
        <v>2504</v>
      </c>
      <c r="H359" s="143" t="s">
        <v>2504</v>
      </c>
      <c r="I359" s="143" t="str">
        <f t="shared" si="59"/>
        <v>NO EXISTE</v>
      </c>
      <c r="J359" s="143" t="str">
        <f t="shared" si="60"/>
        <v>NO EXISTE</v>
      </c>
      <c r="K359" s="143" t="str">
        <f t="shared" si="61"/>
        <v>NO EXISTE</v>
      </c>
      <c r="L359" s="143" t="str">
        <f t="shared" si="62"/>
        <v>NO EXISTE</v>
      </c>
      <c r="M359" s="143" t="str">
        <f t="shared" si="63"/>
        <v>NO EXISTE</v>
      </c>
      <c r="N359" s="143" t="str">
        <f t="shared" si="64"/>
        <v>NO EXISTE</v>
      </c>
      <c r="O359" s="143" t="str">
        <f t="shared" si="65"/>
        <v>NO EXISTE</v>
      </c>
      <c r="P359" s="143" t="str">
        <f t="shared" si="66"/>
        <v>NO EXISTE</v>
      </c>
      <c r="Q359" s="302" t="s">
        <v>2041</v>
      </c>
      <c r="R359" s="148" t="s">
        <v>594</v>
      </c>
      <c r="S359" s="148" t="s">
        <v>595</v>
      </c>
      <c r="T359" s="149">
        <v>200</v>
      </c>
      <c r="U359" s="148" t="s">
        <v>596</v>
      </c>
      <c r="V359" s="150">
        <v>21236.62</v>
      </c>
      <c r="W359" s="151">
        <f t="shared" si="58"/>
        <v>21236620</v>
      </c>
    </row>
    <row r="360" spans="1:23" ht="15" customHeight="1" x14ac:dyDescent="0.25">
      <c r="A360" s="148">
        <v>16005</v>
      </c>
      <c r="B360" s="148" t="s">
        <v>2042</v>
      </c>
      <c r="C360" s="143" t="s">
        <v>2504</v>
      </c>
      <c r="D360" s="143" t="s">
        <v>2504</v>
      </c>
      <c r="E360" s="143" t="s">
        <v>2504</v>
      </c>
      <c r="F360" s="143" t="s">
        <v>2504</v>
      </c>
      <c r="G360" s="143" t="s">
        <v>2504</v>
      </c>
      <c r="H360" s="143" t="s">
        <v>2504</v>
      </c>
      <c r="I360" s="143" t="str">
        <f t="shared" si="59"/>
        <v>NO EXISTE</v>
      </c>
      <c r="J360" s="143" t="str">
        <f t="shared" si="60"/>
        <v>NO EXISTE</v>
      </c>
      <c r="K360" s="143" t="str">
        <f t="shared" si="61"/>
        <v>NO EXISTE</v>
      </c>
      <c r="L360" s="143" t="str">
        <f t="shared" si="62"/>
        <v>NO EXISTE</v>
      </c>
      <c r="M360" s="143" t="str">
        <f t="shared" si="63"/>
        <v>NO EXISTE</v>
      </c>
      <c r="N360" s="143" t="str">
        <f t="shared" si="64"/>
        <v>NO EXISTE</v>
      </c>
      <c r="O360" s="143" t="str">
        <f t="shared" si="65"/>
        <v>NO EXISTE</v>
      </c>
      <c r="P360" s="143" t="str">
        <f t="shared" si="66"/>
        <v>NO EXISTE</v>
      </c>
      <c r="Q360" s="302" t="s">
        <v>2043</v>
      </c>
      <c r="R360" s="148" t="s">
        <v>594</v>
      </c>
      <c r="S360" s="148" t="s">
        <v>595</v>
      </c>
      <c r="T360" s="149">
        <v>1</v>
      </c>
      <c r="U360" s="148" t="s">
        <v>596</v>
      </c>
      <c r="V360" s="150">
        <v>101.42</v>
      </c>
      <c r="W360" s="151">
        <f t="shared" si="58"/>
        <v>101420</v>
      </c>
    </row>
    <row r="361" spans="1:23" ht="15" customHeight="1" x14ac:dyDescent="0.25">
      <c r="A361" s="148">
        <v>16013</v>
      </c>
      <c r="B361" s="148" t="s">
        <v>2051</v>
      </c>
      <c r="C361" s="143" t="s">
        <v>2504</v>
      </c>
      <c r="D361" s="143" t="s">
        <v>2504</v>
      </c>
      <c r="E361" s="143" t="s">
        <v>2504</v>
      </c>
      <c r="F361" s="143" t="s">
        <v>2504</v>
      </c>
      <c r="G361" s="143" t="s">
        <v>2504</v>
      </c>
      <c r="H361" s="143" t="s">
        <v>2504</v>
      </c>
      <c r="I361" s="143" t="str">
        <f t="shared" si="59"/>
        <v>NO EXISTE</v>
      </c>
      <c r="J361" s="143" t="str">
        <f t="shared" si="60"/>
        <v>NO EXISTE</v>
      </c>
      <c r="K361" s="143" t="str">
        <f t="shared" si="61"/>
        <v>NO EXISTE</v>
      </c>
      <c r="L361" s="143" t="str">
        <f t="shared" si="62"/>
        <v>NO EXISTE</v>
      </c>
      <c r="M361" s="143" t="str">
        <f t="shared" si="63"/>
        <v>NO EXISTE</v>
      </c>
      <c r="N361" s="143" t="str">
        <f t="shared" si="64"/>
        <v>NO EXISTE</v>
      </c>
      <c r="O361" s="143" t="str">
        <f t="shared" si="65"/>
        <v>NO EXISTE</v>
      </c>
      <c r="P361" s="143" t="str">
        <f t="shared" si="66"/>
        <v>NO EXISTE</v>
      </c>
      <c r="Q361" s="302" t="s">
        <v>2052</v>
      </c>
      <c r="R361" s="148" t="s">
        <v>594</v>
      </c>
      <c r="S361" s="148" t="s">
        <v>604</v>
      </c>
      <c r="T361" s="149">
        <v>5</v>
      </c>
      <c r="U361" s="148" t="s">
        <v>596</v>
      </c>
      <c r="V361" s="150">
        <v>559.98</v>
      </c>
      <c r="W361" s="151">
        <f t="shared" si="58"/>
        <v>559980</v>
      </c>
    </row>
    <row r="362" spans="1:23" ht="15" customHeight="1" x14ac:dyDescent="0.25">
      <c r="A362" s="148">
        <v>16018</v>
      </c>
      <c r="B362" s="148" t="s">
        <v>2058</v>
      </c>
      <c r="C362" s="143" t="s">
        <v>2504</v>
      </c>
      <c r="D362" s="143" t="s">
        <v>2504</v>
      </c>
      <c r="E362" s="143" t="s">
        <v>2504</v>
      </c>
      <c r="F362" s="143" t="s">
        <v>2504</v>
      </c>
      <c r="G362" s="143" t="s">
        <v>2504</v>
      </c>
      <c r="H362" s="143" t="s">
        <v>2504</v>
      </c>
      <c r="I362" s="143" t="str">
        <f t="shared" si="59"/>
        <v>NO EXISTE</v>
      </c>
      <c r="J362" s="143" t="str">
        <f t="shared" si="60"/>
        <v>NO EXISTE</v>
      </c>
      <c r="K362" s="143" t="str">
        <f t="shared" si="61"/>
        <v>NO EXISTE</v>
      </c>
      <c r="L362" s="143" t="str">
        <f t="shared" si="62"/>
        <v>NO EXISTE</v>
      </c>
      <c r="M362" s="143" t="str">
        <f t="shared" si="63"/>
        <v>NO EXISTE</v>
      </c>
      <c r="N362" s="143" t="str">
        <f t="shared" si="64"/>
        <v>NO EXISTE</v>
      </c>
      <c r="O362" s="143" t="str">
        <f t="shared" si="65"/>
        <v>NO EXISTE</v>
      </c>
      <c r="P362" s="143" t="str">
        <f t="shared" si="66"/>
        <v>NO EXISTE</v>
      </c>
      <c r="Q362" s="302" t="s">
        <v>2059</v>
      </c>
      <c r="R362" s="148" t="s">
        <v>594</v>
      </c>
      <c r="S362" s="148" t="s">
        <v>604</v>
      </c>
      <c r="T362" s="149">
        <v>5</v>
      </c>
      <c r="U362" s="148" t="s">
        <v>596</v>
      </c>
      <c r="V362" s="150">
        <v>562.1</v>
      </c>
      <c r="W362" s="151">
        <f t="shared" si="58"/>
        <v>562100</v>
      </c>
    </row>
    <row r="363" spans="1:23" ht="15" customHeight="1" x14ac:dyDescent="0.25">
      <c r="A363" s="148">
        <v>16023</v>
      </c>
      <c r="B363" s="148" t="s">
        <v>2065</v>
      </c>
      <c r="C363" s="143" t="s">
        <v>2504</v>
      </c>
      <c r="D363" s="143" t="s">
        <v>2504</v>
      </c>
      <c r="E363" s="143" t="s">
        <v>2504</v>
      </c>
      <c r="F363" s="143" t="s">
        <v>2504</v>
      </c>
      <c r="G363" s="143" t="s">
        <v>2504</v>
      </c>
      <c r="H363" s="143" t="s">
        <v>2504</v>
      </c>
      <c r="I363" s="143" t="str">
        <f t="shared" si="59"/>
        <v>NO EXISTE</v>
      </c>
      <c r="J363" s="143" t="str">
        <f t="shared" si="60"/>
        <v>NO EXISTE</v>
      </c>
      <c r="K363" s="143" t="str">
        <f t="shared" si="61"/>
        <v>NO EXISTE</v>
      </c>
      <c r="L363" s="143" t="str">
        <f t="shared" si="62"/>
        <v>NO EXISTE</v>
      </c>
      <c r="M363" s="143" t="str">
        <f t="shared" si="63"/>
        <v>NO EXISTE</v>
      </c>
      <c r="N363" s="143" t="str">
        <f t="shared" si="64"/>
        <v>NO EXISTE</v>
      </c>
      <c r="O363" s="143" t="str">
        <f t="shared" si="65"/>
        <v>NO EXISTE</v>
      </c>
      <c r="P363" s="143" t="str">
        <f t="shared" si="66"/>
        <v>NO EXISTE</v>
      </c>
      <c r="Q363" s="302" t="s">
        <v>2066</v>
      </c>
      <c r="R363" s="148" t="s">
        <v>594</v>
      </c>
      <c r="S363" s="148" t="s">
        <v>604</v>
      </c>
      <c r="T363" s="149">
        <v>5</v>
      </c>
      <c r="U363" s="148" t="s">
        <v>596</v>
      </c>
      <c r="V363" s="150">
        <v>561.65</v>
      </c>
      <c r="W363" s="151">
        <f t="shared" si="58"/>
        <v>561650</v>
      </c>
    </row>
    <row r="364" spans="1:23" ht="15" customHeight="1" x14ac:dyDescent="0.25">
      <c r="A364" s="148">
        <v>16028</v>
      </c>
      <c r="B364" s="148" t="s">
        <v>2072</v>
      </c>
      <c r="C364" s="143" t="s">
        <v>2504</v>
      </c>
      <c r="D364" s="143" t="s">
        <v>2504</v>
      </c>
      <c r="E364" s="143" t="s">
        <v>2504</v>
      </c>
      <c r="F364" s="143" t="s">
        <v>2504</v>
      </c>
      <c r="G364" s="143" t="s">
        <v>2504</v>
      </c>
      <c r="H364" s="143" t="s">
        <v>2504</v>
      </c>
      <c r="I364" s="143" t="str">
        <f t="shared" si="59"/>
        <v>NO EXISTE</v>
      </c>
      <c r="J364" s="143" t="str">
        <f t="shared" si="60"/>
        <v>NO EXISTE</v>
      </c>
      <c r="K364" s="143" t="str">
        <f t="shared" si="61"/>
        <v>NO EXISTE</v>
      </c>
      <c r="L364" s="143" t="str">
        <f t="shared" si="62"/>
        <v>NO EXISTE</v>
      </c>
      <c r="M364" s="143" t="str">
        <f t="shared" si="63"/>
        <v>NO EXISTE</v>
      </c>
      <c r="N364" s="143" t="str">
        <f t="shared" si="64"/>
        <v>NO EXISTE</v>
      </c>
      <c r="O364" s="143" t="str">
        <f t="shared" si="65"/>
        <v>NO EXISTE</v>
      </c>
      <c r="P364" s="143" t="str">
        <f t="shared" si="66"/>
        <v>NO EXISTE</v>
      </c>
      <c r="Q364" s="302" t="s">
        <v>2073</v>
      </c>
      <c r="R364" s="148" t="s">
        <v>589</v>
      </c>
      <c r="S364" s="148" t="s">
        <v>2071</v>
      </c>
      <c r="T364" s="149">
        <v>3.7850000000000001</v>
      </c>
      <c r="U364" s="148" t="s">
        <v>596</v>
      </c>
      <c r="V364" s="150">
        <v>353.9</v>
      </c>
      <c r="W364" s="151">
        <f t="shared" si="58"/>
        <v>353900</v>
      </c>
    </row>
    <row r="365" spans="1:23" ht="15" customHeight="1" x14ac:dyDescent="0.25">
      <c r="A365" s="148">
        <v>16038</v>
      </c>
      <c r="B365" s="148" t="s">
        <v>2087</v>
      </c>
      <c r="C365" s="143" t="s">
        <v>2504</v>
      </c>
      <c r="D365" s="143" t="s">
        <v>2504</v>
      </c>
      <c r="E365" s="143" t="s">
        <v>2504</v>
      </c>
      <c r="F365" s="143" t="s">
        <v>2504</v>
      </c>
      <c r="G365" s="143" t="s">
        <v>2504</v>
      </c>
      <c r="H365" s="143" t="s">
        <v>2504</v>
      </c>
      <c r="I365" s="143" t="str">
        <f t="shared" si="59"/>
        <v>NO EXISTE</v>
      </c>
      <c r="J365" s="143" t="str">
        <f t="shared" si="60"/>
        <v>NO EXISTE</v>
      </c>
      <c r="K365" s="143" t="str">
        <f t="shared" si="61"/>
        <v>NO EXISTE</v>
      </c>
      <c r="L365" s="143" t="str">
        <f t="shared" si="62"/>
        <v>NO EXISTE</v>
      </c>
      <c r="M365" s="143" t="str">
        <f t="shared" si="63"/>
        <v>NO EXISTE</v>
      </c>
      <c r="N365" s="143" t="str">
        <f t="shared" si="64"/>
        <v>NO EXISTE</v>
      </c>
      <c r="O365" s="143" t="str">
        <f t="shared" si="65"/>
        <v>NO EXISTE</v>
      </c>
      <c r="P365" s="143" t="str">
        <f t="shared" si="66"/>
        <v>NO EXISTE</v>
      </c>
      <c r="Q365" s="302" t="s">
        <v>2088</v>
      </c>
      <c r="R365" s="148" t="s">
        <v>594</v>
      </c>
      <c r="S365" s="148" t="s">
        <v>2084</v>
      </c>
      <c r="T365" s="149">
        <v>200</v>
      </c>
      <c r="U365" s="148" t="s">
        <v>596</v>
      </c>
      <c r="V365" s="150">
        <v>27621.47</v>
      </c>
      <c r="W365" s="151">
        <f t="shared" si="58"/>
        <v>27621470</v>
      </c>
    </row>
    <row r="366" spans="1:23" ht="15" customHeight="1" x14ac:dyDescent="0.25">
      <c r="A366" s="148">
        <v>16041</v>
      </c>
      <c r="B366" s="148" t="s">
        <v>2092</v>
      </c>
      <c r="C366" s="143" t="s">
        <v>2504</v>
      </c>
      <c r="D366" s="143" t="s">
        <v>2504</v>
      </c>
      <c r="E366" s="143" t="s">
        <v>2504</v>
      </c>
      <c r="F366" s="143" t="s">
        <v>2504</v>
      </c>
      <c r="G366" s="143" t="s">
        <v>2504</v>
      </c>
      <c r="H366" s="143" t="s">
        <v>2504</v>
      </c>
      <c r="I366" s="143" t="str">
        <f t="shared" si="59"/>
        <v>NO EXISTE</v>
      </c>
      <c r="J366" s="143" t="str">
        <f t="shared" si="60"/>
        <v>NO EXISTE</v>
      </c>
      <c r="K366" s="143" t="str">
        <f t="shared" si="61"/>
        <v>NO EXISTE</v>
      </c>
      <c r="L366" s="143" t="str">
        <f t="shared" si="62"/>
        <v>NO EXISTE</v>
      </c>
      <c r="M366" s="143" t="str">
        <f t="shared" si="63"/>
        <v>NO EXISTE</v>
      </c>
      <c r="N366" s="143" t="str">
        <f t="shared" si="64"/>
        <v>NO EXISTE</v>
      </c>
      <c r="O366" s="143" t="str">
        <f t="shared" si="65"/>
        <v>NO EXISTE</v>
      </c>
      <c r="P366" s="143" t="str">
        <f t="shared" si="66"/>
        <v>NO EXISTE</v>
      </c>
      <c r="Q366" s="302" t="s">
        <v>2093</v>
      </c>
      <c r="R366" s="148" t="s">
        <v>594</v>
      </c>
      <c r="S366" s="148" t="s">
        <v>2084</v>
      </c>
      <c r="T366" s="149">
        <v>19</v>
      </c>
      <c r="U366" s="148" t="s">
        <v>596</v>
      </c>
      <c r="V366" s="150">
        <v>3065.86</v>
      </c>
      <c r="W366" s="151">
        <f t="shared" si="58"/>
        <v>3065860</v>
      </c>
    </row>
    <row r="367" spans="1:23" ht="15" customHeight="1" x14ac:dyDescent="0.25">
      <c r="A367" s="148">
        <v>16042</v>
      </c>
      <c r="B367" s="148" t="s">
        <v>2094</v>
      </c>
      <c r="C367" s="143" t="s">
        <v>2504</v>
      </c>
      <c r="D367" s="143" t="s">
        <v>2504</v>
      </c>
      <c r="E367" s="143" t="s">
        <v>2504</v>
      </c>
      <c r="F367" s="143" t="s">
        <v>2504</v>
      </c>
      <c r="G367" s="143" t="s">
        <v>2504</v>
      </c>
      <c r="H367" s="143" t="s">
        <v>2504</v>
      </c>
      <c r="I367" s="143" t="str">
        <f t="shared" si="59"/>
        <v>NO EXISTE</v>
      </c>
      <c r="J367" s="143" t="str">
        <f t="shared" si="60"/>
        <v>NO EXISTE</v>
      </c>
      <c r="K367" s="143" t="str">
        <f t="shared" si="61"/>
        <v>NO EXISTE</v>
      </c>
      <c r="L367" s="143" t="str">
        <f t="shared" si="62"/>
        <v>NO EXISTE</v>
      </c>
      <c r="M367" s="143" t="str">
        <f t="shared" si="63"/>
        <v>NO EXISTE</v>
      </c>
      <c r="N367" s="143" t="str">
        <f t="shared" si="64"/>
        <v>NO EXISTE</v>
      </c>
      <c r="O367" s="143" t="str">
        <f t="shared" si="65"/>
        <v>NO EXISTE</v>
      </c>
      <c r="P367" s="143" t="str">
        <f t="shared" si="66"/>
        <v>NO EXISTE</v>
      </c>
      <c r="Q367" s="302" t="s">
        <v>2095</v>
      </c>
      <c r="R367" s="148" t="s">
        <v>594</v>
      </c>
      <c r="S367" s="148" t="s">
        <v>2084</v>
      </c>
      <c r="T367" s="149">
        <v>200</v>
      </c>
      <c r="U367" s="148" t="s">
        <v>596</v>
      </c>
      <c r="V367" s="150">
        <v>32126.68</v>
      </c>
      <c r="W367" s="151">
        <v>1838.79</v>
      </c>
    </row>
    <row r="368" spans="1:23" ht="15" customHeight="1" x14ac:dyDescent="0.25">
      <c r="A368" s="148">
        <v>16044</v>
      </c>
      <c r="B368" s="148" t="s">
        <v>2096</v>
      </c>
      <c r="C368" s="143" t="s">
        <v>2504</v>
      </c>
      <c r="D368" s="143" t="s">
        <v>2504</v>
      </c>
      <c r="E368" s="143" t="s">
        <v>2504</v>
      </c>
      <c r="F368" s="143" t="s">
        <v>2504</v>
      </c>
      <c r="G368" s="143" t="s">
        <v>2504</v>
      </c>
      <c r="H368" s="143" t="s">
        <v>2504</v>
      </c>
      <c r="I368" s="143" t="str">
        <f t="shared" si="59"/>
        <v>NO EXISTE</v>
      </c>
      <c r="J368" s="143" t="str">
        <f t="shared" si="60"/>
        <v>NO EXISTE</v>
      </c>
      <c r="K368" s="143" t="str">
        <f t="shared" si="61"/>
        <v>NO EXISTE</v>
      </c>
      <c r="L368" s="143" t="str">
        <f t="shared" si="62"/>
        <v>NO EXISTE</v>
      </c>
      <c r="M368" s="143" t="str">
        <f t="shared" si="63"/>
        <v>NO EXISTE</v>
      </c>
      <c r="N368" s="143" t="str">
        <f t="shared" si="64"/>
        <v>NO EXISTE</v>
      </c>
      <c r="O368" s="143" t="str">
        <f t="shared" si="65"/>
        <v>NO EXISTE</v>
      </c>
      <c r="P368" s="143" t="str">
        <f t="shared" si="66"/>
        <v>NO EXISTE</v>
      </c>
      <c r="Q368" s="302" t="s">
        <v>2097</v>
      </c>
      <c r="R368" s="148" t="s">
        <v>594</v>
      </c>
      <c r="S368" s="148" t="s">
        <v>2084</v>
      </c>
      <c r="T368" s="149">
        <v>0.95</v>
      </c>
      <c r="U368" s="148" t="s">
        <v>596</v>
      </c>
      <c r="V368" s="150">
        <v>158.71</v>
      </c>
      <c r="W368" s="151">
        <v>1794.67</v>
      </c>
    </row>
    <row r="369" spans="1:25" ht="15" customHeight="1" x14ac:dyDescent="0.25">
      <c r="A369" s="148">
        <v>16046</v>
      </c>
      <c r="B369" s="148" t="s">
        <v>2100</v>
      </c>
      <c r="C369" s="143" t="s">
        <v>2504</v>
      </c>
      <c r="D369" s="143" t="s">
        <v>2504</v>
      </c>
      <c r="E369" s="143" t="s">
        <v>2504</v>
      </c>
      <c r="F369" s="143" t="s">
        <v>2504</v>
      </c>
      <c r="G369" s="143" t="s">
        <v>2504</v>
      </c>
      <c r="H369" s="143" t="s">
        <v>2504</v>
      </c>
      <c r="I369" s="143" t="str">
        <f t="shared" si="59"/>
        <v>NO EXISTE</v>
      </c>
      <c r="J369" s="143" t="str">
        <f t="shared" si="60"/>
        <v>NO EXISTE</v>
      </c>
      <c r="K369" s="143" t="str">
        <f t="shared" si="61"/>
        <v>NO EXISTE</v>
      </c>
      <c r="L369" s="143" t="str">
        <f t="shared" si="62"/>
        <v>NO EXISTE</v>
      </c>
      <c r="M369" s="143" t="str">
        <f t="shared" si="63"/>
        <v>NO EXISTE</v>
      </c>
      <c r="N369" s="143" t="str">
        <f t="shared" si="64"/>
        <v>NO EXISTE</v>
      </c>
      <c r="O369" s="143" t="str">
        <f t="shared" si="65"/>
        <v>NO EXISTE</v>
      </c>
      <c r="P369" s="143" t="str">
        <f t="shared" si="66"/>
        <v>NO EXISTE</v>
      </c>
      <c r="Q369" s="302" t="s">
        <v>2101</v>
      </c>
      <c r="R369" s="148" t="s">
        <v>594</v>
      </c>
      <c r="S369" s="148" t="s">
        <v>2084</v>
      </c>
      <c r="T369" s="149">
        <v>200</v>
      </c>
      <c r="U369" s="148" t="s">
        <v>596</v>
      </c>
      <c r="V369" s="150">
        <v>30295.17</v>
      </c>
      <c r="W369" s="151">
        <v>1885.11</v>
      </c>
    </row>
    <row r="370" spans="1:25" ht="15" customHeight="1" x14ac:dyDescent="0.25">
      <c r="A370" s="148">
        <v>16049</v>
      </c>
      <c r="B370" s="148" t="s">
        <v>2104</v>
      </c>
      <c r="C370" s="143" t="s">
        <v>2504</v>
      </c>
      <c r="D370" s="143" t="s">
        <v>2504</v>
      </c>
      <c r="E370" s="143" t="s">
        <v>2504</v>
      </c>
      <c r="F370" s="143" t="s">
        <v>2504</v>
      </c>
      <c r="G370" s="143" t="s">
        <v>2504</v>
      </c>
      <c r="H370" s="143" t="s">
        <v>2504</v>
      </c>
      <c r="I370" s="143" t="str">
        <f t="shared" si="59"/>
        <v>NO EXISTE</v>
      </c>
      <c r="J370" s="143" t="str">
        <f t="shared" si="60"/>
        <v>NO EXISTE</v>
      </c>
      <c r="K370" s="143" t="str">
        <f t="shared" si="61"/>
        <v>NO EXISTE</v>
      </c>
      <c r="L370" s="143" t="str">
        <f t="shared" si="62"/>
        <v>NO EXISTE</v>
      </c>
      <c r="M370" s="143" t="str">
        <f t="shared" si="63"/>
        <v>NO EXISTE</v>
      </c>
      <c r="N370" s="143" t="str">
        <f t="shared" si="64"/>
        <v>NO EXISTE</v>
      </c>
      <c r="O370" s="143" t="str">
        <f t="shared" si="65"/>
        <v>NO EXISTE</v>
      </c>
      <c r="P370" s="143" t="str">
        <f t="shared" si="66"/>
        <v>NO EXISTE</v>
      </c>
      <c r="Q370" s="302" t="s">
        <v>2105</v>
      </c>
      <c r="R370" s="148" t="s">
        <v>594</v>
      </c>
      <c r="S370" s="148" t="s">
        <v>643</v>
      </c>
      <c r="T370" s="149">
        <v>5</v>
      </c>
      <c r="U370" s="148" t="s">
        <v>596</v>
      </c>
      <c r="V370" s="150">
        <v>646.82000000000005</v>
      </c>
      <c r="W370" s="151">
        <v>1952.65</v>
      </c>
    </row>
    <row r="371" spans="1:25" ht="15" customHeight="1" x14ac:dyDescent="0.25">
      <c r="A371" s="148">
        <v>16050</v>
      </c>
      <c r="B371" s="148" t="s">
        <v>2106</v>
      </c>
      <c r="C371" s="143" t="s">
        <v>2504</v>
      </c>
      <c r="D371" s="143" t="s">
        <v>2504</v>
      </c>
      <c r="E371" s="143" t="s">
        <v>2504</v>
      </c>
      <c r="F371" s="143" t="s">
        <v>2504</v>
      </c>
      <c r="G371" s="143" t="s">
        <v>2504</v>
      </c>
      <c r="H371" s="143" t="s">
        <v>2504</v>
      </c>
      <c r="I371" s="143" t="str">
        <f t="shared" si="59"/>
        <v>NO EXISTE</v>
      </c>
      <c r="J371" s="143" t="str">
        <f t="shared" si="60"/>
        <v>NO EXISTE</v>
      </c>
      <c r="K371" s="143" t="str">
        <f t="shared" si="61"/>
        <v>NO EXISTE</v>
      </c>
      <c r="L371" s="143" t="str">
        <f t="shared" si="62"/>
        <v>NO EXISTE</v>
      </c>
      <c r="M371" s="143" t="str">
        <f t="shared" si="63"/>
        <v>NO EXISTE</v>
      </c>
      <c r="N371" s="143" t="str">
        <f t="shared" si="64"/>
        <v>NO EXISTE</v>
      </c>
      <c r="O371" s="143" t="str">
        <f t="shared" si="65"/>
        <v>NO EXISTE</v>
      </c>
      <c r="P371" s="143" t="str">
        <f t="shared" si="66"/>
        <v>NO EXISTE</v>
      </c>
      <c r="Q371" s="302" t="s">
        <v>2107</v>
      </c>
      <c r="R371" s="148" t="s">
        <v>594</v>
      </c>
      <c r="S371" s="148" t="s">
        <v>643</v>
      </c>
      <c r="T371" s="149">
        <v>19</v>
      </c>
      <c r="U371" s="148" t="s">
        <v>596</v>
      </c>
      <c r="V371" s="150">
        <v>2391.6</v>
      </c>
      <c r="W371" s="151">
        <v>1970.8</v>
      </c>
    </row>
    <row r="372" spans="1:25" ht="15" customHeight="1" x14ac:dyDescent="0.25">
      <c r="A372" s="148">
        <v>16053</v>
      </c>
      <c r="B372" s="148" t="s">
        <v>2110</v>
      </c>
      <c r="C372" s="143" t="s">
        <v>2504</v>
      </c>
      <c r="D372" s="143" t="s">
        <v>2504</v>
      </c>
      <c r="E372" s="143" t="s">
        <v>2504</v>
      </c>
      <c r="F372" s="143" t="s">
        <v>2504</v>
      </c>
      <c r="G372" s="143" t="s">
        <v>2504</v>
      </c>
      <c r="H372" s="143" t="s">
        <v>2504</v>
      </c>
      <c r="I372" s="143" t="str">
        <f t="shared" si="59"/>
        <v>NO EXISTE</v>
      </c>
      <c r="J372" s="143" t="str">
        <f t="shared" si="60"/>
        <v>NO EXISTE</v>
      </c>
      <c r="K372" s="143" t="str">
        <f t="shared" si="61"/>
        <v>NO EXISTE</v>
      </c>
      <c r="L372" s="143" t="str">
        <f t="shared" si="62"/>
        <v>NO EXISTE</v>
      </c>
      <c r="M372" s="143" t="str">
        <f t="shared" si="63"/>
        <v>NO EXISTE</v>
      </c>
      <c r="N372" s="143" t="str">
        <f t="shared" si="64"/>
        <v>NO EXISTE</v>
      </c>
      <c r="O372" s="143" t="str">
        <f t="shared" si="65"/>
        <v>NO EXISTE</v>
      </c>
      <c r="P372" s="143" t="str">
        <f t="shared" si="66"/>
        <v>NO EXISTE</v>
      </c>
      <c r="Q372" s="302" t="s">
        <v>2111</v>
      </c>
      <c r="R372" s="148" t="s">
        <v>594</v>
      </c>
      <c r="S372" s="148" t="s">
        <v>643</v>
      </c>
      <c r="T372" s="149">
        <v>0.95</v>
      </c>
      <c r="U372" s="148" t="s">
        <v>596</v>
      </c>
      <c r="V372" s="150">
        <v>114.44</v>
      </c>
      <c r="W372" s="151">
        <v>1984.7</v>
      </c>
    </row>
    <row r="373" spans="1:25" ht="15" customHeight="1" x14ac:dyDescent="0.25">
      <c r="A373" s="148">
        <v>16059</v>
      </c>
      <c r="B373" s="148" t="s">
        <v>2116</v>
      </c>
      <c r="C373" s="143" t="s">
        <v>2504</v>
      </c>
      <c r="D373" s="143" t="s">
        <v>2504</v>
      </c>
      <c r="E373" s="143" t="s">
        <v>2504</v>
      </c>
      <c r="F373" s="143" t="s">
        <v>2504</v>
      </c>
      <c r="G373" s="143" t="s">
        <v>2504</v>
      </c>
      <c r="H373" s="143" t="s">
        <v>2504</v>
      </c>
      <c r="I373" s="143" t="str">
        <f t="shared" si="59"/>
        <v>NO EXISTE</v>
      </c>
      <c r="J373" s="143" t="str">
        <f t="shared" si="60"/>
        <v>NO EXISTE</v>
      </c>
      <c r="K373" s="143" t="str">
        <f t="shared" si="61"/>
        <v>NO EXISTE</v>
      </c>
      <c r="L373" s="143" t="str">
        <f t="shared" si="62"/>
        <v>NO EXISTE</v>
      </c>
      <c r="M373" s="143" t="str">
        <f t="shared" si="63"/>
        <v>NO EXISTE</v>
      </c>
      <c r="N373" s="143" t="str">
        <f t="shared" si="64"/>
        <v>NO EXISTE</v>
      </c>
      <c r="O373" s="143" t="str">
        <f t="shared" si="65"/>
        <v>NO EXISTE</v>
      </c>
      <c r="P373" s="143" t="str">
        <f t="shared" si="66"/>
        <v>NO EXISTE</v>
      </c>
      <c r="Q373" s="302" t="s">
        <v>2117</v>
      </c>
      <c r="R373" s="148" t="s">
        <v>594</v>
      </c>
      <c r="S373" s="148" t="s">
        <v>643</v>
      </c>
      <c r="T373" s="149">
        <v>5</v>
      </c>
      <c r="U373" s="148" t="s">
        <v>596</v>
      </c>
      <c r="V373" s="150">
        <v>568.14</v>
      </c>
      <c r="W373" s="151">
        <v>1990.23</v>
      </c>
    </row>
    <row r="374" spans="1:25" ht="15" customHeight="1" x14ac:dyDescent="0.25">
      <c r="A374" s="148">
        <v>16061</v>
      </c>
      <c r="B374" s="148" t="s">
        <v>2118</v>
      </c>
      <c r="C374" s="143" t="s">
        <v>2504</v>
      </c>
      <c r="D374" s="143" t="s">
        <v>2504</v>
      </c>
      <c r="E374" s="143" t="s">
        <v>2504</v>
      </c>
      <c r="F374" s="143" t="s">
        <v>2504</v>
      </c>
      <c r="G374" s="143" t="s">
        <v>2504</v>
      </c>
      <c r="H374" s="143" t="s">
        <v>2504</v>
      </c>
      <c r="I374" s="143" t="str">
        <f t="shared" si="59"/>
        <v>NO EXISTE</v>
      </c>
      <c r="J374" s="143" t="str">
        <f t="shared" si="60"/>
        <v>NO EXISTE</v>
      </c>
      <c r="K374" s="143" t="str">
        <f t="shared" si="61"/>
        <v>NO EXISTE</v>
      </c>
      <c r="L374" s="143" t="str">
        <f t="shared" si="62"/>
        <v>NO EXISTE</v>
      </c>
      <c r="M374" s="143" t="str">
        <f t="shared" si="63"/>
        <v>NO EXISTE</v>
      </c>
      <c r="N374" s="143" t="str">
        <f t="shared" si="64"/>
        <v>NO EXISTE</v>
      </c>
      <c r="O374" s="143" t="str">
        <f t="shared" si="65"/>
        <v>NO EXISTE</v>
      </c>
      <c r="P374" s="143" t="str">
        <f t="shared" si="66"/>
        <v>NO EXISTE</v>
      </c>
      <c r="Q374" s="302" t="s">
        <v>2119</v>
      </c>
      <c r="R374" s="148" t="s">
        <v>594</v>
      </c>
      <c r="S374" s="148" t="s">
        <v>643</v>
      </c>
      <c r="T374" s="149">
        <v>200</v>
      </c>
      <c r="U374" s="148" t="s">
        <v>596</v>
      </c>
      <c r="V374" s="150">
        <v>21669.37</v>
      </c>
      <c r="W374" s="151">
        <v>1861.85</v>
      </c>
    </row>
    <row r="375" spans="1:25" ht="15" customHeight="1" x14ac:dyDescent="0.25">
      <c r="A375" s="148">
        <v>16063</v>
      </c>
      <c r="B375" s="148" t="s">
        <v>2120</v>
      </c>
      <c r="C375" s="143" t="s">
        <v>2504</v>
      </c>
      <c r="D375" s="143" t="s">
        <v>2504</v>
      </c>
      <c r="E375" s="143" t="s">
        <v>2504</v>
      </c>
      <c r="F375" s="143" t="s">
        <v>2504</v>
      </c>
      <c r="G375" s="143" t="s">
        <v>2504</v>
      </c>
      <c r="H375" s="143" t="s">
        <v>2504</v>
      </c>
      <c r="I375" s="143" t="str">
        <f t="shared" si="59"/>
        <v>NO EXISTE</v>
      </c>
      <c r="J375" s="143" t="str">
        <f t="shared" si="60"/>
        <v>NO EXISTE</v>
      </c>
      <c r="K375" s="143" t="str">
        <f t="shared" si="61"/>
        <v>NO EXISTE</v>
      </c>
      <c r="L375" s="143" t="str">
        <f t="shared" si="62"/>
        <v>NO EXISTE</v>
      </c>
      <c r="M375" s="143" t="str">
        <f t="shared" si="63"/>
        <v>NO EXISTE</v>
      </c>
      <c r="N375" s="143" t="str">
        <f t="shared" si="64"/>
        <v>NO EXISTE</v>
      </c>
      <c r="O375" s="143" t="str">
        <f t="shared" si="65"/>
        <v>NO EXISTE</v>
      </c>
      <c r="P375" s="143" t="str">
        <f t="shared" si="66"/>
        <v>NO EXISTE</v>
      </c>
      <c r="Q375" s="302" t="s">
        <v>2121</v>
      </c>
      <c r="R375" s="148" t="s">
        <v>594</v>
      </c>
      <c r="S375" s="148" t="s">
        <v>643</v>
      </c>
      <c r="T375" s="149">
        <v>0.95</v>
      </c>
      <c r="U375" s="148" t="s">
        <v>596</v>
      </c>
      <c r="V375" s="150">
        <v>104.02</v>
      </c>
      <c r="W375" s="151">
        <v>1994.92</v>
      </c>
    </row>
    <row r="376" spans="1:25" ht="15" customHeight="1" x14ac:dyDescent="0.25">
      <c r="A376" s="148">
        <v>16064</v>
      </c>
      <c r="B376" s="148" t="s">
        <v>2122</v>
      </c>
      <c r="C376" s="143" t="s">
        <v>2504</v>
      </c>
      <c r="D376" s="143" t="s">
        <v>2504</v>
      </c>
      <c r="E376" s="143" t="s">
        <v>2504</v>
      </c>
      <c r="F376" s="143" t="s">
        <v>2504</v>
      </c>
      <c r="G376" s="143" t="s">
        <v>2504</v>
      </c>
      <c r="H376" s="143" t="s">
        <v>2504</v>
      </c>
      <c r="I376" s="143" t="str">
        <f t="shared" si="59"/>
        <v>NO EXISTE</v>
      </c>
      <c r="J376" s="143" t="str">
        <f t="shared" si="60"/>
        <v>NO EXISTE</v>
      </c>
      <c r="K376" s="143" t="str">
        <f t="shared" si="61"/>
        <v>NO EXISTE</v>
      </c>
      <c r="L376" s="143" t="str">
        <f t="shared" si="62"/>
        <v>NO EXISTE</v>
      </c>
      <c r="M376" s="143" t="str">
        <f t="shared" si="63"/>
        <v>NO EXISTE</v>
      </c>
      <c r="N376" s="143" t="str">
        <f t="shared" si="64"/>
        <v>NO EXISTE</v>
      </c>
      <c r="O376" s="143" t="str">
        <f t="shared" si="65"/>
        <v>NO EXISTE</v>
      </c>
      <c r="P376" s="143" t="str">
        <f t="shared" si="66"/>
        <v>NO EXISTE</v>
      </c>
      <c r="Q376" s="302" t="s">
        <v>2123</v>
      </c>
      <c r="R376" s="148" t="s">
        <v>594</v>
      </c>
      <c r="S376" s="148" t="s">
        <v>643</v>
      </c>
      <c r="T376" s="149">
        <v>5</v>
      </c>
      <c r="U376" s="148" t="s">
        <v>596</v>
      </c>
      <c r="V376" s="150">
        <v>548.75</v>
      </c>
      <c r="W376" s="151">
        <v>1991.66</v>
      </c>
    </row>
    <row r="377" spans="1:25" ht="15" customHeight="1" x14ac:dyDescent="0.25">
      <c r="A377" s="148">
        <v>16065</v>
      </c>
      <c r="B377" s="148" t="s">
        <v>2124</v>
      </c>
      <c r="C377" s="143" t="s">
        <v>2504</v>
      </c>
      <c r="D377" s="143" t="s">
        <v>2504</v>
      </c>
      <c r="E377" s="143" t="s">
        <v>2504</v>
      </c>
      <c r="F377" s="143" t="s">
        <v>2504</v>
      </c>
      <c r="G377" s="143" t="s">
        <v>2504</v>
      </c>
      <c r="H377" s="143" t="s">
        <v>2504</v>
      </c>
      <c r="I377" s="143" t="str">
        <f t="shared" si="59"/>
        <v>NO EXISTE</v>
      </c>
      <c r="J377" s="143" t="str">
        <f t="shared" si="60"/>
        <v>NO EXISTE</v>
      </c>
      <c r="K377" s="143" t="str">
        <f t="shared" si="61"/>
        <v>NO EXISTE</v>
      </c>
      <c r="L377" s="143" t="str">
        <f t="shared" si="62"/>
        <v>NO EXISTE</v>
      </c>
      <c r="M377" s="143" t="str">
        <f t="shared" si="63"/>
        <v>NO EXISTE</v>
      </c>
      <c r="N377" s="143" t="str">
        <f t="shared" si="64"/>
        <v>NO EXISTE</v>
      </c>
      <c r="O377" s="143" t="str">
        <f t="shared" si="65"/>
        <v>NO EXISTE</v>
      </c>
      <c r="P377" s="143" t="str">
        <f t="shared" si="66"/>
        <v>NO EXISTE</v>
      </c>
      <c r="Q377" s="302" t="s">
        <v>2125</v>
      </c>
      <c r="R377" s="148" t="s">
        <v>594</v>
      </c>
      <c r="S377" s="148" t="s">
        <v>759</v>
      </c>
      <c r="T377" s="149">
        <v>19</v>
      </c>
      <c r="U377" s="148" t="s">
        <v>596</v>
      </c>
      <c r="V377" s="150">
        <v>1985.51</v>
      </c>
      <c r="W377" s="151">
        <v>2099.7399999999998</v>
      </c>
    </row>
    <row r="378" spans="1:25" ht="15" customHeight="1" x14ac:dyDescent="0.25">
      <c r="A378" s="148">
        <v>16071</v>
      </c>
      <c r="B378" s="148" t="s">
        <v>2131</v>
      </c>
      <c r="C378" s="143" t="s">
        <v>2504</v>
      </c>
      <c r="D378" s="143" t="s">
        <v>2504</v>
      </c>
      <c r="E378" s="143" t="s">
        <v>2504</v>
      </c>
      <c r="F378" s="143" t="s">
        <v>2504</v>
      </c>
      <c r="G378" s="143" t="s">
        <v>2504</v>
      </c>
      <c r="H378" s="143" t="s">
        <v>2504</v>
      </c>
      <c r="I378" s="143" t="str">
        <f t="shared" si="59"/>
        <v>NO EXISTE</v>
      </c>
      <c r="J378" s="143" t="str">
        <f t="shared" si="60"/>
        <v>NO EXISTE</v>
      </c>
      <c r="K378" s="143" t="str">
        <f t="shared" si="61"/>
        <v>NO EXISTE</v>
      </c>
      <c r="L378" s="143" t="str">
        <f t="shared" si="62"/>
        <v>NO EXISTE</v>
      </c>
      <c r="M378" s="143" t="str">
        <f t="shared" si="63"/>
        <v>NO EXISTE</v>
      </c>
      <c r="N378" s="143" t="str">
        <f t="shared" si="64"/>
        <v>NO EXISTE</v>
      </c>
      <c r="O378" s="143" t="str">
        <f t="shared" si="65"/>
        <v>NO EXISTE</v>
      </c>
      <c r="P378" s="143" t="str">
        <f t="shared" si="66"/>
        <v>NO EXISTE</v>
      </c>
      <c r="Q378" s="302" t="s">
        <v>2132</v>
      </c>
      <c r="R378" s="148" t="s">
        <v>594</v>
      </c>
      <c r="S378" s="148" t="s">
        <v>2128</v>
      </c>
      <c r="T378" s="149">
        <v>200</v>
      </c>
      <c r="U378" s="148" t="s">
        <v>596</v>
      </c>
      <c r="V378" s="150">
        <v>25496.400000000001</v>
      </c>
      <c r="W378" s="151">
        <v>2086.9</v>
      </c>
    </row>
    <row r="379" spans="1:25" ht="15" customHeight="1" x14ac:dyDescent="0.25">
      <c r="A379" s="148">
        <v>16076</v>
      </c>
      <c r="B379" s="148" t="s">
        <v>2133</v>
      </c>
      <c r="C379" s="143" t="s">
        <v>2504</v>
      </c>
      <c r="D379" s="143" t="s">
        <v>2504</v>
      </c>
      <c r="E379" s="143" t="s">
        <v>2504</v>
      </c>
      <c r="F379" s="143" t="s">
        <v>2504</v>
      </c>
      <c r="G379" s="143" t="s">
        <v>2504</v>
      </c>
      <c r="H379" s="143" t="s">
        <v>2504</v>
      </c>
      <c r="I379" s="143" t="str">
        <f t="shared" si="59"/>
        <v>NO EXISTE</v>
      </c>
      <c r="J379" s="143" t="str">
        <f t="shared" si="60"/>
        <v>NO EXISTE</v>
      </c>
      <c r="K379" s="143" t="str">
        <f t="shared" si="61"/>
        <v>NO EXISTE</v>
      </c>
      <c r="L379" s="143" t="str">
        <f t="shared" si="62"/>
        <v>NO EXISTE</v>
      </c>
      <c r="M379" s="143" t="str">
        <f t="shared" si="63"/>
        <v>NO EXISTE</v>
      </c>
      <c r="N379" s="143" t="str">
        <f t="shared" si="64"/>
        <v>NO EXISTE</v>
      </c>
      <c r="O379" s="143" t="str">
        <f t="shared" si="65"/>
        <v>NO EXISTE</v>
      </c>
      <c r="P379" s="143" t="str">
        <f t="shared" si="66"/>
        <v>NO EXISTE</v>
      </c>
      <c r="Q379" s="302" t="s">
        <v>2134</v>
      </c>
      <c r="R379" s="148" t="s">
        <v>630</v>
      </c>
      <c r="S379" s="148" t="s">
        <v>830</v>
      </c>
      <c r="T379" s="149">
        <v>0.95</v>
      </c>
      <c r="U379" s="148" t="s">
        <v>596</v>
      </c>
      <c r="V379" s="150">
        <v>87.37</v>
      </c>
      <c r="W379" s="151">
        <v>2204.12</v>
      </c>
    </row>
    <row r="380" spans="1:25" ht="15" customHeight="1" x14ac:dyDescent="0.25">
      <c r="A380" s="148">
        <v>16078</v>
      </c>
      <c r="B380" s="148" t="s">
        <v>2137</v>
      </c>
      <c r="C380" s="143" t="s">
        <v>2504</v>
      </c>
      <c r="D380" s="143" t="s">
        <v>2504</v>
      </c>
      <c r="E380" s="143" t="s">
        <v>2504</v>
      </c>
      <c r="F380" s="143" t="s">
        <v>2504</v>
      </c>
      <c r="G380" s="143" t="s">
        <v>2504</v>
      </c>
      <c r="H380" s="143" t="s">
        <v>2504</v>
      </c>
      <c r="I380" s="143" t="str">
        <f t="shared" si="59"/>
        <v>NO EXISTE</v>
      </c>
      <c r="J380" s="143" t="str">
        <f t="shared" si="60"/>
        <v>NO EXISTE</v>
      </c>
      <c r="K380" s="143" t="str">
        <f t="shared" si="61"/>
        <v>NO EXISTE</v>
      </c>
      <c r="L380" s="143" t="str">
        <f t="shared" si="62"/>
        <v>NO EXISTE</v>
      </c>
      <c r="M380" s="143" t="str">
        <f t="shared" si="63"/>
        <v>NO EXISTE</v>
      </c>
      <c r="N380" s="143" t="str">
        <f t="shared" si="64"/>
        <v>NO EXISTE</v>
      </c>
      <c r="O380" s="143" t="str">
        <f t="shared" si="65"/>
        <v>NO EXISTE</v>
      </c>
      <c r="P380" s="143" t="str">
        <f t="shared" si="66"/>
        <v>NO EXISTE</v>
      </c>
      <c r="Q380" s="302" t="s">
        <v>2138</v>
      </c>
      <c r="R380" s="148" t="s">
        <v>630</v>
      </c>
      <c r="S380" s="148" t="s">
        <v>631</v>
      </c>
      <c r="T380" s="149">
        <v>0.95</v>
      </c>
      <c r="U380" s="148" t="s">
        <v>596</v>
      </c>
      <c r="V380" s="150">
        <v>81.900000000000006</v>
      </c>
      <c r="W380" s="151">
        <v>2326.5100000000002</v>
      </c>
      <c r="Y380" s="147"/>
    </row>
    <row r="381" spans="1:25" ht="15" customHeight="1" x14ac:dyDescent="0.25">
      <c r="A381" s="148">
        <v>16088</v>
      </c>
      <c r="B381" s="148" t="s">
        <v>2142</v>
      </c>
      <c r="C381" s="143" t="s">
        <v>2504</v>
      </c>
      <c r="D381" s="143" t="s">
        <v>2504</v>
      </c>
      <c r="E381" s="143" t="s">
        <v>2504</v>
      </c>
      <c r="F381" s="143" t="s">
        <v>2504</v>
      </c>
      <c r="G381" s="143" t="s">
        <v>2504</v>
      </c>
      <c r="H381" s="143" t="s">
        <v>2504</v>
      </c>
      <c r="I381" s="143" t="str">
        <f t="shared" si="59"/>
        <v>NO EXISTE</v>
      </c>
      <c r="J381" s="143" t="str">
        <f t="shared" si="60"/>
        <v>NO EXISTE</v>
      </c>
      <c r="K381" s="143" t="str">
        <f t="shared" si="61"/>
        <v>NO EXISTE</v>
      </c>
      <c r="L381" s="143" t="str">
        <f t="shared" si="62"/>
        <v>NO EXISTE</v>
      </c>
      <c r="M381" s="143" t="str">
        <f t="shared" si="63"/>
        <v>NO EXISTE</v>
      </c>
      <c r="N381" s="143" t="str">
        <f t="shared" si="64"/>
        <v>NO EXISTE</v>
      </c>
      <c r="O381" s="143" t="str">
        <f t="shared" si="65"/>
        <v>NO EXISTE</v>
      </c>
      <c r="P381" s="143" t="str">
        <f t="shared" si="66"/>
        <v>NO EXISTE</v>
      </c>
      <c r="Q381" s="302" t="s">
        <v>2143</v>
      </c>
      <c r="R381" s="148" t="s">
        <v>594</v>
      </c>
      <c r="S381" s="148" t="s">
        <v>2084</v>
      </c>
      <c r="T381" s="149">
        <v>0.95</v>
      </c>
      <c r="U381" s="148" t="s">
        <v>596</v>
      </c>
      <c r="V381" s="150">
        <v>138.13999999999999</v>
      </c>
      <c r="W381" s="151">
        <v>2579.52</v>
      </c>
    </row>
    <row r="382" spans="1:25" ht="15" customHeight="1" x14ac:dyDescent="0.25">
      <c r="A382" s="148">
        <v>16104</v>
      </c>
      <c r="B382" s="148" t="s">
        <v>2144</v>
      </c>
      <c r="C382" s="143" t="s">
        <v>2504</v>
      </c>
      <c r="D382" s="143" t="s">
        <v>2504</v>
      </c>
      <c r="E382" s="143" t="s">
        <v>2504</v>
      </c>
      <c r="F382" s="143" t="s">
        <v>2504</v>
      </c>
      <c r="G382" s="143" t="s">
        <v>2504</v>
      </c>
      <c r="H382" s="143" t="s">
        <v>2504</v>
      </c>
      <c r="I382" s="143" t="str">
        <f t="shared" si="59"/>
        <v>NO EXISTE</v>
      </c>
      <c r="J382" s="143" t="str">
        <f t="shared" si="60"/>
        <v>NO EXISTE</v>
      </c>
      <c r="K382" s="143" t="str">
        <f t="shared" si="61"/>
        <v>NO EXISTE</v>
      </c>
      <c r="L382" s="143" t="str">
        <f t="shared" si="62"/>
        <v>NO EXISTE</v>
      </c>
      <c r="M382" s="143" t="str">
        <f t="shared" si="63"/>
        <v>NO EXISTE</v>
      </c>
      <c r="N382" s="143" t="str">
        <f t="shared" si="64"/>
        <v>NO EXISTE</v>
      </c>
      <c r="O382" s="143" t="str">
        <f t="shared" si="65"/>
        <v>NO EXISTE</v>
      </c>
      <c r="P382" s="143" t="str">
        <f t="shared" si="66"/>
        <v>NO EXISTE</v>
      </c>
      <c r="Q382" s="302" t="s">
        <v>2145</v>
      </c>
      <c r="R382" s="148" t="s">
        <v>630</v>
      </c>
      <c r="S382" s="148" t="s">
        <v>830</v>
      </c>
      <c r="T382" s="149">
        <v>4</v>
      </c>
      <c r="U382" s="148" t="s">
        <v>596</v>
      </c>
      <c r="V382" s="150">
        <v>359.55</v>
      </c>
      <c r="W382" s="151">
        <v>2803.94</v>
      </c>
    </row>
    <row r="383" spans="1:25" ht="15" customHeight="1" x14ac:dyDescent="0.25">
      <c r="A383" s="148">
        <v>16122</v>
      </c>
      <c r="B383" s="148" t="s">
        <v>2167</v>
      </c>
      <c r="C383" s="143" t="s">
        <v>2504</v>
      </c>
      <c r="D383" s="143" t="s">
        <v>2504</v>
      </c>
      <c r="E383" s="143" t="s">
        <v>2504</v>
      </c>
      <c r="F383" s="143" t="s">
        <v>2504</v>
      </c>
      <c r="G383" s="143" t="s">
        <v>2504</v>
      </c>
      <c r="H383" s="143" t="s">
        <v>2504</v>
      </c>
      <c r="I383" s="143" t="str">
        <f t="shared" si="59"/>
        <v>NO EXISTE</v>
      </c>
      <c r="J383" s="143" t="str">
        <f t="shared" si="60"/>
        <v>NO EXISTE</v>
      </c>
      <c r="K383" s="143" t="str">
        <f t="shared" si="61"/>
        <v>NO EXISTE</v>
      </c>
      <c r="L383" s="143" t="str">
        <f t="shared" si="62"/>
        <v>NO EXISTE</v>
      </c>
      <c r="M383" s="143" t="str">
        <f t="shared" si="63"/>
        <v>NO EXISTE</v>
      </c>
      <c r="N383" s="143" t="str">
        <f t="shared" si="64"/>
        <v>NO EXISTE</v>
      </c>
      <c r="O383" s="143" t="str">
        <f t="shared" si="65"/>
        <v>NO EXISTE</v>
      </c>
      <c r="P383" s="143" t="str">
        <f t="shared" si="66"/>
        <v>NO EXISTE</v>
      </c>
      <c r="Q383" s="302" t="s">
        <v>2168</v>
      </c>
      <c r="R383" s="148" t="s">
        <v>630</v>
      </c>
      <c r="S383" s="148" t="s">
        <v>840</v>
      </c>
      <c r="T383" s="149">
        <v>19</v>
      </c>
      <c r="U383" s="148" t="s">
        <v>596</v>
      </c>
      <c r="V383" s="150">
        <v>2291.37</v>
      </c>
      <c r="W383" s="151">
        <v>1985.19</v>
      </c>
    </row>
    <row r="384" spans="1:25" ht="15" customHeight="1" x14ac:dyDescent="0.25">
      <c r="A384" s="148">
        <v>16123</v>
      </c>
      <c r="B384" s="148" t="s">
        <v>2169</v>
      </c>
      <c r="C384" s="143" t="s">
        <v>2504</v>
      </c>
      <c r="D384" s="143" t="s">
        <v>2504</v>
      </c>
      <c r="E384" s="143" t="s">
        <v>2504</v>
      </c>
      <c r="F384" s="143" t="s">
        <v>2504</v>
      </c>
      <c r="G384" s="143" t="s">
        <v>2504</v>
      </c>
      <c r="H384" s="143" t="s">
        <v>2504</v>
      </c>
      <c r="I384" s="143" t="str">
        <f t="shared" si="59"/>
        <v>NO EXISTE</v>
      </c>
      <c r="J384" s="143" t="str">
        <f t="shared" si="60"/>
        <v>NO EXISTE</v>
      </c>
      <c r="K384" s="143" t="str">
        <f t="shared" si="61"/>
        <v>NO EXISTE</v>
      </c>
      <c r="L384" s="143" t="str">
        <f t="shared" si="62"/>
        <v>NO EXISTE</v>
      </c>
      <c r="M384" s="143" t="str">
        <f t="shared" si="63"/>
        <v>NO EXISTE</v>
      </c>
      <c r="N384" s="143" t="str">
        <f t="shared" si="64"/>
        <v>NO EXISTE</v>
      </c>
      <c r="O384" s="143" t="str">
        <f t="shared" si="65"/>
        <v>NO EXISTE</v>
      </c>
      <c r="P384" s="143" t="str">
        <f t="shared" si="66"/>
        <v>NO EXISTE</v>
      </c>
      <c r="Q384" s="302" t="s">
        <v>2170</v>
      </c>
      <c r="R384" s="148" t="s">
        <v>630</v>
      </c>
      <c r="S384" s="148" t="s">
        <v>840</v>
      </c>
      <c r="T384" s="149">
        <v>200</v>
      </c>
      <c r="U384" s="148" t="s">
        <v>596</v>
      </c>
      <c r="V384" s="150">
        <v>24001.62</v>
      </c>
      <c r="W384" s="151">
        <v>2060.83</v>
      </c>
    </row>
    <row r="385" spans="1:23" ht="15" customHeight="1" x14ac:dyDescent="0.25">
      <c r="A385" s="148">
        <v>16124</v>
      </c>
      <c r="B385" s="148" t="s">
        <v>2171</v>
      </c>
      <c r="C385" s="143" t="s">
        <v>2504</v>
      </c>
      <c r="D385" s="143" t="s">
        <v>2504</v>
      </c>
      <c r="E385" s="143" t="s">
        <v>2504</v>
      </c>
      <c r="F385" s="143" t="s">
        <v>2504</v>
      </c>
      <c r="G385" s="143" t="s">
        <v>2504</v>
      </c>
      <c r="H385" s="143" t="s">
        <v>2504</v>
      </c>
      <c r="I385" s="143" t="str">
        <f t="shared" si="59"/>
        <v>NO EXISTE</v>
      </c>
      <c r="J385" s="143" t="str">
        <f t="shared" si="60"/>
        <v>NO EXISTE</v>
      </c>
      <c r="K385" s="143" t="str">
        <f t="shared" si="61"/>
        <v>NO EXISTE</v>
      </c>
      <c r="L385" s="143" t="str">
        <f t="shared" si="62"/>
        <v>NO EXISTE</v>
      </c>
      <c r="M385" s="143" t="str">
        <f t="shared" si="63"/>
        <v>NO EXISTE</v>
      </c>
      <c r="N385" s="143" t="str">
        <f t="shared" si="64"/>
        <v>NO EXISTE</v>
      </c>
      <c r="O385" s="143" t="str">
        <f t="shared" si="65"/>
        <v>NO EXISTE</v>
      </c>
      <c r="P385" s="143" t="str">
        <f t="shared" si="66"/>
        <v>NO EXISTE</v>
      </c>
      <c r="Q385" s="302" t="s">
        <v>2172</v>
      </c>
      <c r="R385" s="148" t="s">
        <v>630</v>
      </c>
      <c r="S385" s="148" t="s">
        <v>840</v>
      </c>
      <c r="T385" s="149">
        <v>1</v>
      </c>
      <c r="U385" s="148" t="s">
        <v>596</v>
      </c>
      <c r="V385" s="150">
        <v>115.24</v>
      </c>
      <c r="W385" s="151">
        <v>2075.19</v>
      </c>
    </row>
    <row r="386" spans="1:23" ht="15" customHeight="1" x14ac:dyDescent="0.25">
      <c r="A386" s="148">
        <v>16145</v>
      </c>
      <c r="B386" s="148" t="s">
        <v>2185</v>
      </c>
      <c r="C386" s="143" t="s">
        <v>2504</v>
      </c>
      <c r="D386" s="143" t="s">
        <v>2504</v>
      </c>
      <c r="E386" s="143" t="s">
        <v>2504</v>
      </c>
      <c r="F386" s="143" t="s">
        <v>2504</v>
      </c>
      <c r="G386" s="143" t="s">
        <v>2504</v>
      </c>
      <c r="H386" s="143" t="s">
        <v>2504</v>
      </c>
      <c r="I386" s="143" t="str">
        <f t="shared" si="59"/>
        <v>NO EXISTE</v>
      </c>
      <c r="J386" s="143" t="str">
        <f t="shared" si="60"/>
        <v>NO EXISTE</v>
      </c>
      <c r="K386" s="143" t="str">
        <f t="shared" si="61"/>
        <v>NO EXISTE</v>
      </c>
      <c r="L386" s="143" t="str">
        <f t="shared" si="62"/>
        <v>NO EXISTE</v>
      </c>
      <c r="M386" s="143" t="str">
        <f t="shared" si="63"/>
        <v>NO EXISTE</v>
      </c>
      <c r="N386" s="143" t="str">
        <f t="shared" si="64"/>
        <v>NO EXISTE</v>
      </c>
      <c r="O386" s="143" t="str">
        <f t="shared" si="65"/>
        <v>NO EXISTE</v>
      </c>
      <c r="P386" s="143" t="str">
        <f t="shared" si="66"/>
        <v>NO EXISTE</v>
      </c>
      <c r="Q386" s="302" t="s">
        <v>2186</v>
      </c>
      <c r="R386" s="148" t="s">
        <v>594</v>
      </c>
      <c r="S386" s="148" t="s">
        <v>2084</v>
      </c>
      <c r="T386" s="149">
        <v>0.95</v>
      </c>
      <c r="U386" s="148" t="s">
        <v>596</v>
      </c>
      <c r="V386" s="150">
        <v>137.83000000000001</v>
      </c>
      <c r="W386" s="151">
        <v>2084.96</v>
      </c>
    </row>
    <row r="387" spans="1:23" ht="15" customHeight="1" x14ac:dyDescent="0.25">
      <c r="A387" s="148">
        <v>16146</v>
      </c>
      <c r="B387" s="148" t="s">
        <v>2187</v>
      </c>
      <c r="C387" s="143" t="s">
        <v>2504</v>
      </c>
      <c r="D387" s="143" t="s">
        <v>2504</v>
      </c>
      <c r="E387" s="143" t="s">
        <v>2504</v>
      </c>
      <c r="F387" s="143" t="s">
        <v>2504</v>
      </c>
      <c r="G387" s="143" t="s">
        <v>2504</v>
      </c>
      <c r="H387" s="143" t="s">
        <v>2504</v>
      </c>
      <c r="I387" s="143" t="str">
        <f t="shared" si="59"/>
        <v>NO EXISTE</v>
      </c>
      <c r="J387" s="143" t="str">
        <f t="shared" si="60"/>
        <v>NO EXISTE</v>
      </c>
      <c r="K387" s="143" t="str">
        <f t="shared" si="61"/>
        <v>NO EXISTE</v>
      </c>
      <c r="L387" s="143" t="str">
        <f t="shared" si="62"/>
        <v>NO EXISTE</v>
      </c>
      <c r="M387" s="143" t="str">
        <f t="shared" si="63"/>
        <v>NO EXISTE</v>
      </c>
      <c r="N387" s="143" t="str">
        <f t="shared" si="64"/>
        <v>NO EXISTE</v>
      </c>
      <c r="O387" s="143" t="str">
        <f t="shared" si="65"/>
        <v>NO EXISTE</v>
      </c>
      <c r="P387" s="143" t="str">
        <f t="shared" si="66"/>
        <v>NO EXISTE</v>
      </c>
      <c r="Q387" s="302" t="s">
        <v>2188</v>
      </c>
      <c r="R387" s="148" t="s">
        <v>594</v>
      </c>
      <c r="S387" s="148" t="s">
        <v>2084</v>
      </c>
      <c r="T387" s="149">
        <v>0.95</v>
      </c>
      <c r="U387" s="148" t="s">
        <v>596</v>
      </c>
      <c r="V387" s="150">
        <v>159.35</v>
      </c>
      <c r="W387" s="151">
        <v>3490.84</v>
      </c>
    </row>
    <row r="388" spans="1:23" ht="15" customHeight="1" x14ac:dyDescent="0.25">
      <c r="A388" s="148">
        <v>16147</v>
      </c>
      <c r="B388" s="148" t="s">
        <v>2189</v>
      </c>
      <c r="C388" s="143" t="s">
        <v>2504</v>
      </c>
      <c r="D388" s="143" t="s">
        <v>2504</v>
      </c>
      <c r="E388" s="143" t="s">
        <v>2504</v>
      </c>
      <c r="F388" s="143" t="s">
        <v>2504</v>
      </c>
      <c r="G388" s="143" t="s">
        <v>2504</v>
      </c>
      <c r="H388" s="143" t="s">
        <v>2504</v>
      </c>
      <c r="I388" s="143" t="str">
        <f t="shared" si="59"/>
        <v>NO EXISTE</v>
      </c>
      <c r="J388" s="143" t="str">
        <f t="shared" si="60"/>
        <v>NO EXISTE</v>
      </c>
      <c r="K388" s="143" t="str">
        <f t="shared" si="61"/>
        <v>NO EXISTE</v>
      </c>
      <c r="L388" s="143" t="str">
        <f t="shared" si="62"/>
        <v>NO EXISTE</v>
      </c>
      <c r="M388" s="143" t="str">
        <f t="shared" si="63"/>
        <v>NO EXISTE</v>
      </c>
      <c r="N388" s="143" t="str">
        <f t="shared" si="64"/>
        <v>NO EXISTE</v>
      </c>
      <c r="O388" s="143" t="str">
        <f t="shared" si="65"/>
        <v>NO EXISTE</v>
      </c>
      <c r="P388" s="143" t="str">
        <f t="shared" si="66"/>
        <v>NO EXISTE</v>
      </c>
      <c r="Q388" s="302" t="s">
        <v>2190</v>
      </c>
      <c r="R388" s="148" t="s">
        <v>594</v>
      </c>
      <c r="S388" s="148" t="s">
        <v>2084</v>
      </c>
      <c r="T388" s="149">
        <v>0.95</v>
      </c>
      <c r="U388" s="148" t="s">
        <v>596</v>
      </c>
      <c r="V388" s="150">
        <v>150.51</v>
      </c>
      <c r="W388" s="151">
        <v>3577.99</v>
      </c>
    </row>
    <row r="389" spans="1:23" ht="15" customHeight="1" x14ac:dyDescent="0.25">
      <c r="A389" s="148">
        <v>16200</v>
      </c>
      <c r="B389" s="148" t="s">
        <v>2197</v>
      </c>
      <c r="C389" s="143" t="s">
        <v>2504</v>
      </c>
      <c r="D389" s="143" t="s">
        <v>2504</v>
      </c>
      <c r="E389" s="143" t="s">
        <v>2504</v>
      </c>
      <c r="F389" s="143" t="s">
        <v>2504</v>
      </c>
      <c r="G389" s="143" t="s">
        <v>2504</v>
      </c>
      <c r="H389" s="143" t="s">
        <v>2504</v>
      </c>
      <c r="I389" s="143" t="str">
        <f t="shared" si="59"/>
        <v>NO EXISTE</v>
      </c>
      <c r="J389" s="143" t="str">
        <f t="shared" si="60"/>
        <v>NO EXISTE</v>
      </c>
      <c r="K389" s="143" t="str">
        <f t="shared" si="61"/>
        <v>NO EXISTE</v>
      </c>
      <c r="L389" s="143" t="str">
        <f t="shared" si="62"/>
        <v>NO EXISTE</v>
      </c>
      <c r="M389" s="143" t="str">
        <f t="shared" si="63"/>
        <v>NO EXISTE</v>
      </c>
      <c r="N389" s="143" t="str">
        <f t="shared" si="64"/>
        <v>NO EXISTE</v>
      </c>
      <c r="O389" s="143" t="str">
        <f t="shared" si="65"/>
        <v>NO EXISTE</v>
      </c>
      <c r="P389" s="143" t="str">
        <f t="shared" si="66"/>
        <v>NO EXISTE</v>
      </c>
      <c r="Q389" s="302" t="s">
        <v>2198</v>
      </c>
      <c r="R389" s="148" t="s">
        <v>589</v>
      </c>
      <c r="S389" s="148" t="s">
        <v>590</v>
      </c>
      <c r="T389" s="149">
        <v>0.95</v>
      </c>
      <c r="U389" s="148" t="s">
        <v>596</v>
      </c>
      <c r="V389" s="150">
        <v>43.23</v>
      </c>
      <c r="W389" s="151">
        <v>3900.27</v>
      </c>
    </row>
    <row r="390" spans="1:23" ht="15" customHeight="1" x14ac:dyDescent="0.25">
      <c r="A390" s="148">
        <v>16309</v>
      </c>
      <c r="B390" s="148" t="s">
        <v>2217</v>
      </c>
      <c r="C390" s="143" t="s">
        <v>2504</v>
      </c>
      <c r="D390" s="143" t="s">
        <v>2504</v>
      </c>
      <c r="E390" s="143" t="s">
        <v>2504</v>
      </c>
      <c r="F390" s="143" t="s">
        <v>2504</v>
      </c>
      <c r="G390" s="143" t="s">
        <v>2504</v>
      </c>
      <c r="H390" s="143" t="s">
        <v>2504</v>
      </c>
      <c r="I390" s="143" t="str">
        <f t="shared" si="59"/>
        <v>NO EXISTE</v>
      </c>
      <c r="J390" s="143" t="str">
        <f t="shared" si="60"/>
        <v>NO EXISTE</v>
      </c>
      <c r="K390" s="143" t="str">
        <f t="shared" si="61"/>
        <v>NO EXISTE</v>
      </c>
      <c r="L390" s="143" t="str">
        <f t="shared" si="62"/>
        <v>NO EXISTE</v>
      </c>
      <c r="M390" s="143" t="str">
        <f t="shared" si="63"/>
        <v>NO EXISTE</v>
      </c>
      <c r="N390" s="143" t="str">
        <f t="shared" si="64"/>
        <v>NO EXISTE</v>
      </c>
      <c r="O390" s="143" t="str">
        <f t="shared" si="65"/>
        <v>NO EXISTE</v>
      </c>
      <c r="P390" s="143" t="str">
        <f t="shared" si="66"/>
        <v>NO EXISTE</v>
      </c>
      <c r="Q390" s="302" t="s">
        <v>2218</v>
      </c>
      <c r="R390" s="148" t="s">
        <v>594</v>
      </c>
      <c r="S390" s="148" t="s">
        <v>2214</v>
      </c>
      <c r="T390" s="149">
        <v>5</v>
      </c>
      <c r="U390" s="148" t="s">
        <v>596</v>
      </c>
      <c r="V390" s="150">
        <v>641.89</v>
      </c>
      <c r="W390" s="151">
        <v>3453.49</v>
      </c>
    </row>
    <row r="391" spans="1:23" ht="15" customHeight="1" x14ac:dyDescent="0.25">
      <c r="A391" s="148">
        <v>16312</v>
      </c>
      <c r="B391" s="148" t="s">
        <v>2221</v>
      </c>
      <c r="C391" s="143" t="s">
        <v>2504</v>
      </c>
      <c r="D391" s="143" t="s">
        <v>2504</v>
      </c>
      <c r="E391" s="143" t="s">
        <v>2504</v>
      </c>
      <c r="F391" s="143" t="s">
        <v>2504</v>
      </c>
      <c r="G391" s="143" t="s">
        <v>2504</v>
      </c>
      <c r="H391" s="143" t="s">
        <v>2504</v>
      </c>
      <c r="I391" s="143" t="str">
        <f t="shared" si="59"/>
        <v>NO EXISTE</v>
      </c>
      <c r="J391" s="143" t="str">
        <f t="shared" si="60"/>
        <v>NO EXISTE</v>
      </c>
      <c r="K391" s="143" t="str">
        <f t="shared" si="61"/>
        <v>NO EXISTE</v>
      </c>
      <c r="L391" s="143" t="str">
        <f t="shared" si="62"/>
        <v>NO EXISTE</v>
      </c>
      <c r="M391" s="143" t="str">
        <f t="shared" si="63"/>
        <v>NO EXISTE</v>
      </c>
      <c r="N391" s="143" t="str">
        <f t="shared" si="64"/>
        <v>NO EXISTE</v>
      </c>
      <c r="O391" s="143" t="str">
        <f t="shared" si="65"/>
        <v>NO EXISTE</v>
      </c>
      <c r="P391" s="143" t="str">
        <f t="shared" si="66"/>
        <v>NO EXISTE</v>
      </c>
      <c r="Q391" s="302" t="s">
        <v>2222</v>
      </c>
      <c r="R391" s="148" t="s">
        <v>594</v>
      </c>
      <c r="S391" s="148" t="s">
        <v>2214</v>
      </c>
      <c r="T391" s="149">
        <v>5</v>
      </c>
      <c r="U391" s="148" t="s">
        <v>596</v>
      </c>
      <c r="V391" s="150">
        <v>688.39</v>
      </c>
      <c r="W391" s="151">
        <v>1969.75</v>
      </c>
    </row>
    <row r="392" spans="1:23" ht="15" customHeight="1" x14ac:dyDescent="0.25">
      <c r="A392" s="148">
        <v>16609</v>
      </c>
      <c r="B392" s="148" t="s">
        <v>2286</v>
      </c>
      <c r="C392" s="143" t="s">
        <v>2504</v>
      </c>
      <c r="D392" s="143" t="s">
        <v>2504</v>
      </c>
      <c r="E392" s="143" t="s">
        <v>2504</v>
      </c>
      <c r="F392" s="143" t="s">
        <v>2504</v>
      </c>
      <c r="G392" s="143" t="s">
        <v>2504</v>
      </c>
      <c r="H392" s="143" t="s">
        <v>2504</v>
      </c>
      <c r="I392" s="143" t="str">
        <f t="shared" si="59"/>
        <v>NO EXISTE</v>
      </c>
      <c r="J392" s="143" t="str">
        <f t="shared" si="60"/>
        <v>NO EXISTE</v>
      </c>
      <c r="K392" s="143" t="str">
        <f t="shared" si="61"/>
        <v>NO EXISTE</v>
      </c>
      <c r="L392" s="143" t="str">
        <f t="shared" si="62"/>
        <v>NO EXISTE</v>
      </c>
      <c r="M392" s="143" t="str">
        <f t="shared" si="63"/>
        <v>NO EXISTE</v>
      </c>
      <c r="N392" s="143" t="str">
        <f t="shared" si="64"/>
        <v>NO EXISTE</v>
      </c>
      <c r="O392" s="143" t="str">
        <f t="shared" si="65"/>
        <v>NO EXISTE</v>
      </c>
      <c r="P392" s="143" t="str">
        <f t="shared" si="66"/>
        <v>NO EXISTE</v>
      </c>
      <c r="Q392" s="302" t="s">
        <v>2287</v>
      </c>
      <c r="R392" s="148" t="s">
        <v>594</v>
      </c>
      <c r="S392" s="148" t="s">
        <v>2214</v>
      </c>
      <c r="T392" s="149">
        <v>19</v>
      </c>
      <c r="U392" s="148" t="s">
        <v>596</v>
      </c>
      <c r="V392" s="150">
        <v>2464.8000000000002</v>
      </c>
      <c r="W392" s="151">
        <v>2066.7600000000002</v>
      </c>
    </row>
    <row r="393" spans="1:23" ht="15" customHeight="1" x14ac:dyDescent="0.25">
      <c r="A393" s="148">
        <v>16610</v>
      </c>
      <c r="B393" s="148" t="s">
        <v>2288</v>
      </c>
      <c r="C393" s="143" t="s">
        <v>2504</v>
      </c>
      <c r="D393" s="143" t="s">
        <v>2504</v>
      </c>
      <c r="E393" s="143" t="s">
        <v>2504</v>
      </c>
      <c r="F393" s="143" t="s">
        <v>2504</v>
      </c>
      <c r="G393" s="143" t="s">
        <v>2504</v>
      </c>
      <c r="H393" s="143" t="s">
        <v>2504</v>
      </c>
      <c r="I393" s="143" t="str">
        <f t="shared" si="59"/>
        <v>NO EXISTE</v>
      </c>
      <c r="J393" s="143" t="str">
        <f t="shared" si="60"/>
        <v>NO EXISTE</v>
      </c>
      <c r="K393" s="143" t="str">
        <f t="shared" si="61"/>
        <v>NO EXISTE</v>
      </c>
      <c r="L393" s="143" t="str">
        <f t="shared" si="62"/>
        <v>NO EXISTE</v>
      </c>
      <c r="M393" s="143" t="str">
        <f t="shared" si="63"/>
        <v>NO EXISTE</v>
      </c>
      <c r="N393" s="143" t="str">
        <f t="shared" si="64"/>
        <v>NO EXISTE</v>
      </c>
      <c r="O393" s="143" t="str">
        <f t="shared" si="65"/>
        <v>NO EXISTE</v>
      </c>
      <c r="P393" s="143" t="str">
        <f t="shared" si="66"/>
        <v>NO EXISTE</v>
      </c>
      <c r="Q393" s="302" t="s">
        <v>2289</v>
      </c>
      <c r="R393" s="148" t="s">
        <v>594</v>
      </c>
      <c r="S393" s="148" t="s">
        <v>2214</v>
      </c>
      <c r="T393" s="149">
        <v>19</v>
      </c>
      <c r="U393" s="148" t="s">
        <v>596</v>
      </c>
      <c r="V393" s="150">
        <v>2702.86</v>
      </c>
      <c r="W393" s="151">
        <v>2071.3000000000002</v>
      </c>
    </row>
    <row r="394" spans="1:23" ht="15" customHeight="1" x14ac:dyDescent="0.25">
      <c r="A394" s="148">
        <v>16707</v>
      </c>
      <c r="B394" s="148" t="s">
        <v>2303</v>
      </c>
      <c r="C394" s="143" t="s">
        <v>2504</v>
      </c>
      <c r="D394" s="143" t="s">
        <v>2504</v>
      </c>
      <c r="E394" s="143" t="s">
        <v>2504</v>
      </c>
      <c r="F394" s="143" t="s">
        <v>2504</v>
      </c>
      <c r="G394" s="143" t="s">
        <v>2504</v>
      </c>
      <c r="H394" s="143" t="s">
        <v>2504</v>
      </c>
      <c r="I394" s="143" t="str">
        <f t="shared" si="59"/>
        <v>NO EXISTE</v>
      </c>
      <c r="J394" s="143" t="str">
        <f t="shared" si="60"/>
        <v>NO EXISTE</v>
      </c>
      <c r="K394" s="143" t="str">
        <f t="shared" si="61"/>
        <v>NO EXISTE</v>
      </c>
      <c r="L394" s="143" t="str">
        <f t="shared" si="62"/>
        <v>NO EXISTE</v>
      </c>
      <c r="M394" s="143" t="str">
        <f t="shared" si="63"/>
        <v>NO EXISTE</v>
      </c>
      <c r="N394" s="143" t="str">
        <f t="shared" si="64"/>
        <v>NO EXISTE</v>
      </c>
      <c r="O394" s="143" t="str">
        <f t="shared" si="65"/>
        <v>NO EXISTE</v>
      </c>
      <c r="P394" s="143" t="str">
        <f t="shared" si="66"/>
        <v>NO EXISTE</v>
      </c>
      <c r="Q394" s="302" t="s">
        <v>2304</v>
      </c>
      <c r="R394" s="148" t="s">
        <v>594</v>
      </c>
      <c r="S394" s="148" t="s">
        <v>2279</v>
      </c>
      <c r="T394" s="149">
        <v>200</v>
      </c>
      <c r="U394" s="148" t="s">
        <v>596</v>
      </c>
      <c r="V394" s="150">
        <v>42743.35</v>
      </c>
      <c r="W394" s="151">
        <v>2067.7399999999998</v>
      </c>
    </row>
    <row r="395" spans="1:23" ht="15" customHeight="1" x14ac:dyDescent="0.25">
      <c r="A395" s="148">
        <v>16709</v>
      </c>
      <c r="B395" s="148" t="s">
        <v>2305</v>
      </c>
      <c r="C395" s="143" t="s">
        <v>2504</v>
      </c>
      <c r="D395" s="143" t="s">
        <v>2504</v>
      </c>
      <c r="E395" s="143" t="s">
        <v>2504</v>
      </c>
      <c r="F395" s="143" t="s">
        <v>2504</v>
      </c>
      <c r="G395" s="143" t="s">
        <v>2504</v>
      </c>
      <c r="H395" s="143" t="s">
        <v>2504</v>
      </c>
      <c r="I395" s="143" t="str">
        <f t="shared" si="59"/>
        <v>NO EXISTE</v>
      </c>
      <c r="J395" s="143" t="str">
        <f t="shared" si="60"/>
        <v>NO EXISTE</v>
      </c>
      <c r="K395" s="143" t="str">
        <f t="shared" si="61"/>
        <v>NO EXISTE</v>
      </c>
      <c r="L395" s="143" t="str">
        <f t="shared" si="62"/>
        <v>NO EXISTE</v>
      </c>
      <c r="M395" s="143" t="str">
        <f t="shared" si="63"/>
        <v>NO EXISTE</v>
      </c>
      <c r="N395" s="143" t="str">
        <f t="shared" si="64"/>
        <v>NO EXISTE</v>
      </c>
      <c r="O395" s="143" t="str">
        <f t="shared" si="65"/>
        <v>NO EXISTE</v>
      </c>
      <c r="P395" s="143" t="str">
        <f t="shared" si="66"/>
        <v>NO EXISTE</v>
      </c>
      <c r="Q395" s="302" t="s">
        <v>2306</v>
      </c>
      <c r="R395" s="148" t="s">
        <v>594</v>
      </c>
      <c r="S395" s="148" t="s">
        <v>2091</v>
      </c>
      <c r="T395" s="149">
        <v>200</v>
      </c>
      <c r="U395" s="148" t="s">
        <v>596</v>
      </c>
      <c r="V395" s="150">
        <v>35340.81</v>
      </c>
      <c r="W395" s="151">
        <v>2111.61</v>
      </c>
    </row>
    <row r="396" spans="1:23" ht="15" customHeight="1" x14ac:dyDescent="0.25">
      <c r="A396" s="148">
        <v>16711</v>
      </c>
      <c r="B396" s="148" t="s">
        <v>2307</v>
      </c>
      <c r="C396" s="143" t="s">
        <v>2504</v>
      </c>
      <c r="D396" s="143" t="s">
        <v>2504</v>
      </c>
      <c r="E396" s="143" t="s">
        <v>2504</v>
      </c>
      <c r="F396" s="143" t="s">
        <v>2504</v>
      </c>
      <c r="G396" s="143" t="s">
        <v>2504</v>
      </c>
      <c r="H396" s="143" t="s">
        <v>2504</v>
      </c>
      <c r="I396" s="143" t="str">
        <f t="shared" si="59"/>
        <v>NO EXISTE</v>
      </c>
      <c r="J396" s="143" t="str">
        <f t="shared" si="60"/>
        <v>NO EXISTE</v>
      </c>
      <c r="K396" s="143" t="str">
        <f t="shared" si="61"/>
        <v>NO EXISTE</v>
      </c>
      <c r="L396" s="143" t="str">
        <f t="shared" si="62"/>
        <v>NO EXISTE</v>
      </c>
      <c r="M396" s="143" t="str">
        <f t="shared" si="63"/>
        <v>NO EXISTE</v>
      </c>
      <c r="N396" s="143" t="str">
        <f t="shared" si="64"/>
        <v>NO EXISTE</v>
      </c>
      <c r="O396" s="143" t="str">
        <f t="shared" si="65"/>
        <v>NO EXISTE</v>
      </c>
      <c r="P396" s="143" t="str">
        <f t="shared" si="66"/>
        <v>NO EXISTE</v>
      </c>
      <c r="Q396" s="302" t="s">
        <v>2308</v>
      </c>
      <c r="R396" s="148" t="s">
        <v>594</v>
      </c>
      <c r="S396" s="148" t="s">
        <v>2214</v>
      </c>
      <c r="T396" s="149">
        <v>200</v>
      </c>
      <c r="U396" s="148" t="s">
        <v>596</v>
      </c>
      <c r="V396" s="150">
        <v>28551.7</v>
      </c>
      <c r="W396" s="151">
        <v>2109.52</v>
      </c>
    </row>
    <row r="397" spans="1:23" ht="15" customHeight="1" x14ac:dyDescent="0.25">
      <c r="A397" s="148">
        <v>16712</v>
      </c>
      <c r="B397" s="148" t="s">
        <v>2309</v>
      </c>
      <c r="C397" s="143" t="s">
        <v>2504</v>
      </c>
      <c r="D397" s="143" t="s">
        <v>2504</v>
      </c>
      <c r="E397" s="143" t="s">
        <v>2504</v>
      </c>
      <c r="F397" s="143" t="s">
        <v>2504</v>
      </c>
      <c r="G397" s="143" t="s">
        <v>2504</v>
      </c>
      <c r="H397" s="143" t="s">
        <v>2504</v>
      </c>
      <c r="I397" s="143" t="str">
        <f t="shared" si="59"/>
        <v>NO EXISTE</v>
      </c>
      <c r="J397" s="143" t="str">
        <f t="shared" si="60"/>
        <v>NO EXISTE</v>
      </c>
      <c r="K397" s="143" t="str">
        <f t="shared" si="61"/>
        <v>NO EXISTE</v>
      </c>
      <c r="L397" s="143" t="str">
        <f t="shared" si="62"/>
        <v>NO EXISTE</v>
      </c>
      <c r="M397" s="143" t="str">
        <f t="shared" si="63"/>
        <v>NO EXISTE</v>
      </c>
      <c r="N397" s="143" t="str">
        <f t="shared" si="64"/>
        <v>NO EXISTE</v>
      </c>
      <c r="O397" s="143" t="str">
        <f t="shared" si="65"/>
        <v>NO EXISTE</v>
      </c>
      <c r="P397" s="143" t="str">
        <f t="shared" si="66"/>
        <v>NO EXISTE</v>
      </c>
      <c r="Q397" s="302" t="s">
        <v>2310</v>
      </c>
      <c r="R397" s="148" t="s">
        <v>594</v>
      </c>
      <c r="S397" s="148" t="s">
        <v>2214</v>
      </c>
      <c r="T397" s="149">
        <v>200</v>
      </c>
      <c r="U397" s="148" t="s">
        <v>596</v>
      </c>
      <c r="V397" s="150">
        <v>25013.4</v>
      </c>
      <c r="W397" s="151">
        <v>1928.44</v>
      </c>
    </row>
    <row r="398" spans="1:23" ht="15" customHeight="1" x14ac:dyDescent="0.25">
      <c r="A398" s="148">
        <v>16716</v>
      </c>
      <c r="B398" s="148" t="s">
        <v>2312</v>
      </c>
      <c r="C398" s="143" t="s">
        <v>2504</v>
      </c>
      <c r="D398" s="143" t="s">
        <v>2504</v>
      </c>
      <c r="E398" s="143" t="s">
        <v>2504</v>
      </c>
      <c r="F398" s="143" t="s">
        <v>2504</v>
      </c>
      <c r="G398" s="143" t="s">
        <v>2504</v>
      </c>
      <c r="H398" s="143" t="s">
        <v>2504</v>
      </c>
      <c r="I398" s="143" t="str">
        <f t="shared" si="59"/>
        <v>NO EXISTE</v>
      </c>
      <c r="J398" s="143" t="str">
        <f t="shared" si="60"/>
        <v>NO EXISTE</v>
      </c>
      <c r="K398" s="143" t="str">
        <f t="shared" si="61"/>
        <v>NO EXISTE</v>
      </c>
      <c r="L398" s="143" t="str">
        <f t="shared" si="62"/>
        <v>NO EXISTE</v>
      </c>
      <c r="M398" s="143" t="str">
        <f t="shared" si="63"/>
        <v>NO EXISTE</v>
      </c>
      <c r="N398" s="143" t="str">
        <f t="shared" si="64"/>
        <v>NO EXISTE</v>
      </c>
      <c r="O398" s="143" t="str">
        <f t="shared" si="65"/>
        <v>NO EXISTE</v>
      </c>
      <c r="P398" s="143" t="str">
        <f t="shared" si="66"/>
        <v>NO EXISTE</v>
      </c>
      <c r="Q398" s="302" t="s">
        <v>2313</v>
      </c>
      <c r="R398" s="148" t="s">
        <v>594</v>
      </c>
      <c r="S398" s="148" t="s">
        <v>2214</v>
      </c>
      <c r="T398" s="149">
        <v>200</v>
      </c>
      <c r="U398" s="148" t="s">
        <v>596</v>
      </c>
      <c r="V398" s="150">
        <v>26888.15</v>
      </c>
      <c r="W398" s="151">
        <v>1997.33</v>
      </c>
    </row>
    <row r="399" spans="1:23" ht="15" customHeight="1" x14ac:dyDescent="0.25">
      <c r="A399" s="148">
        <v>16721</v>
      </c>
      <c r="B399" s="148" t="s">
        <v>2320</v>
      </c>
      <c r="C399" s="143" t="s">
        <v>2504</v>
      </c>
      <c r="D399" s="143" t="s">
        <v>2504</v>
      </c>
      <c r="E399" s="143" t="s">
        <v>2504</v>
      </c>
      <c r="F399" s="143" t="s">
        <v>2504</v>
      </c>
      <c r="G399" s="143" t="s">
        <v>2504</v>
      </c>
      <c r="H399" s="143" t="s">
        <v>2504</v>
      </c>
      <c r="I399" s="143" t="str">
        <f t="shared" si="59"/>
        <v>NO EXISTE</v>
      </c>
      <c r="J399" s="143" t="str">
        <f t="shared" si="60"/>
        <v>NO EXISTE</v>
      </c>
      <c r="K399" s="143" t="str">
        <f t="shared" si="61"/>
        <v>NO EXISTE</v>
      </c>
      <c r="L399" s="143" t="str">
        <f t="shared" si="62"/>
        <v>NO EXISTE</v>
      </c>
      <c r="M399" s="143" t="str">
        <f t="shared" si="63"/>
        <v>NO EXISTE</v>
      </c>
      <c r="N399" s="143" t="str">
        <f t="shared" si="64"/>
        <v>NO EXISTE</v>
      </c>
      <c r="O399" s="143" t="str">
        <f t="shared" si="65"/>
        <v>NO EXISTE</v>
      </c>
      <c r="P399" s="143" t="str">
        <f t="shared" si="66"/>
        <v>NO EXISTE</v>
      </c>
      <c r="Q399" s="302" t="s">
        <v>2321</v>
      </c>
      <c r="R399" s="148" t="s">
        <v>594</v>
      </c>
      <c r="S399" s="148" t="s">
        <v>2091</v>
      </c>
      <c r="T399" s="149">
        <v>200</v>
      </c>
      <c r="U399" s="148" t="s">
        <v>596</v>
      </c>
      <c r="V399" s="150">
        <v>35708.94</v>
      </c>
      <c r="W399" s="151">
        <v>2016.77</v>
      </c>
    </row>
  </sheetData>
  <autoFilter ref="A1:X13" xr:uid="{00000000-0009-0000-0000-000003000000}">
    <sortState xmlns:xlrd2="http://schemas.microsoft.com/office/spreadsheetml/2017/richdata2" ref="A2:X13">
      <sortCondition sortBy="cellColor" ref="Q1:Q13" dxfId="7"/>
    </sortState>
  </autoFilter>
  <conditionalFormatting sqref="A2:B399">
    <cfRule type="duplicateValues" dxfId="6" priority="7"/>
  </conditionalFormatting>
  <conditionalFormatting sqref="C400:C1048576 C1">
    <cfRule type="duplicateValues" dxfId="5" priority="2"/>
  </conditionalFormatting>
  <conditionalFormatting sqref="C2:P399">
    <cfRule type="containsText" dxfId="4" priority="1" operator="containsText" text="NO EXISTE">
      <formula>NOT(ISERROR(SEARCH("NO EXISTE",C2)))</formula>
    </cfRule>
  </conditionalFormatting>
  <conditionalFormatting sqref="D400:D1048576 D1">
    <cfRule type="duplicateValues" dxfId="3" priority="3"/>
  </conditionalFormatting>
  <conditionalFormatting sqref="E400:E1048576 E1">
    <cfRule type="duplicateValues" dxfId="2" priority="4"/>
  </conditionalFormatting>
  <conditionalFormatting sqref="F400:F1048576 F1">
    <cfRule type="duplicateValues" dxfId="1" priority="5"/>
  </conditionalFormatting>
  <conditionalFormatting sqref="G400:G1048576 G1 I1 K1 M1 O1">
    <cfRule type="duplicateValues" dxfId="0" priority="6"/>
  </conditionalFormatting>
  <pageMargins left="0.70866141732283472" right="0.70866141732283472" top="0.74803149606299213" bottom="0.74803149606299213" header="0.31496062992125984" footer="0.31496062992125984"/>
  <pageSetup scale="70" fitToHeight="15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129"/>
  <sheetViews>
    <sheetView zoomScaleNormal="100" workbookViewId="0"/>
  </sheetViews>
  <sheetFormatPr baseColWidth="10" defaultRowHeight="11.25" x14ac:dyDescent="0.2"/>
  <cols>
    <col min="1" max="1" width="9.7109375" style="2" customWidth="1"/>
    <col min="2" max="2" width="14.7109375" style="2" customWidth="1"/>
    <col min="3" max="3" width="13.7109375" style="2" customWidth="1"/>
    <col min="4" max="4" width="33.7109375" style="2" customWidth="1"/>
    <col min="5" max="5" width="9.5703125" style="2" hidden="1" customWidth="1"/>
    <col min="6" max="7" width="8.140625" style="2" hidden="1" customWidth="1"/>
    <col min="8" max="8" width="12.140625" style="2" hidden="1" customWidth="1"/>
    <col min="9" max="9" width="13.7109375" style="2" customWidth="1"/>
    <col min="10" max="10" width="5.7109375" style="2" customWidth="1"/>
    <col min="11" max="11" width="9.7109375" style="2" customWidth="1"/>
    <col min="12" max="12" width="14.7109375" style="2" customWidth="1"/>
    <col min="13" max="13" width="13.7109375" style="2" customWidth="1"/>
    <col min="14" max="14" width="33.7109375" style="2" customWidth="1"/>
    <col min="15" max="17" width="10.7109375" style="2" hidden="1" customWidth="1"/>
    <col min="18" max="18" width="12.140625" style="2" hidden="1" customWidth="1"/>
    <col min="19" max="19" width="13.7109375" style="2" customWidth="1"/>
    <col min="20" max="16384" width="11.42578125" style="2"/>
  </cols>
  <sheetData>
    <row r="2" spans="1:20" x14ac:dyDescent="0.2">
      <c r="J2" s="1"/>
    </row>
    <row r="3" spans="1:20" ht="23.25" customHeight="1" x14ac:dyDescent="0.2">
      <c r="J3" s="1"/>
    </row>
    <row r="4" spans="1:20" ht="12" thickBot="1" x14ac:dyDescent="0.25">
      <c r="J4" s="1"/>
    </row>
    <row r="5" spans="1:20" ht="19.5" thickBot="1" x14ac:dyDescent="0.35">
      <c r="A5" s="329" t="s">
        <v>564</v>
      </c>
      <c r="B5" s="330"/>
      <c r="C5" s="331"/>
      <c r="I5" s="341" t="s">
        <v>240</v>
      </c>
    </row>
    <row r="6" spans="1:20" ht="19.5" thickBot="1" x14ac:dyDescent="0.35">
      <c r="A6" s="332" t="s">
        <v>578</v>
      </c>
      <c r="B6" s="126"/>
      <c r="C6" s="127"/>
      <c r="D6" s="126"/>
      <c r="E6" s="126"/>
      <c r="F6" s="126"/>
      <c r="G6" s="126"/>
      <c r="H6" s="126"/>
      <c r="I6" s="127"/>
    </row>
    <row r="7" spans="1:20" x14ac:dyDescent="0.2">
      <c r="A7" s="3" t="s">
        <v>0</v>
      </c>
      <c r="B7" s="4"/>
      <c r="C7" s="4" t="s">
        <v>1</v>
      </c>
      <c r="D7" s="4" t="s">
        <v>2</v>
      </c>
      <c r="E7" s="4"/>
      <c r="F7" s="4"/>
      <c r="G7" s="4"/>
      <c r="H7" s="4" t="s">
        <v>2501</v>
      </c>
      <c r="I7" s="5" t="s">
        <v>207</v>
      </c>
      <c r="T7" s="119"/>
    </row>
    <row r="8" spans="1:20" ht="20.100000000000001" customHeight="1" x14ac:dyDescent="0.2">
      <c r="A8" s="397" t="s">
        <v>3</v>
      </c>
      <c r="B8" s="398"/>
      <c r="C8" s="399"/>
      <c r="D8" s="399"/>
      <c r="E8" s="23"/>
      <c r="F8" s="23"/>
      <c r="G8" s="23"/>
      <c r="H8" s="23"/>
      <c r="I8" s="6"/>
    </row>
    <row r="9" spans="1:20" x14ac:dyDescent="0.2">
      <c r="A9" s="400" t="s">
        <v>4</v>
      </c>
      <c r="B9" s="401"/>
      <c r="C9" s="402"/>
      <c r="D9" s="402"/>
      <c r="E9" s="10"/>
      <c r="F9" s="10"/>
      <c r="G9" s="10"/>
      <c r="H9" s="10"/>
      <c r="I9" s="8"/>
    </row>
    <row r="10" spans="1:20" x14ac:dyDescent="0.2">
      <c r="A10" s="12" t="s">
        <v>9</v>
      </c>
      <c r="B10" s="13"/>
      <c r="C10" s="13"/>
      <c r="D10" s="13"/>
      <c r="E10" s="13"/>
      <c r="F10" s="13"/>
      <c r="G10" s="13"/>
      <c r="H10" s="13"/>
      <c r="I10" s="14"/>
      <c r="J10" s="1"/>
    </row>
    <row r="11" spans="1:20" x14ac:dyDescent="0.2">
      <c r="A11" s="16">
        <v>16012</v>
      </c>
      <c r="B11" s="191" t="s">
        <v>242</v>
      </c>
      <c r="C11" s="17" t="s">
        <v>6</v>
      </c>
      <c r="D11" s="17" t="s">
        <v>12</v>
      </c>
      <c r="E11" s="157">
        <f t="shared" ref="E11:E68" si="0">IFERROR(VLOOKUP(B11,Base01,7,FALSE),"SIN DATOS")</f>
        <v>97.95</v>
      </c>
      <c r="F11" s="160">
        <f>(H11/I11)-1</f>
        <v>-6.2899438489025017E-2</v>
      </c>
      <c r="G11" s="160">
        <f>ABS(F11)</f>
        <v>6.2899438489025017E-2</v>
      </c>
      <c r="H11" s="131">
        <v>91.789000000000001</v>
      </c>
      <c r="I11" s="161">
        <v>97.95</v>
      </c>
      <c r="J11" s="1"/>
    </row>
    <row r="12" spans="1:20" x14ac:dyDescent="0.2">
      <c r="A12" s="16">
        <v>16011</v>
      </c>
      <c r="B12" s="191" t="s">
        <v>243</v>
      </c>
      <c r="C12" s="17" t="s">
        <v>7</v>
      </c>
      <c r="D12" s="17" t="s">
        <v>225</v>
      </c>
      <c r="E12" s="157">
        <f t="shared" si="0"/>
        <v>105.87</v>
      </c>
      <c r="F12" s="160">
        <f t="shared" ref="F12:F68" si="1">(H12/I12)-1</f>
        <v>-6.3096250118069408E-2</v>
      </c>
      <c r="G12" s="160">
        <f t="shared" ref="G12:G68" si="2">ABS(F12)</f>
        <v>6.3096250118069408E-2</v>
      </c>
      <c r="H12" s="131">
        <v>99.19</v>
      </c>
      <c r="I12" s="161">
        <v>105.87</v>
      </c>
      <c r="J12" s="1"/>
    </row>
    <row r="13" spans="1:20" x14ac:dyDescent="0.2">
      <c r="A13" s="16">
        <v>529</v>
      </c>
      <c r="B13" s="191" t="s">
        <v>244</v>
      </c>
      <c r="C13" s="17" t="s">
        <v>14</v>
      </c>
      <c r="D13" s="17" t="s">
        <v>12</v>
      </c>
      <c r="E13" s="157">
        <f t="shared" si="0"/>
        <v>383.69</v>
      </c>
      <c r="F13" s="160">
        <f t="shared" si="1"/>
        <v>-7.1726914957387478E-2</v>
      </c>
      <c r="G13" s="160">
        <f t="shared" si="2"/>
        <v>7.1726914957387478E-2</v>
      </c>
      <c r="H13" s="131">
        <v>356.16910000000001</v>
      </c>
      <c r="I13" s="161">
        <v>383.69</v>
      </c>
      <c r="J13" s="118"/>
    </row>
    <row r="14" spans="1:20" x14ac:dyDescent="0.2">
      <c r="A14" s="16">
        <v>16014</v>
      </c>
      <c r="B14" s="191" t="s">
        <v>245</v>
      </c>
      <c r="C14" s="17" t="s">
        <v>13</v>
      </c>
      <c r="D14" s="17" t="s">
        <v>16</v>
      </c>
      <c r="E14" s="157">
        <f t="shared" si="0"/>
        <v>2088.8000000000002</v>
      </c>
      <c r="F14" s="160">
        <f t="shared" si="1"/>
        <v>-5.8950210647261581E-2</v>
      </c>
      <c r="G14" s="160">
        <f t="shared" si="2"/>
        <v>5.8950210647261581E-2</v>
      </c>
      <c r="H14" s="57">
        <v>1965.6648000000002</v>
      </c>
      <c r="I14" s="161">
        <v>2088.8000000000002</v>
      </c>
      <c r="J14" s="1"/>
    </row>
    <row r="15" spans="1:20" ht="12" thickBot="1" x14ac:dyDescent="0.25">
      <c r="A15" s="192">
        <v>16015</v>
      </c>
      <c r="B15" s="193" t="s">
        <v>246</v>
      </c>
      <c r="C15" s="18">
        <v>16015</v>
      </c>
      <c r="D15" s="18" t="s">
        <v>17</v>
      </c>
      <c r="E15" s="157">
        <f t="shared" si="0"/>
        <v>21962.01</v>
      </c>
      <c r="F15" s="160">
        <f t="shared" si="1"/>
        <v>-6.0148155838195105E-2</v>
      </c>
      <c r="G15" s="160">
        <f t="shared" si="2"/>
        <v>6.0148155838195105E-2</v>
      </c>
      <c r="H15" s="58">
        <v>20641.035599999999</v>
      </c>
      <c r="I15" s="162">
        <v>21962.01</v>
      </c>
      <c r="J15" s="1"/>
    </row>
    <row r="16" spans="1:20" x14ac:dyDescent="0.2">
      <c r="A16" s="194">
        <v>16017</v>
      </c>
      <c r="B16" s="195" t="s">
        <v>247</v>
      </c>
      <c r="C16" s="19" t="s">
        <v>6</v>
      </c>
      <c r="D16" s="19" t="s">
        <v>18</v>
      </c>
      <c r="E16" s="157">
        <f t="shared" si="0"/>
        <v>98.31</v>
      </c>
      <c r="F16" s="160">
        <f t="shared" si="1"/>
        <v>-6.2852202217475339E-2</v>
      </c>
      <c r="G16" s="160">
        <f t="shared" si="2"/>
        <v>6.2852202217475339E-2</v>
      </c>
      <c r="H16" s="132">
        <v>92.131</v>
      </c>
      <c r="I16" s="163">
        <v>98.31</v>
      </c>
      <c r="J16" s="1"/>
    </row>
    <row r="17" spans="1:10" x14ac:dyDescent="0.2">
      <c r="A17" s="194">
        <v>16926</v>
      </c>
      <c r="B17" s="195" t="s">
        <v>248</v>
      </c>
      <c r="C17" s="17" t="s">
        <v>7</v>
      </c>
      <c r="D17" s="17" t="s">
        <v>227</v>
      </c>
      <c r="E17" s="157">
        <f t="shared" si="0"/>
        <v>106.33</v>
      </c>
      <c r="F17" s="160">
        <f t="shared" si="1"/>
        <v>-6.1386250352675531E-2</v>
      </c>
      <c r="G17" s="160">
        <f t="shared" si="2"/>
        <v>6.1386250352675531E-2</v>
      </c>
      <c r="H17" s="59">
        <v>99.802800000000005</v>
      </c>
      <c r="I17" s="164">
        <v>106.33</v>
      </c>
      <c r="J17" s="1"/>
    </row>
    <row r="18" spans="1:10" x14ac:dyDescent="0.2">
      <c r="A18" s="16">
        <v>530</v>
      </c>
      <c r="B18" s="191" t="s">
        <v>249</v>
      </c>
      <c r="C18" s="17" t="s">
        <v>14</v>
      </c>
      <c r="D18" s="17" t="s">
        <v>18</v>
      </c>
      <c r="E18" s="157">
        <f t="shared" si="0"/>
        <v>387.17</v>
      </c>
      <c r="F18" s="160">
        <f t="shared" si="1"/>
        <v>-7.1358318051501834E-2</v>
      </c>
      <c r="G18" s="160">
        <f t="shared" si="2"/>
        <v>7.1358318051501834E-2</v>
      </c>
      <c r="H18" s="131">
        <v>359.54220000000004</v>
      </c>
      <c r="I18" s="161">
        <v>387.17</v>
      </c>
      <c r="J18" s="1"/>
    </row>
    <row r="19" spans="1:10" x14ac:dyDescent="0.2">
      <c r="A19" s="16">
        <v>16019</v>
      </c>
      <c r="B19" s="191" t="s">
        <v>250</v>
      </c>
      <c r="C19" s="17" t="s">
        <v>13</v>
      </c>
      <c r="D19" s="17" t="s">
        <v>20</v>
      </c>
      <c r="E19" s="157">
        <f t="shared" si="0"/>
        <v>2104.1999999999998</v>
      </c>
      <c r="F19" s="160">
        <f t="shared" si="1"/>
        <v>-5.8769888793840819E-2</v>
      </c>
      <c r="G19" s="160">
        <f t="shared" si="2"/>
        <v>5.8769888793840819E-2</v>
      </c>
      <c r="H19" s="57">
        <v>1980.5364</v>
      </c>
      <c r="I19" s="161">
        <v>2104.1999999999998</v>
      </c>
    </row>
    <row r="20" spans="1:10" ht="12" thickBot="1" x14ac:dyDescent="0.25">
      <c r="A20" s="192">
        <v>16020</v>
      </c>
      <c r="B20" s="193" t="s">
        <v>251</v>
      </c>
      <c r="C20" s="18" t="s">
        <v>22</v>
      </c>
      <c r="D20" s="18" t="s">
        <v>23</v>
      </c>
      <c r="E20" s="157">
        <f t="shared" si="0"/>
        <v>22124.03</v>
      </c>
      <c r="F20" s="160">
        <f t="shared" si="1"/>
        <v>-5.9955098596412904E-2</v>
      </c>
      <c r="G20" s="160">
        <f t="shared" si="2"/>
        <v>5.9955098596412904E-2</v>
      </c>
      <c r="H20" s="58">
        <v>20797.581600000001</v>
      </c>
      <c r="I20" s="162">
        <v>22124.03</v>
      </c>
      <c r="J20" s="1"/>
    </row>
    <row r="21" spans="1:10" x14ac:dyDescent="0.2">
      <c r="A21" s="194">
        <v>16022</v>
      </c>
      <c r="B21" s="195" t="s">
        <v>252</v>
      </c>
      <c r="C21" s="19" t="s">
        <v>6</v>
      </c>
      <c r="D21" s="19" t="s">
        <v>24</v>
      </c>
      <c r="E21" s="157">
        <f t="shared" si="0"/>
        <v>98.34</v>
      </c>
      <c r="F21" s="160">
        <f t="shared" si="1"/>
        <v>-6.1206019930852174E-2</v>
      </c>
      <c r="G21" s="160">
        <f t="shared" si="2"/>
        <v>6.1206019930852174E-2</v>
      </c>
      <c r="H21" s="132">
        <v>92.320999999999998</v>
      </c>
      <c r="I21" s="163">
        <v>98.34</v>
      </c>
      <c r="J21" s="1"/>
    </row>
    <row r="22" spans="1:10" x14ac:dyDescent="0.2">
      <c r="A22" s="194">
        <v>16927</v>
      </c>
      <c r="B22" s="195" t="s">
        <v>253</v>
      </c>
      <c r="C22" s="17" t="s">
        <v>7</v>
      </c>
      <c r="D22" s="17" t="s">
        <v>226</v>
      </c>
      <c r="E22" s="157">
        <f t="shared" si="0"/>
        <v>106.27</v>
      </c>
      <c r="F22" s="160">
        <f t="shared" si="1"/>
        <v>-5.9840030111978804E-2</v>
      </c>
      <c r="G22" s="160">
        <f t="shared" si="2"/>
        <v>5.9840030111978804E-2</v>
      </c>
      <c r="H22" s="59">
        <v>99.910800000000009</v>
      </c>
      <c r="I22" s="164">
        <v>106.27</v>
      </c>
      <c r="J22" s="1"/>
    </row>
    <row r="23" spans="1:10" x14ac:dyDescent="0.2">
      <c r="A23" s="16">
        <v>531</v>
      </c>
      <c r="B23" s="191" t="s">
        <v>254</v>
      </c>
      <c r="C23" s="17" t="s">
        <v>14</v>
      </c>
      <c r="D23" s="17" t="s">
        <v>26</v>
      </c>
      <c r="E23" s="157">
        <f t="shared" si="0"/>
        <v>387.67</v>
      </c>
      <c r="F23" s="160">
        <f t="shared" si="1"/>
        <v>-6.9433796785926316E-2</v>
      </c>
      <c r="G23" s="160">
        <f t="shared" si="2"/>
        <v>6.9433796785926316E-2</v>
      </c>
      <c r="H23" s="131">
        <v>360.75259999999997</v>
      </c>
      <c r="I23" s="161">
        <v>387.67</v>
      </c>
      <c r="J23" s="1"/>
    </row>
    <row r="24" spans="1:10" x14ac:dyDescent="0.2">
      <c r="A24" s="16">
        <v>16024</v>
      </c>
      <c r="B24" s="191" t="s">
        <v>255</v>
      </c>
      <c r="C24" s="17" t="s">
        <v>13</v>
      </c>
      <c r="D24" s="17" t="s">
        <v>27</v>
      </c>
      <c r="E24" s="157">
        <f t="shared" si="0"/>
        <v>2104.9699999999998</v>
      </c>
      <c r="F24" s="160">
        <f t="shared" si="1"/>
        <v>-5.715425873052804E-2</v>
      </c>
      <c r="G24" s="160">
        <f t="shared" si="2"/>
        <v>5.715425873052804E-2</v>
      </c>
      <c r="H24" s="57">
        <v>1984.6620000000003</v>
      </c>
      <c r="I24" s="161">
        <v>2104.9699999999998</v>
      </c>
      <c r="J24" s="1"/>
    </row>
    <row r="25" spans="1:10" ht="12" thickBot="1" x14ac:dyDescent="0.25">
      <c r="A25" s="192">
        <v>16025</v>
      </c>
      <c r="B25" s="193" t="s">
        <v>256</v>
      </c>
      <c r="C25" s="18" t="s">
        <v>22</v>
      </c>
      <c r="D25" s="18" t="s">
        <v>28</v>
      </c>
      <c r="E25" s="157">
        <f t="shared" si="0"/>
        <v>22132.32</v>
      </c>
      <c r="F25" s="160">
        <f t="shared" si="1"/>
        <v>-5.834262291526604E-2</v>
      </c>
      <c r="G25" s="160">
        <f t="shared" si="2"/>
        <v>5.834262291526604E-2</v>
      </c>
      <c r="H25" s="60">
        <v>20841.062399999999</v>
      </c>
      <c r="I25" s="165">
        <v>22132.32</v>
      </c>
      <c r="J25" s="1"/>
    </row>
    <row r="26" spans="1:10" x14ac:dyDescent="0.2">
      <c r="A26" s="12" t="s">
        <v>30</v>
      </c>
      <c r="B26" s="13"/>
      <c r="C26" s="15"/>
      <c r="D26" s="15"/>
      <c r="E26" s="157" t="str">
        <f t="shared" si="0"/>
        <v>SIN DATOS</v>
      </c>
      <c r="F26" s="160" t="e">
        <f t="shared" si="1"/>
        <v>#DIV/0!</v>
      </c>
      <c r="G26" s="160" t="e">
        <f t="shared" si="2"/>
        <v>#DIV/0!</v>
      </c>
      <c r="H26" s="61"/>
      <c r="I26" s="61"/>
      <c r="J26" s="1"/>
    </row>
    <row r="27" spans="1:10" x14ac:dyDescent="0.2">
      <c r="A27" s="16">
        <v>16007</v>
      </c>
      <c r="B27" s="191" t="s">
        <v>257</v>
      </c>
      <c r="C27" s="17" t="s">
        <v>6</v>
      </c>
      <c r="D27" s="17" t="s">
        <v>32</v>
      </c>
      <c r="E27" s="157">
        <f t="shared" si="0"/>
        <v>96.11</v>
      </c>
      <c r="F27" s="160">
        <f t="shared" si="1"/>
        <v>-5.9390281968577763E-2</v>
      </c>
      <c r="G27" s="160">
        <f t="shared" si="2"/>
        <v>5.9390281968577763E-2</v>
      </c>
      <c r="H27" s="131">
        <v>90.401999999999987</v>
      </c>
      <c r="I27" s="161">
        <v>96.11</v>
      </c>
      <c r="J27" s="1"/>
    </row>
    <row r="28" spans="1:10" x14ac:dyDescent="0.2">
      <c r="A28" s="16">
        <v>528</v>
      </c>
      <c r="B28" s="191" t="s">
        <v>259</v>
      </c>
      <c r="C28" s="17" t="s">
        <v>14</v>
      </c>
      <c r="D28" s="17" t="s">
        <v>32</v>
      </c>
      <c r="E28" s="157">
        <f t="shared" si="0"/>
        <v>376.42</v>
      </c>
      <c r="F28" s="160">
        <f t="shared" si="1"/>
        <v>-6.7819456989533067E-2</v>
      </c>
      <c r="G28" s="160">
        <f t="shared" si="2"/>
        <v>6.7819456989533067E-2</v>
      </c>
      <c r="H28" s="131">
        <v>350.89139999999998</v>
      </c>
      <c r="I28" s="161">
        <v>376.42</v>
      </c>
      <c r="J28" s="1"/>
    </row>
    <row r="29" spans="1:10" x14ac:dyDescent="0.2">
      <c r="A29" s="16"/>
      <c r="B29" s="191" t="s">
        <v>572</v>
      </c>
      <c r="C29" s="17" t="s">
        <v>10</v>
      </c>
      <c r="D29" s="17" t="s">
        <v>573</v>
      </c>
      <c r="E29" s="157">
        <f t="shared" si="0"/>
        <v>527.79</v>
      </c>
      <c r="F29" s="160">
        <f t="shared" si="1"/>
        <v>-6.4057674453854685E-2</v>
      </c>
      <c r="G29" s="160">
        <f t="shared" si="2"/>
        <v>6.4057674453854685E-2</v>
      </c>
      <c r="H29" s="131">
        <v>493.98099999999999</v>
      </c>
      <c r="I29" s="161">
        <v>527.79</v>
      </c>
      <c r="J29" s="118"/>
    </row>
    <row r="30" spans="1:10" x14ac:dyDescent="0.2">
      <c r="A30" s="16">
        <v>16008</v>
      </c>
      <c r="B30" s="191" t="s">
        <v>260</v>
      </c>
      <c r="C30" s="17" t="s">
        <v>13</v>
      </c>
      <c r="D30" s="17" t="s">
        <v>34</v>
      </c>
      <c r="E30" s="157">
        <f t="shared" si="0"/>
        <v>2036.91</v>
      </c>
      <c r="F30" s="160">
        <f t="shared" si="1"/>
        <v>-5.5814542616021257E-2</v>
      </c>
      <c r="G30" s="160">
        <f t="shared" si="2"/>
        <v>5.5814542616021257E-2</v>
      </c>
      <c r="H30" s="57">
        <v>1923.2208000000003</v>
      </c>
      <c r="I30" s="161">
        <v>2036.91</v>
      </c>
      <c r="J30" s="1"/>
    </row>
    <row r="31" spans="1:10" ht="12" thickBot="1" x14ac:dyDescent="0.25">
      <c r="A31" s="203">
        <v>16009</v>
      </c>
      <c r="B31" s="204" t="s">
        <v>261</v>
      </c>
      <c r="C31" s="43" t="s">
        <v>22</v>
      </c>
      <c r="D31" s="43" t="s">
        <v>35</v>
      </c>
      <c r="E31" s="157">
        <f t="shared" si="0"/>
        <v>21512.19</v>
      </c>
      <c r="F31" s="160">
        <f t="shared" si="1"/>
        <v>-5.6785571343503261E-2</v>
      </c>
      <c r="G31" s="160">
        <f t="shared" si="2"/>
        <v>5.6785571343503261E-2</v>
      </c>
      <c r="H31" s="62">
        <v>20290.608</v>
      </c>
      <c r="I31" s="166">
        <v>21512.19</v>
      </c>
      <c r="J31" s="1"/>
    </row>
    <row r="32" spans="1:10" x14ac:dyDescent="0.2">
      <c r="A32" s="16"/>
      <c r="B32" s="191" t="s">
        <v>574</v>
      </c>
      <c r="C32" s="17" t="s">
        <v>6</v>
      </c>
      <c r="D32" s="17" t="s">
        <v>575</v>
      </c>
      <c r="E32" s="157">
        <f t="shared" si="0"/>
        <v>96.42</v>
      </c>
      <c r="F32" s="160">
        <f t="shared" si="1"/>
        <v>-6.2611491391827534E-2</v>
      </c>
      <c r="G32" s="160">
        <f t="shared" si="2"/>
        <v>6.2611491391827534E-2</v>
      </c>
      <c r="H32" s="131">
        <v>90.382999999999996</v>
      </c>
      <c r="I32" s="161">
        <v>96.42</v>
      </c>
      <c r="J32" s="1"/>
    </row>
    <row r="33" spans="1:10" x14ac:dyDescent="0.2">
      <c r="A33" s="16">
        <v>16000</v>
      </c>
      <c r="B33" s="191" t="s">
        <v>262</v>
      </c>
      <c r="C33" s="17" t="s">
        <v>7</v>
      </c>
      <c r="D33" s="17" t="s">
        <v>36</v>
      </c>
      <c r="E33" s="157">
        <f t="shared" si="0"/>
        <v>105.11</v>
      </c>
      <c r="F33" s="160">
        <f t="shared" si="1"/>
        <v>-6.2102559223670362E-2</v>
      </c>
      <c r="G33" s="160">
        <f t="shared" si="2"/>
        <v>6.2102559223670362E-2</v>
      </c>
      <c r="H33" s="57">
        <v>98.582400000000007</v>
      </c>
      <c r="I33" s="161">
        <v>105.11</v>
      </c>
      <c r="J33" s="1"/>
    </row>
    <row r="34" spans="1:10" x14ac:dyDescent="0.2">
      <c r="A34" s="16"/>
      <c r="B34" s="191" t="s">
        <v>577</v>
      </c>
      <c r="C34" s="17" t="s">
        <v>14</v>
      </c>
      <c r="D34" s="17" t="s">
        <v>576</v>
      </c>
      <c r="E34" s="157">
        <f t="shared" si="0"/>
        <v>383.53</v>
      </c>
      <c r="F34" s="160">
        <f t="shared" si="1"/>
        <v>-7.043464657262799E-2</v>
      </c>
      <c r="G34" s="160">
        <f t="shared" si="2"/>
        <v>7.043464657262799E-2</v>
      </c>
      <c r="H34" s="131">
        <v>356.51619999999997</v>
      </c>
      <c r="I34" s="161">
        <v>383.53</v>
      </c>
      <c r="J34" s="1"/>
    </row>
    <row r="35" spans="1:10" ht="12" thickBot="1" x14ac:dyDescent="0.25">
      <c r="A35" s="203">
        <v>16002</v>
      </c>
      <c r="B35" s="204" t="s">
        <v>263</v>
      </c>
      <c r="C35" s="43" t="s">
        <v>10</v>
      </c>
      <c r="D35" s="43" t="s">
        <v>37</v>
      </c>
      <c r="E35" s="157">
        <f t="shared" si="0"/>
        <v>529.63</v>
      </c>
      <c r="F35" s="160">
        <f t="shared" si="1"/>
        <v>-6.7309253629892596E-2</v>
      </c>
      <c r="G35" s="160">
        <f t="shared" si="2"/>
        <v>6.7309253629892596E-2</v>
      </c>
      <c r="H35" s="62">
        <v>493.98099999999999</v>
      </c>
      <c r="I35" s="166">
        <v>529.63</v>
      </c>
      <c r="J35" s="1"/>
    </row>
    <row r="36" spans="1:10" x14ac:dyDescent="0.2">
      <c r="A36" s="16"/>
      <c r="B36" s="191" t="s">
        <v>2480</v>
      </c>
      <c r="C36" s="17" t="s">
        <v>6</v>
      </c>
      <c r="D36" s="17" t="s">
        <v>3975</v>
      </c>
      <c r="E36" s="157"/>
      <c r="F36" s="160"/>
      <c r="G36" s="160"/>
      <c r="H36" s="131"/>
      <c r="I36" s="161">
        <v>92.26</v>
      </c>
      <c r="J36" s="1"/>
    </row>
    <row r="37" spans="1:10" x14ac:dyDescent="0.2">
      <c r="A37" s="16">
        <v>16925</v>
      </c>
      <c r="B37" s="191" t="s">
        <v>264</v>
      </c>
      <c r="C37" s="17" t="s">
        <v>7</v>
      </c>
      <c r="D37" s="17" t="s">
        <v>184</v>
      </c>
      <c r="E37" s="157">
        <f t="shared" si="0"/>
        <v>105.22</v>
      </c>
      <c r="F37" s="160">
        <f t="shared" si="1"/>
        <v>-6.2159285306975787E-2</v>
      </c>
      <c r="G37" s="160">
        <f t="shared" si="2"/>
        <v>6.2159285306975787E-2</v>
      </c>
      <c r="H37" s="57">
        <v>98.679600000000008</v>
      </c>
      <c r="I37" s="161">
        <v>105.22</v>
      </c>
      <c r="J37" s="1"/>
    </row>
    <row r="38" spans="1:10" x14ac:dyDescent="0.2">
      <c r="A38" s="33">
        <v>16313</v>
      </c>
      <c r="B38" s="196" t="s">
        <v>265</v>
      </c>
      <c r="C38" s="34" t="s">
        <v>10</v>
      </c>
      <c r="D38" s="34" t="s">
        <v>185</v>
      </c>
      <c r="E38" s="157">
        <f t="shared" si="0"/>
        <v>533.01</v>
      </c>
      <c r="F38" s="160">
        <f t="shared" si="1"/>
        <v>-6.6664790529258555E-2</v>
      </c>
      <c r="G38" s="160">
        <f t="shared" si="2"/>
        <v>6.6664790529258555E-2</v>
      </c>
      <c r="H38" s="133">
        <v>497.47699999999992</v>
      </c>
      <c r="I38" s="162">
        <v>533.01</v>
      </c>
      <c r="J38" s="1"/>
    </row>
    <row r="39" spans="1:10" x14ac:dyDescent="0.2">
      <c r="A39" s="209">
        <v>16730</v>
      </c>
      <c r="B39" s="210" t="s">
        <v>505</v>
      </c>
      <c r="C39" s="40" t="s">
        <v>22</v>
      </c>
      <c r="D39" s="40" t="s">
        <v>477</v>
      </c>
      <c r="E39" s="157">
        <f t="shared" si="0"/>
        <v>22036.560000000001</v>
      </c>
      <c r="F39" s="160">
        <f t="shared" si="1"/>
        <v>-1</v>
      </c>
      <c r="G39" s="160">
        <f t="shared" si="2"/>
        <v>1</v>
      </c>
      <c r="H39" s="63"/>
      <c r="I39" s="167">
        <v>22036.560000000001</v>
      </c>
      <c r="J39" s="1"/>
    </row>
    <row r="40" spans="1:10" x14ac:dyDescent="0.2">
      <c r="A40" s="9" t="s">
        <v>5</v>
      </c>
      <c r="B40" s="37"/>
      <c r="C40" s="10"/>
      <c r="D40" s="10"/>
      <c r="E40" s="157" t="str">
        <f t="shared" si="0"/>
        <v>SIN DATOS</v>
      </c>
      <c r="F40" s="160" t="e">
        <f t="shared" si="1"/>
        <v>#DIV/0!</v>
      </c>
      <c r="G40" s="160" t="e">
        <f t="shared" si="2"/>
        <v>#DIV/0!</v>
      </c>
      <c r="H40" s="64"/>
      <c r="I40" s="64"/>
      <c r="J40" s="1"/>
    </row>
    <row r="41" spans="1:10" x14ac:dyDescent="0.2">
      <c r="A41" s="12" t="s">
        <v>228</v>
      </c>
      <c r="B41" s="13"/>
      <c r="C41" s="15"/>
      <c r="D41" s="15"/>
      <c r="E41" s="157" t="str">
        <f t="shared" si="0"/>
        <v>SIN DATOS</v>
      </c>
      <c r="F41" s="160" t="e">
        <f t="shared" si="1"/>
        <v>#DIV/0!</v>
      </c>
      <c r="G41" s="160" t="e">
        <f t="shared" si="2"/>
        <v>#DIV/0!</v>
      </c>
      <c r="H41" s="61"/>
      <c r="I41" s="61"/>
      <c r="J41" s="1"/>
    </row>
    <row r="42" spans="1:10" x14ac:dyDescent="0.2">
      <c r="A42" s="16">
        <v>16907</v>
      </c>
      <c r="B42" s="191" t="s">
        <v>559</v>
      </c>
      <c r="C42" s="17" t="s">
        <v>556</v>
      </c>
      <c r="D42" s="17" t="s">
        <v>558</v>
      </c>
      <c r="E42" s="157">
        <v>121.09</v>
      </c>
      <c r="F42" s="160">
        <v>13.028656371294078</v>
      </c>
      <c r="G42" s="160">
        <v>13.028656371294078</v>
      </c>
      <c r="H42" s="57">
        <v>1698.73</v>
      </c>
      <c r="I42" s="57">
        <v>121.09</v>
      </c>
      <c r="J42" s="1"/>
    </row>
    <row r="43" spans="1:10" x14ac:dyDescent="0.2">
      <c r="A43" s="16">
        <v>16935</v>
      </c>
      <c r="B43" s="191" t="s">
        <v>266</v>
      </c>
      <c r="C43" s="17" t="s">
        <v>7</v>
      </c>
      <c r="D43" s="17" t="s">
        <v>15</v>
      </c>
      <c r="E43" s="157">
        <f t="shared" si="0"/>
        <v>125.96</v>
      </c>
      <c r="F43" s="160">
        <f t="shared" si="1"/>
        <v>-6.4388694823753312E-2</v>
      </c>
      <c r="G43" s="160">
        <f t="shared" si="2"/>
        <v>6.4388694823753312E-2</v>
      </c>
      <c r="H43" s="57">
        <v>117.84960000000002</v>
      </c>
      <c r="I43" s="57">
        <v>125.96</v>
      </c>
      <c r="J43" s="1"/>
    </row>
    <row r="44" spans="1:10" x14ac:dyDescent="0.2">
      <c r="A44" s="16">
        <v>16315</v>
      </c>
      <c r="B44" s="191" t="s">
        <v>267</v>
      </c>
      <c r="C44" s="17" t="s">
        <v>10</v>
      </c>
      <c r="D44" s="17" t="s">
        <v>186</v>
      </c>
      <c r="E44" s="157">
        <f t="shared" si="0"/>
        <v>643.37</v>
      </c>
      <c r="F44" s="160">
        <f t="shared" si="1"/>
        <v>-6.500272005222496E-2</v>
      </c>
      <c r="G44" s="160">
        <f t="shared" si="2"/>
        <v>6.500272005222496E-2</v>
      </c>
      <c r="H44" s="57">
        <v>601.54920000000004</v>
      </c>
      <c r="I44" s="57">
        <v>643.37</v>
      </c>
      <c r="J44" s="1"/>
    </row>
    <row r="45" spans="1:10" ht="12" thickBot="1" x14ac:dyDescent="0.25">
      <c r="A45" s="192">
        <v>16731</v>
      </c>
      <c r="B45" s="193" t="s">
        <v>268</v>
      </c>
      <c r="C45" s="18" t="s">
        <v>22</v>
      </c>
      <c r="D45" s="18" t="s">
        <v>187</v>
      </c>
      <c r="E45" s="157">
        <f t="shared" si="0"/>
        <v>25071.93</v>
      </c>
      <c r="F45" s="160">
        <f t="shared" si="1"/>
        <v>-6.1497108519368071E-2</v>
      </c>
      <c r="G45" s="160">
        <f t="shared" si="2"/>
        <v>6.1497108519368071E-2</v>
      </c>
      <c r="H45" s="60">
        <v>23530.078799999999</v>
      </c>
      <c r="I45" s="60">
        <v>25071.93</v>
      </c>
      <c r="J45" s="118"/>
    </row>
    <row r="46" spans="1:10" x14ac:dyDescent="0.2">
      <c r="A46" s="16">
        <v>16936</v>
      </c>
      <c r="B46" s="195" t="s">
        <v>271</v>
      </c>
      <c r="C46" s="19" t="s">
        <v>7</v>
      </c>
      <c r="D46" s="17" t="s">
        <v>62</v>
      </c>
      <c r="E46" s="157">
        <f t="shared" si="0"/>
        <v>129.29</v>
      </c>
      <c r="F46" s="160">
        <f t="shared" si="1"/>
        <v>-6.1588676618454685E-2</v>
      </c>
      <c r="G46" s="160">
        <f t="shared" si="2"/>
        <v>6.1588676618454685E-2</v>
      </c>
      <c r="H46" s="57">
        <v>121.32719999999999</v>
      </c>
      <c r="I46" s="57">
        <v>129.29</v>
      </c>
      <c r="J46" s="1"/>
    </row>
    <row r="47" spans="1:10" x14ac:dyDescent="0.2">
      <c r="A47" s="16">
        <v>16316</v>
      </c>
      <c r="B47" s="191" t="s">
        <v>269</v>
      </c>
      <c r="C47" s="17" t="s">
        <v>10</v>
      </c>
      <c r="D47" s="17" t="s">
        <v>63</v>
      </c>
      <c r="E47" s="157">
        <f t="shared" si="0"/>
        <v>660.01</v>
      </c>
      <c r="F47" s="160">
        <f t="shared" si="1"/>
        <v>-6.2181482098756069E-2</v>
      </c>
      <c r="G47" s="160">
        <f t="shared" si="2"/>
        <v>6.2181482098756069E-2</v>
      </c>
      <c r="H47" s="57">
        <v>618.96960000000001</v>
      </c>
      <c r="I47" s="57">
        <v>660.01</v>
      </c>
      <c r="J47" s="1"/>
    </row>
    <row r="48" spans="1:10" ht="12" thickBot="1" x14ac:dyDescent="0.25">
      <c r="A48" s="192">
        <v>16732</v>
      </c>
      <c r="B48" s="193" t="s">
        <v>270</v>
      </c>
      <c r="C48" s="18" t="s">
        <v>22</v>
      </c>
      <c r="D48" s="18" t="s">
        <v>188</v>
      </c>
      <c r="E48" s="157">
        <f t="shared" si="0"/>
        <v>25737.74</v>
      </c>
      <c r="F48" s="160">
        <f t="shared" si="1"/>
        <v>-5.8694415282771639E-2</v>
      </c>
      <c r="G48" s="160">
        <f t="shared" si="2"/>
        <v>5.8694415282771639E-2</v>
      </c>
      <c r="H48" s="60">
        <v>24227.078399999999</v>
      </c>
      <c r="I48" s="60">
        <v>25737.74</v>
      </c>
      <c r="J48" s="1"/>
    </row>
    <row r="49" spans="1:10" x14ac:dyDescent="0.2">
      <c r="A49" s="16">
        <v>16937</v>
      </c>
      <c r="B49" s="191" t="s">
        <v>272</v>
      </c>
      <c r="C49" s="17" t="s">
        <v>7</v>
      </c>
      <c r="D49" s="17" t="s">
        <v>189</v>
      </c>
      <c r="E49" s="157">
        <f t="shared" si="0"/>
        <v>134.27000000000001</v>
      </c>
      <c r="F49" s="160">
        <f t="shared" si="1"/>
        <v>-6.0841587845386069E-2</v>
      </c>
      <c r="G49" s="160">
        <f t="shared" si="2"/>
        <v>6.0841587845386069E-2</v>
      </c>
      <c r="H49" s="57">
        <v>126.10080000000002</v>
      </c>
      <c r="I49" s="57">
        <v>134.27000000000001</v>
      </c>
      <c r="J49" s="1"/>
    </row>
    <row r="50" spans="1:10" x14ac:dyDescent="0.2">
      <c r="A50" s="16">
        <v>16317</v>
      </c>
      <c r="B50" s="191" t="s">
        <v>273</v>
      </c>
      <c r="C50" s="17" t="s">
        <v>10</v>
      </c>
      <c r="D50" s="17" t="s">
        <v>229</v>
      </c>
      <c r="E50" s="157">
        <f t="shared" si="0"/>
        <v>684.71</v>
      </c>
      <c r="F50" s="160">
        <f t="shared" si="1"/>
        <v>-6.148471615720541E-2</v>
      </c>
      <c r="G50" s="160">
        <f t="shared" si="2"/>
        <v>6.148471615720541E-2</v>
      </c>
      <c r="H50" s="57">
        <v>642.61079999999993</v>
      </c>
      <c r="I50" s="57">
        <v>684.71</v>
      </c>
      <c r="J50" s="1"/>
    </row>
    <row r="51" spans="1:10" ht="12" thickBot="1" x14ac:dyDescent="0.25">
      <c r="A51" s="192">
        <v>16733</v>
      </c>
      <c r="B51" s="193" t="s">
        <v>274</v>
      </c>
      <c r="C51" s="18" t="s">
        <v>22</v>
      </c>
      <c r="D51" s="18" t="s">
        <v>230</v>
      </c>
      <c r="E51" s="157">
        <f t="shared" si="0"/>
        <v>26735.98</v>
      </c>
      <c r="F51" s="160">
        <f t="shared" si="1"/>
        <v>-5.8137580892864249E-2</v>
      </c>
      <c r="G51" s="160">
        <f t="shared" si="2"/>
        <v>5.8137580892864249E-2</v>
      </c>
      <c r="H51" s="60">
        <v>25181.614799999999</v>
      </c>
      <c r="I51" s="60">
        <v>26735.98</v>
      </c>
      <c r="J51" s="1"/>
    </row>
    <row r="52" spans="1:10" x14ac:dyDescent="0.2">
      <c r="A52" s="16">
        <v>16938</v>
      </c>
      <c r="B52" s="191" t="s">
        <v>275</v>
      </c>
      <c r="C52" s="17" t="s">
        <v>7</v>
      </c>
      <c r="D52" s="17" t="s">
        <v>8</v>
      </c>
      <c r="E52" s="157">
        <f t="shared" si="0"/>
        <v>135.33000000000001</v>
      </c>
      <c r="F52" s="160">
        <f t="shared" si="1"/>
        <v>-1.1217025049878093E-2</v>
      </c>
      <c r="G52" s="160">
        <f t="shared" si="2"/>
        <v>1.1217025049878093E-2</v>
      </c>
      <c r="H52" s="57">
        <v>133.81200000000001</v>
      </c>
      <c r="I52" s="57">
        <v>135.33000000000001</v>
      </c>
      <c r="J52" s="1"/>
    </row>
    <row r="53" spans="1:10" x14ac:dyDescent="0.2">
      <c r="A53" s="16">
        <v>16314</v>
      </c>
      <c r="B53" s="191" t="s">
        <v>276</v>
      </c>
      <c r="C53" s="17" t="s">
        <v>10</v>
      </c>
      <c r="D53" s="17" t="s">
        <v>11</v>
      </c>
      <c r="E53" s="157">
        <f t="shared" si="0"/>
        <v>727.03</v>
      </c>
      <c r="F53" s="160">
        <f t="shared" si="1"/>
        <v>-6.3053244020191745E-2</v>
      </c>
      <c r="G53" s="160">
        <f t="shared" si="2"/>
        <v>6.3053244020191745E-2</v>
      </c>
      <c r="H53" s="57">
        <v>681.1884</v>
      </c>
      <c r="I53" s="57">
        <v>727.03</v>
      </c>
      <c r="J53" s="1"/>
    </row>
    <row r="54" spans="1:10" ht="12" thickBot="1" x14ac:dyDescent="0.25">
      <c r="A54" s="192">
        <v>16734</v>
      </c>
      <c r="B54" s="193" t="s">
        <v>277</v>
      </c>
      <c r="C54" s="18" t="s">
        <v>22</v>
      </c>
      <c r="D54" s="18" t="s">
        <v>231</v>
      </c>
      <c r="E54" s="157">
        <f t="shared" si="0"/>
        <v>28464.28</v>
      </c>
      <c r="F54" s="160">
        <f t="shared" si="1"/>
        <v>-5.9823793189218155E-2</v>
      </c>
      <c r="G54" s="160">
        <f t="shared" si="2"/>
        <v>5.9823793189218155E-2</v>
      </c>
      <c r="H54" s="60">
        <v>26761.4388</v>
      </c>
      <c r="I54" s="60">
        <v>28464.28</v>
      </c>
      <c r="J54" s="1"/>
    </row>
    <row r="55" spans="1:10" x14ac:dyDescent="0.2">
      <c r="A55" s="16">
        <v>16932</v>
      </c>
      <c r="B55" s="191" t="s">
        <v>278</v>
      </c>
      <c r="C55" s="17" t="s">
        <v>7</v>
      </c>
      <c r="D55" s="17" t="s">
        <v>21</v>
      </c>
      <c r="E55" s="157">
        <f t="shared" si="0"/>
        <v>197.69</v>
      </c>
      <c r="F55" s="160">
        <f t="shared" si="1"/>
        <v>-4.2428043907127289E-2</v>
      </c>
      <c r="G55" s="160">
        <f t="shared" si="2"/>
        <v>4.2428043907127289E-2</v>
      </c>
      <c r="H55" s="57">
        <v>189.30240000000001</v>
      </c>
      <c r="I55" s="57">
        <v>197.69</v>
      </c>
      <c r="J55" s="1"/>
    </row>
    <row r="56" spans="1:10" ht="12" thickBot="1" x14ac:dyDescent="0.25">
      <c r="A56" s="192">
        <v>16735</v>
      </c>
      <c r="B56" s="193" t="s">
        <v>279</v>
      </c>
      <c r="C56" s="18" t="s">
        <v>22</v>
      </c>
      <c r="D56" s="18" t="s">
        <v>190</v>
      </c>
      <c r="E56" s="157">
        <f t="shared" si="0"/>
        <v>42257.25</v>
      </c>
      <c r="F56" s="160">
        <f t="shared" si="1"/>
        <v>-3.7738395186624807E-2</v>
      </c>
      <c r="G56" s="160">
        <f t="shared" si="2"/>
        <v>3.7738395186624807E-2</v>
      </c>
      <c r="H56" s="60">
        <v>40662.529199999997</v>
      </c>
      <c r="I56" s="60">
        <v>42257.25</v>
      </c>
      <c r="J56" s="1"/>
    </row>
    <row r="57" spans="1:10" x14ac:dyDescent="0.2">
      <c r="A57" s="16">
        <v>16933</v>
      </c>
      <c r="B57" s="191" t="s">
        <v>280</v>
      </c>
      <c r="C57" s="17" t="s">
        <v>7</v>
      </c>
      <c r="D57" s="17" t="s">
        <v>191</v>
      </c>
      <c r="E57" s="157">
        <f t="shared" si="0"/>
        <v>197.24</v>
      </c>
      <c r="F57" s="160">
        <f t="shared" si="1"/>
        <v>-4.2433583451632617E-2</v>
      </c>
      <c r="G57" s="160">
        <f t="shared" si="2"/>
        <v>4.2433583451632617E-2</v>
      </c>
      <c r="H57" s="57">
        <v>188.87039999999999</v>
      </c>
      <c r="I57" s="57">
        <v>197.24</v>
      </c>
      <c r="J57" s="1"/>
    </row>
    <row r="58" spans="1:10" ht="12" thickBot="1" x14ac:dyDescent="0.25">
      <c r="A58" s="192">
        <v>16738</v>
      </c>
      <c r="B58" s="193" t="s">
        <v>281</v>
      </c>
      <c r="C58" s="18" t="s">
        <v>22</v>
      </c>
      <c r="D58" s="18" t="s">
        <v>192</v>
      </c>
      <c r="E58" s="157">
        <f t="shared" si="0"/>
        <v>42922.86</v>
      </c>
      <c r="F58" s="160">
        <f t="shared" si="1"/>
        <v>-3.711432090033151E-2</v>
      </c>
      <c r="G58" s="160">
        <f t="shared" si="2"/>
        <v>3.711432090033151E-2</v>
      </c>
      <c r="H58" s="60">
        <v>41329.807199999996</v>
      </c>
      <c r="I58" s="60">
        <v>42922.86</v>
      </c>
    </row>
    <row r="59" spans="1:10" x14ac:dyDescent="0.2">
      <c r="A59" s="16">
        <v>16934</v>
      </c>
      <c r="B59" s="191" t="s">
        <v>282</v>
      </c>
      <c r="C59" s="17" t="s">
        <v>7</v>
      </c>
      <c r="D59" s="17" t="s">
        <v>25</v>
      </c>
      <c r="E59" s="157">
        <f t="shared" si="0"/>
        <v>197.34</v>
      </c>
      <c r="F59" s="160">
        <f t="shared" si="1"/>
        <v>-4.2535725144420833E-2</v>
      </c>
      <c r="G59" s="160">
        <f t="shared" si="2"/>
        <v>4.2535725144420833E-2</v>
      </c>
      <c r="H59" s="57">
        <v>188.946</v>
      </c>
      <c r="I59" s="57">
        <v>197.34</v>
      </c>
    </row>
    <row r="60" spans="1:10" ht="12" thickBot="1" x14ac:dyDescent="0.25">
      <c r="A60" s="192">
        <v>16736</v>
      </c>
      <c r="B60" s="193" t="s">
        <v>283</v>
      </c>
      <c r="C60" s="18" t="s">
        <v>22</v>
      </c>
      <c r="D60" s="18" t="s">
        <v>193</v>
      </c>
      <c r="E60" s="157">
        <f t="shared" si="0"/>
        <v>41876.050000000003</v>
      </c>
      <c r="F60" s="160">
        <f t="shared" si="1"/>
        <v>-3.8167477591606658E-2</v>
      </c>
      <c r="G60" s="160">
        <f t="shared" si="2"/>
        <v>3.8167477591606658E-2</v>
      </c>
      <c r="H60" s="60">
        <v>40277.746800000001</v>
      </c>
      <c r="I60" s="60">
        <v>41876.050000000003</v>
      </c>
    </row>
    <row r="61" spans="1:10" x14ac:dyDescent="0.2">
      <c r="A61" s="12" t="s">
        <v>228</v>
      </c>
      <c r="B61" s="13"/>
      <c r="C61" s="15"/>
      <c r="D61" s="15"/>
      <c r="E61" s="157" t="str">
        <f t="shared" si="0"/>
        <v>SIN DATOS</v>
      </c>
      <c r="F61" s="160" t="e">
        <f t="shared" si="1"/>
        <v>#DIV/0!</v>
      </c>
      <c r="G61" s="160" t="e">
        <f t="shared" si="2"/>
        <v>#DIV/0!</v>
      </c>
      <c r="H61" s="61"/>
      <c r="I61" s="61"/>
    </row>
    <row r="62" spans="1:10" ht="12" thickBot="1" x14ac:dyDescent="0.25">
      <c r="A62" s="203">
        <v>16931</v>
      </c>
      <c r="B62" s="204" t="s">
        <v>284</v>
      </c>
      <c r="C62" s="43" t="s">
        <v>7</v>
      </c>
      <c r="D62" s="43" t="s">
        <v>194</v>
      </c>
      <c r="E62" s="157">
        <f t="shared" si="0"/>
        <v>197.16</v>
      </c>
      <c r="F62" s="160">
        <f t="shared" si="1"/>
        <v>-4.3250152160681621E-2</v>
      </c>
      <c r="G62" s="160">
        <f t="shared" si="2"/>
        <v>4.3250152160681621E-2</v>
      </c>
      <c r="H62" s="62">
        <v>188.6328</v>
      </c>
      <c r="I62" s="62">
        <v>197.16</v>
      </c>
    </row>
    <row r="63" spans="1:10" x14ac:dyDescent="0.2">
      <c r="A63" s="33">
        <v>16928</v>
      </c>
      <c r="B63" s="196" t="s">
        <v>286</v>
      </c>
      <c r="C63" s="34" t="s">
        <v>7</v>
      </c>
      <c r="D63" s="34" t="s">
        <v>2502</v>
      </c>
      <c r="E63" s="157">
        <f t="shared" si="0"/>
        <v>188.4</v>
      </c>
      <c r="F63" s="160">
        <f t="shared" si="1"/>
        <v>-5.0471337579618081E-2</v>
      </c>
      <c r="G63" s="160">
        <f t="shared" si="2"/>
        <v>5.0471337579618081E-2</v>
      </c>
      <c r="H63" s="58">
        <v>178.89119999999997</v>
      </c>
      <c r="I63" s="58">
        <v>188.4</v>
      </c>
    </row>
    <row r="64" spans="1:10" x14ac:dyDescent="0.2">
      <c r="A64" s="33">
        <v>16900</v>
      </c>
      <c r="B64" s="196" t="s">
        <v>285</v>
      </c>
      <c r="C64" s="34" t="s">
        <v>7</v>
      </c>
      <c r="D64" s="34" t="s">
        <v>239</v>
      </c>
      <c r="E64" s="157">
        <f t="shared" si="0"/>
        <v>204.97</v>
      </c>
      <c r="F64" s="160">
        <f t="shared" si="1"/>
        <v>-4.067912377421079E-2</v>
      </c>
      <c r="G64" s="160">
        <f t="shared" si="2"/>
        <v>4.067912377421079E-2</v>
      </c>
      <c r="H64" s="58">
        <v>196.63200000000001</v>
      </c>
      <c r="I64" s="58">
        <v>204.97</v>
      </c>
      <c r="J64" s="119"/>
    </row>
    <row r="65" spans="1:9" x14ac:dyDescent="0.2">
      <c r="A65" s="33">
        <v>16605</v>
      </c>
      <c r="B65" s="196" t="s">
        <v>506</v>
      </c>
      <c r="C65" s="34" t="s">
        <v>13</v>
      </c>
      <c r="D65" s="34" t="s">
        <v>239</v>
      </c>
      <c r="E65" s="157">
        <f t="shared" si="0"/>
        <v>4071.19</v>
      </c>
      <c r="F65" s="160">
        <f t="shared" si="1"/>
        <v>-4.0955592836492638E-2</v>
      </c>
      <c r="G65" s="160">
        <f t="shared" si="2"/>
        <v>4.0955592836492638E-2</v>
      </c>
      <c r="H65" s="58">
        <v>3904.4519999999998</v>
      </c>
      <c r="I65" s="58">
        <v>4071.19</v>
      </c>
    </row>
    <row r="66" spans="1:9" ht="12" thickBot="1" x14ac:dyDescent="0.25">
      <c r="A66" s="203">
        <v>16740</v>
      </c>
      <c r="B66" s="204" t="s">
        <v>287</v>
      </c>
      <c r="C66" s="43" t="s">
        <v>22</v>
      </c>
      <c r="D66" s="43" t="s">
        <v>195</v>
      </c>
      <c r="E66" s="157">
        <f t="shared" si="0"/>
        <v>40194.050000000003</v>
      </c>
      <c r="F66" s="160">
        <f t="shared" si="1"/>
        <v>-4.5314935917131982E-2</v>
      </c>
      <c r="G66" s="160">
        <f t="shared" si="2"/>
        <v>4.5314935917131982E-2</v>
      </c>
      <c r="H66" s="62">
        <v>38372.659200000002</v>
      </c>
      <c r="I66" s="62">
        <v>40194.050000000003</v>
      </c>
    </row>
    <row r="67" spans="1:9" x14ac:dyDescent="0.2">
      <c r="A67" s="205">
        <v>16902</v>
      </c>
      <c r="B67" s="206" t="s">
        <v>508</v>
      </c>
      <c r="C67" s="44" t="s">
        <v>7</v>
      </c>
      <c r="D67" s="44" t="s">
        <v>471</v>
      </c>
      <c r="E67" s="157">
        <f t="shared" si="0"/>
        <v>202.21</v>
      </c>
      <c r="F67" s="160">
        <f t="shared" si="1"/>
        <v>-4.2806982839622254E-2</v>
      </c>
      <c r="G67" s="160">
        <f t="shared" si="2"/>
        <v>4.2806982839622254E-2</v>
      </c>
      <c r="H67" s="56">
        <v>193.554</v>
      </c>
      <c r="I67" s="56">
        <v>202.21</v>
      </c>
    </row>
    <row r="68" spans="1:9" ht="12" thickBot="1" x14ac:dyDescent="0.25">
      <c r="A68" s="207">
        <v>16741</v>
      </c>
      <c r="B68" s="208" t="s">
        <v>507</v>
      </c>
      <c r="C68" s="41" t="s">
        <v>22</v>
      </c>
      <c r="D68" s="42" t="s">
        <v>471</v>
      </c>
      <c r="E68" s="157">
        <f t="shared" si="0"/>
        <v>39692.33</v>
      </c>
      <c r="F68" s="160">
        <f t="shared" si="1"/>
        <v>-4.6531256794448694E-2</v>
      </c>
      <c r="G68" s="160">
        <f t="shared" si="2"/>
        <v>4.6531256794448694E-2</v>
      </c>
      <c r="H68" s="65">
        <v>37845.396000000001</v>
      </c>
      <c r="I68" s="65">
        <v>39692.33</v>
      </c>
    </row>
    <row r="69" spans="1:9" ht="12" thickBot="1" x14ac:dyDescent="0.25"/>
    <row r="70" spans="1:9" ht="19.5" thickBot="1" x14ac:dyDescent="0.35">
      <c r="A70" s="128" t="str">
        <f>+A6</f>
        <v xml:space="preserve">  LISTA DE PRECIOS  ACTUALIZACION  10 AGOSTO 2024</v>
      </c>
      <c r="B70" s="129"/>
      <c r="C70" s="130"/>
      <c r="D70" s="130"/>
      <c r="E70" s="130"/>
      <c r="F70" s="130"/>
      <c r="G70" s="130"/>
      <c r="H70" s="130"/>
      <c r="I70" s="340" t="s">
        <v>241</v>
      </c>
    </row>
    <row r="71" spans="1:9" ht="12" thickBot="1" x14ac:dyDescent="0.25">
      <c r="A71" s="3" t="s">
        <v>0</v>
      </c>
      <c r="B71" s="4"/>
      <c r="C71" s="4" t="s">
        <v>1</v>
      </c>
      <c r="D71" s="4" t="s">
        <v>2</v>
      </c>
      <c r="E71" s="4"/>
      <c r="F71" s="4"/>
      <c r="G71" s="4"/>
      <c r="H71" s="4"/>
      <c r="I71" s="5" t="s">
        <v>207</v>
      </c>
    </row>
    <row r="72" spans="1:9" x14ac:dyDescent="0.2">
      <c r="A72" s="394" t="s">
        <v>3</v>
      </c>
      <c r="B72" s="395"/>
      <c r="C72" s="396"/>
      <c r="D72" s="396"/>
      <c r="E72" s="138"/>
      <c r="F72" s="138"/>
      <c r="G72" s="138"/>
      <c r="H72" s="138"/>
      <c r="I72" s="7"/>
    </row>
    <row r="73" spans="1:9" x14ac:dyDescent="0.2">
      <c r="A73" s="9" t="s">
        <v>5</v>
      </c>
      <c r="B73" s="37"/>
      <c r="C73" s="10"/>
      <c r="D73" s="10"/>
      <c r="E73" s="10"/>
      <c r="F73" s="10"/>
      <c r="G73" s="10"/>
      <c r="H73" s="10"/>
      <c r="I73" s="11"/>
    </row>
    <row r="74" spans="1:9" x14ac:dyDescent="0.2">
      <c r="A74" s="12" t="s">
        <v>228</v>
      </c>
      <c r="B74" s="13"/>
      <c r="C74" s="15"/>
      <c r="D74" s="15"/>
      <c r="E74" s="15"/>
      <c r="F74" s="15"/>
      <c r="G74" s="15"/>
      <c r="H74" s="15" t="s">
        <v>2501</v>
      </c>
      <c r="I74" s="14"/>
    </row>
    <row r="75" spans="1:9" x14ac:dyDescent="0.2">
      <c r="A75" s="16">
        <v>16929</v>
      </c>
      <c r="B75" s="191" t="s">
        <v>288</v>
      </c>
      <c r="C75" s="17" t="s">
        <v>7</v>
      </c>
      <c r="D75" s="17" t="s">
        <v>196</v>
      </c>
      <c r="E75" s="157">
        <f t="shared" ref="E75:E103" si="3">IFERROR(VLOOKUP(B75,Base01,7,FALSE),"SIN DATOS")</f>
        <v>190.33</v>
      </c>
      <c r="F75" s="160">
        <f>(H75/I75)-1</f>
        <v>-5.1361319812956441E-2</v>
      </c>
      <c r="G75" s="160">
        <f>ABS(F75)</f>
        <v>5.1361319812956441E-2</v>
      </c>
      <c r="H75" s="178">
        <v>180.55440000000002</v>
      </c>
      <c r="I75" s="168">
        <v>190.33</v>
      </c>
    </row>
    <row r="76" spans="1:9" ht="12" thickBot="1" x14ac:dyDescent="0.25">
      <c r="A76" s="192">
        <v>16739</v>
      </c>
      <c r="B76" s="193" t="s">
        <v>290</v>
      </c>
      <c r="C76" s="18" t="s">
        <v>22</v>
      </c>
      <c r="D76" s="18" t="s">
        <v>197</v>
      </c>
      <c r="E76" s="157">
        <f t="shared" si="3"/>
        <v>39912.35</v>
      </c>
      <c r="F76" s="160">
        <f t="shared" ref="F76:F129" si="4">(H76/I76)-1</f>
        <v>-4.6973029651223297E-2</v>
      </c>
      <c r="G76" s="160">
        <f t="shared" ref="G76:G129" si="5">ABS(F76)</f>
        <v>4.6973029651223297E-2</v>
      </c>
      <c r="H76" s="179">
        <v>38037.545999999995</v>
      </c>
      <c r="I76" s="169">
        <v>39912.35</v>
      </c>
    </row>
    <row r="77" spans="1:9" x14ac:dyDescent="0.2">
      <c r="A77" s="16">
        <v>16930</v>
      </c>
      <c r="B77" s="191" t="s">
        <v>289</v>
      </c>
      <c r="C77" s="17" t="s">
        <v>7</v>
      </c>
      <c r="D77" s="17" t="s">
        <v>19</v>
      </c>
      <c r="E77" s="157">
        <f t="shared" si="3"/>
        <v>187.47</v>
      </c>
      <c r="F77" s="160">
        <f t="shared" si="4"/>
        <v>-5.1406625060009592E-2</v>
      </c>
      <c r="G77" s="160">
        <f t="shared" si="5"/>
        <v>5.1406625060009592E-2</v>
      </c>
      <c r="H77" s="178">
        <v>177.83279999999999</v>
      </c>
      <c r="I77" s="168">
        <v>187.47</v>
      </c>
    </row>
    <row r="78" spans="1:9" x14ac:dyDescent="0.2">
      <c r="A78" s="12" t="s">
        <v>38</v>
      </c>
      <c r="B78" s="13"/>
      <c r="C78" s="13"/>
      <c r="D78" s="13"/>
      <c r="E78" s="157" t="str">
        <f t="shared" si="3"/>
        <v>SIN DATOS</v>
      </c>
      <c r="F78" s="160" t="e">
        <f t="shared" si="4"/>
        <v>#DIV/0!</v>
      </c>
      <c r="G78" s="160" t="e">
        <f t="shared" si="5"/>
        <v>#DIV/0!</v>
      </c>
      <c r="H78" s="180"/>
      <c r="I78" s="61"/>
    </row>
    <row r="79" spans="1:9" x14ac:dyDescent="0.2">
      <c r="A79" s="16">
        <v>16412</v>
      </c>
      <c r="B79" s="191" t="s">
        <v>291</v>
      </c>
      <c r="C79" s="17" t="s">
        <v>40</v>
      </c>
      <c r="D79" s="17" t="s">
        <v>233</v>
      </c>
      <c r="E79" s="157">
        <f t="shared" si="3"/>
        <v>34.07</v>
      </c>
      <c r="F79" s="160">
        <f t="shared" si="4"/>
        <v>-5.155268564719695E-2</v>
      </c>
      <c r="G79" s="160">
        <f t="shared" si="5"/>
        <v>5.155268564719695E-2</v>
      </c>
      <c r="H79" s="178">
        <v>32.313600000000001</v>
      </c>
      <c r="I79" s="168">
        <v>34.07</v>
      </c>
    </row>
    <row r="80" spans="1:9" x14ac:dyDescent="0.2">
      <c r="A80" s="16">
        <v>16939</v>
      </c>
      <c r="B80" s="191" t="s">
        <v>292</v>
      </c>
      <c r="C80" s="17" t="s">
        <v>7</v>
      </c>
      <c r="D80" s="17" t="s">
        <v>233</v>
      </c>
      <c r="E80" s="157">
        <f t="shared" si="3"/>
        <v>113.39</v>
      </c>
      <c r="F80" s="160">
        <f t="shared" si="4"/>
        <v>-6.3822206543786786E-2</v>
      </c>
      <c r="G80" s="160">
        <f t="shared" si="5"/>
        <v>6.3822206543786786E-2</v>
      </c>
      <c r="H80" s="178">
        <v>106.15320000000001</v>
      </c>
      <c r="I80" s="168">
        <v>113.39</v>
      </c>
    </row>
    <row r="81" spans="1:9" x14ac:dyDescent="0.2">
      <c r="A81" s="12" t="s">
        <v>42</v>
      </c>
      <c r="B81" s="13"/>
      <c r="C81" s="13"/>
      <c r="D81" s="13"/>
      <c r="E81" s="157" t="str">
        <f t="shared" si="3"/>
        <v>SIN DATOS</v>
      </c>
      <c r="F81" s="160" t="e">
        <f t="shared" si="4"/>
        <v>#DIV/0!</v>
      </c>
      <c r="G81" s="160" t="e">
        <f t="shared" si="5"/>
        <v>#DIV/0!</v>
      </c>
      <c r="H81" s="180"/>
      <c r="I81" s="61"/>
    </row>
    <row r="82" spans="1:9" ht="12" thickBot="1" x14ac:dyDescent="0.25">
      <c r="A82" s="192">
        <v>16940</v>
      </c>
      <c r="B82" s="193" t="s">
        <v>293</v>
      </c>
      <c r="C82" s="18" t="s">
        <v>7</v>
      </c>
      <c r="D82" s="55" t="s">
        <v>510</v>
      </c>
      <c r="E82" s="157">
        <f t="shared" si="3"/>
        <v>113</v>
      </c>
      <c r="F82" s="160">
        <f t="shared" si="4"/>
        <v>-6.8619469026548696E-2</v>
      </c>
      <c r="G82" s="160">
        <f t="shared" si="5"/>
        <v>6.8619469026548696E-2</v>
      </c>
      <c r="H82" s="179">
        <v>105.246</v>
      </c>
      <c r="I82" s="169">
        <v>113</v>
      </c>
    </row>
    <row r="83" spans="1:9" ht="12" thickBot="1" x14ac:dyDescent="0.25">
      <c r="A83" s="192">
        <v>16941</v>
      </c>
      <c r="B83" s="193" t="s">
        <v>294</v>
      </c>
      <c r="C83" s="18" t="s">
        <v>7</v>
      </c>
      <c r="D83" s="55" t="s">
        <v>511</v>
      </c>
      <c r="E83" s="157">
        <f t="shared" si="3"/>
        <v>135.61000000000001</v>
      </c>
      <c r="F83" s="160">
        <f t="shared" si="4"/>
        <v>-6.0883415677309927E-2</v>
      </c>
      <c r="G83" s="160">
        <f t="shared" si="5"/>
        <v>6.0883415677309927E-2</v>
      </c>
      <c r="H83" s="179">
        <v>127.35360000000001</v>
      </c>
      <c r="I83" s="169">
        <v>135.61000000000001</v>
      </c>
    </row>
    <row r="84" spans="1:9" ht="12" thickBot="1" x14ac:dyDescent="0.25">
      <c r="A84" s="192">
        <v>16943</v>
      </c>
      <c r="B84" s="193" t="s">
        <v>571</v>
      </c>
      <c r="C84" s="18" t="s">
        <v>7</v>
      </c>
      <c r="D84" s="55" t="s">
        <v>234</v>
      </c>
      <c r="E84" s="157">
        <f t="shared" si="3"/>
        <v>110.52</v>
      </c>
      <c r="F84" s="160">
        <f t="shared" si="4"/>
        <v>-7.1856677524429924E-2</v>
      </c>
      <c r="G84" s="160">
        <f t="shared" si="5"/>
        <v>7.1856677524429924E-2</v>
      </c>
      <c r="H84" s="179">
        <v>102.5784</v>
      </c>
      <c r="I84" s="169">
        <v>110.52</v>
      </c>
    </row>
    <row r="85" spans="1:9" ht="12" thickBot="1" x14ac:dyDescent="0.25">
      <c r="A85" s="192">
        <v>16944</v>
      </c>
      <c r="B85" s="193" t="s">
        <v>295</v>
      </c>
      <c r="C85" s="18" t="s">
        <v>7</v>
      </c>
      <c r="D85" s="55" t="s">
        <v>235</v>
      </c>
      <c r="E85" s="157">
        <f t="shared" si="3"/>
        <v>107.4</v>
      </c>
      <c r="F85" s="160">
        <f t="shared" si="4"/>
        <v>-7.1743016759776568E-2</v>
      </c>
      <c r="G85" s="160">
        <f t="shared" si="5"/>
        <v>7.1743016759776568E-2</v>
      </c>
      <c r="H85" s="179">
        <v>99.694800000000001</v>
      </c>
      <c r="I85" s="169">
        <v>107.4</v>
      </c>
    </row>
    <row r="86" spans="1:9" x14ac:dyDescent="0.2">
      <c r="A86" s="16">
        <v>16942</v>
      </c>
      <c r="B86" s="191" t="s">
        <v>296</v>
      </c>
      <c r="C86" s="17" t="s">
        <v>7</v>
      </c>
      <c r="D86" s="17" t="s">
        <v>47</v>
      </c>
      <c r="E86" s="157">
        <f t="shared" si="3"/>
        <v>121.6</v>
      </c>
      <c r="F86" s="160">
        <f t="shared" si="4"/>
        <v>-7.098684210526307E-2</v>
      </c>
      <c r="G86" s="160">
        <f t="shared" si="5"/>
        <v>7.098684210526307E-2</v>
      </c>
      <c r="H86" s="178">
        <v>112.968</v>
      </c>
      <c r="I86" s="168">
        <v>121.6</v>
      </c>
    </row>
    <row r="87" spans="1:9" x14ac:dyDescent="0.2">
      <c r="A87" s="16">
        <v>16945</v>
      </c>
      <c r="B87" s="191" t="s">
        <v>297</v>
      </c>
      <c r="C87" s="17" t="s">
        <v>7</v>
      </c>
      <c r="D87" s="17" t="s">
        <v>232</v>
      </c>
      <c r="E87" s="157">
        <f t="shared" si="3"/>
        <v>123.49</v>
      </c>
      <c r="F87" s="160">
        <f t="shared" si="4"/>
        <v>-7.129970038059763E-2</v>
      </c>
      <c r="G87" s="160">
        <f t="shared" si="5"/>
        <v>7.129970038059763E-2</v>
      </c>
      <c r="H87" s="178">
        <v>114.68519999999999</v>
      </c>
      <c r="I87" s="168">
        <v>123.49</v>
      </c>
    </row>
    <row r="88" spans="1:9" x14ac:dyDescent="0.2">
      <c r="A88" s="16">
        <v>16119</v>
      </c>
      <c r="B88" s="191" t="s">
        <v>509</v>
      </c>
      <c r="C88" s="17" t="s">
        <v>13</v>
      </c>
      <c r="D88" s="17" t="s">
        <v>516</v>
      </c>
      <c r="E88" s="157">
        <f t="shared" si="3"/>
        <v>2127.5700000000002</v>
      </c>
      <c r="F88" s="160">
        <f t="shared" si="4"/>
        <v>-5.6437626024055665E-2</v>
      </c>
      <c r="G88" s="160">
        <f t="shared" si="5"/>
        <v>5.6437626024055665E-2</v>
      </c>
      <c r="H88" s="178">
        <v>2007.4950000000001</v>
      </c>
      <c r="I88" s="168">
        <v>2127.5700000000002</v>
      </c>
    </row>
    <row r="89" spans="1:9" x14ac:dyDescent="0.2">
      <c r="A89" s="9" t="s">
        <v>29</v>
      </c>
      <c r="B89" s="37"/>
      <c r="C89" s="10"/>
      <c r="D89" s="10"/>
      <c r="E89" s="157" t="str">
        <f t="shared" si="3"/>
        <v>SIN DATOS</v>
      </c>
      <c r="F89" s="160" t="e">
        <f t="shared" si="4"/>
        <v>#DIV/0!</v>
      </c>
      <c r="G89" s="160" t="e">
        <f t="shared" si="5"/>
        <v>#DIV/0!</v>
      </c>
      <c r="H89" s="182"/>
      <c r="I89" s="64"/>
    </row>
    <row r="90" spans="1:9" x14ac:dyDescent="0.2">
      <c r="A90" s="12" t="s">
        <v>31</v>
      </c>
      <c r="B90" s="13"/>
      <c r="C90" s="13"/>
      <c r="D90" s="13"/>
      <c r="E90" s="157" t="str">
        <f t="shared" si="3"/>
        <v>SIN DATOS</v>
      </c>
      <c r="F90" s="160" t="e">
        <f t="shared" si="4"/>
        <v>#DIV/0!</v>
      </c>
      <c r="G90" s="160" t="e">
        <f t="shared" si="5"/>
        <v>#DIV/0!</v>
      </c>
      <c r="H90" s="180"/>
      <c r="I90" s="61"/>
    </row>
    <row r="91" spans="1:9" x14ac:dyDescent="0.2">
      <c r="A91" s="16">
        <v>16952</v>
      </c>
      <c r="B91" s="191" t="s">
        <v>298</v>
      </c>
      <c r="C91" s="17" t="s">
        <v>7</v>
      </c>
      <c r="D91" s="17" t="s">
        <v>472</v>
      </c>
      <c r="E91" s="157">
        <f t="shared" si="3"/>
        <v>138.18</v>
      </c>
      <c r="F91" s="160">
        <f t="shared" si="4"/>
        <v>-6.2027789839339986E-2</v>
      </c>
      <c r="G91" s="160">
        <f t="shared" si="5"/>
        <v>6.2027789839339986E-2</v>
      </c>
      <c r="H91" s="178">
        <v>129.60900000000001</v>
      </c>
      <c r="I91" s="168">
        <v>138.18</v>
      </c>
    </row>
    <row r="92" spans="1:9" x14ac:dyDescent="0.2">
      <c r="A92" s="12" t="s">
        <v>33</v>
      </c>
      <c r="B92" s="13"/>
      <c r="C92" s="13"/>
      <c r="D92" s="13"/>
      <c r="E92" s="157" t="str">
        <f t="shared" si="3"/>
        <v>SIN DATOS</v>
      </c>
      <c r="F92" s="160" t="e">
        <f t="shared" si="4"/>
        <v>#DIV/0!</v>
      </c>
      <c r="G92" s="160" t="e">
        <f t="shared" si="5"/>
        <v>#DIV/0!</v>
      </c>
      <c r="H92" s="180"/>
      <c r="I92" s="61"/>
    </row>
    <row r="93" spans="1:9" x14ac:dyDescent="0.2">
      <c r="A93" s="16">
        <v>16137</v>
      </c>
      <c r="B93" s="191" t="s">
        <v>466</v>
      </c>
      <c r="C93" s="17" t="s">
        <v>14</v>
      </c>
      <c r="D93" s="17" t="s">
        <v>517</v>
      </c>
      <c r="E93" s="157">
        <f t="shared" si="3"/>
        <v>567.66999999999996</v>
      </c>
      <c r="F93" s="160">
        <f t="shared" si="4"/>
        <v>-7.2733806612997109E-2</v>
      </c>
      <c r="G93" s="160">
        <f t="shared" si="5"/>
        <v>7.2733806612997109E-2</v>
      </c>
      <c r="H93" s="178">
        <v>526.38119999999992</v>
      </c>
      <c r="I93" s="168">
        <v>567.66999999999996</v>
      </c>
    </row>
    <row r="94" spans="1:9" x14ac:dyDescent="0.2">
      <c r="A94" s="333" t="s">
        <v>39</v>
      </c>
      <c r="B94" s="23"/>
      <c r="C94" s="23"/>
      <c r="D94" s="23"/>
      <c r="E94" s="157" t="str">
        <f t="shared" si="3"/>
        <v>SIN DATOS</v>
      </c>
      <c r="F94" s="160" t="e">
        <f t="shared" si="4"/>
        <v>#DIV/0!</v>
      </c>
      <c r="G94" s="160" t="e">
        <f t="shared" si="5"/>
        <v>#DIV/0!</v>
      </c>
      <c r="H94" s="183"/>
      <c r="I94" s="67"/>
    </row>
    <row r="95" spans="1:9" x14ac:dyDescent="0.2">
      <c r="A95" s="9" t="s">
        <v>41</v>
      </c>
      <c r="B95" s="37"/>
      <c r="C95" s="10"/>
      <c r="D95" s="10"/>
      <c r="E95" s="157" t="str">
        <f t="shared" si="3"/>
        <v>SIN DATOS</v>
      </c>
      <c r="F95" s="160" t="e">
        <f t="shared" si="4"/>
        <v>#DIV/0!</v>
      </c>
      <c r="G95" s="160" t="e">
        <f t="shared" si="5"/>
        <v>#DIV/0!</v>
      </c>
      <c r="H95" s="182"/>
      <c r="I95" s="64"/>
    </row>
    <row r="96" spans="1:9" x14ac:dyDescent="0.2">
      <c r="A96" s="12" t="s">
        <v>200</v>
      </c>
      <c r="B96" s="13"/>
      <c r="C96" s="15"/>
      <c r="D96" s="15"/>
      <c r="E96" s="157" t="str">
        <f t="shared" si="3"/>
        <v>SIN DATOS</v>
      </c>
      <c r="F96" s="160" t="e">
        <f t="shared" si="4"/>
        <v>#DIV/0!</v>
      </c>
      <c r="G96" s="160" t="e">
        <f t="shared" si="5"/>
        <v>#DIV/0!</v>
      </c>
      <c r="H96" s="180"/>
      <c r="I96" s="61"/>
    </row>
    <row r="97" spans="1:9" x14ac:dyDescent="0.2">
      <c r="A97" s="16">
        <v>16267</v>
      </c>
      <c r="B97" s="191" t="s">
        <v>552</v>
      </c>
      <c r="C97" s="17" t="s">
        <v>14</v>
      </c>
      <c r="D97" s="17" t="s">
        <v>43</v>
      </c>
      <c r="E97" s="157">
        <f t="shared" si="3"/>
        <v>349.58</v>
      </c>
      <c r="F97" s="160">
        <f t="shared" si="4"/>
        <v>-7.3111734080896884E-2</v>
      </c>
      <c r="G97" s="160">
        <f t="shared" si="5"/>
        <v>7.3111734080896884E-2</v>
      </c>
      <c r="H97" s="178">
        <v>324.02160000000003</v>
      </c>
      <c r="I97" s="168">
        <v>349.58</v>
      </c>
    </row>
    <row r="98" spans="1:9" x14ac:dyDescent="0.2">
      <c r="A98" s="16">
        <v>16318</v>
      </c>
      <c r="B98" s="191" t="s">
        <v>299</v>
      </c>
      <c r="C98" s="17" t="s">
        <v>10</v>
      </c>
      <c r="D98" s="17" t="s">
        <v>198</v>
      </c>
      <c r="E98" s="157">
        <f t="shared" si="3"/>
        <v>467.94</v>
      </c>
      <c r="F98" s="160">
        <f t="shared" si="4"/>
        <v>-7.2904218489549866E-2</v>
      </c>
      <c r="G98" s="160">
        <f t="shared" si="5"/>
        <v>7.2904218489549866E-2</v>
      </c>
      <c r="H98" s="178">
        <v>433.82520000000005</v>
      </c>
      <c r="I98" s="168">
        <v>467.94</v>
      </c>
    </row>
    <row r="99" spans="1:9" x14ac:dyDescent="0.2">
      <c r="A99" s="16">
        <v>16629</v>
      </c>
      <c r="B99" s="191" t="s">
        <v>302</v>
      </c>
      <c r="C99" s="17" t="s">
        <v>13</v>
      </c>
      <c r="D99" s="17" t="s">
        <v>44</v>
      </c>
      <c r="E99" s="157">
        <f t="shared" si="3"/>
        <v>1703.52</v>
      </c>
      <c r="F99" s="160">
        <f t="shared" si="4"/>
        <v>-6.740701606086219E-2</v>
      </c>
      <c r="G99" s="160">
        <f t="shared" si="5"/>
        <v>6.740701606086219E-2</v>
      </c>
      <c r="H99" s="178">
        <v>1588.6908000000001</v>
      </c>
      <c r="I99" s="168">
        <v>1703.52</v>
      </c>
    </row>
    <row r="100" spans="1:9" ht="12" thickBot="1" x14ac:dyDescent="0.25">
      <c r="A100" s="192">
        <v>16745</v>
      </c>
      <c r="B100" s="193" t="s">
        <v>303</v>
      </c>
      <c r="C100" s="18" t="s">
        <v>22</v>
      </c>
      <c r="D100" s="18" t="s">
        <v>45</v>
      </c>
      <c r="E100" s="157">
        <f t="shared" si="3"/>
        <v>18032.59</v>
      </c>
      <c r="F100" s="160">
        <f t="shared" si="4"/>
        <v>-6.8411293108754712E-2</v>
      </c>
      <c r="G100" s="160">
        <f t="shared" si="5"/>
        <v>6.8411293108754712E-2</v>
      </c>
      <c r="H100" s="179">
        <v>16798.957200000001</v>
      </c>
      <c r="I100" s="169">
        <v>18032.59</v>
      </c>
    </row>
    <row r="101" spans="1:9" x14ac:dyDescent="0.2">
      <c r="A101" s="16">
        <v>16513</v>
      </c>
      <c r="B101" s="191" t="s">
        <v>306</v>
      </c>
      <c r="C101" s="17" t="s">
        <v>6</v>
      </c>
      <c r="D101" s="17" t="s">
        <v>236</v>
      </c>
      <c r="E101" s="157">
        <f t="shared" si="3"/>
        <v>83.83</v>
      </c>
      <c r="F101" s="160">
        <f t="shared" si="4"/>
        <v>-6.5322676845997796E-2</v>
      </c>
      <c r="G101" s="160">
        <f t="shared" si="5"/>
        <v>6.5322676845997796E-2</v>
      </c>
      <c r="H101" s="178">
        <v>78.353999999999999</v>
      </c>
      <c r="I101" s="168">
        <v>83.83</v>
      </c>
    </row>
    <row r="102" spans="1:9" x14ac:dyDescent="0.2">
      <c r="A102" s="16">
        <v>16268</v>
      </c>
      <c r="B102" s="191" t="s">
        <v>304</v>
      </c>
      <c r="C102" s="17" t="s">
        <v>14</v>
      </c>
      <c r="D102" s="17" t="s">
        <v>46</v>
      </c>
      <c r="E102" s="157">
        <f t="shared" si="3"/>
        <v>349.48</v>
      </c>
      <c r="F102" s="160">
        <f t="shared" si="4"/>
        <v>-6.9941627560947794E-2</v>
      </c>
      <c r="G102" s="160">
        <f t="shared" si="5"/>
        <v>6.9941627560947794E-2</v>
      </c>
      <c r="H102" s="178">
        <v>325.03679999999997</v>
      </c>
      <c r="I102" s="168">
        <v>349.48</v>
      </c>
    </row>
    <row r="103" spans="1:9" x14ac:dyDescent="0.2">
      <c r="A103" s="16">
        <v>16319</v>
      </c>
      <c r="B103" s="191" t="s">
        <v>300</v>
      </c>
      <c r="C103" s="17" t="s">
        <v>10</v>
      </c>
      <c r="D103" s="17" t="s">
        <v>199</v>
      </c>
      <c r="E103" s="157">
        <f t="shared" si="3"/>
        <v>468.1</v>
      </c>
      <c r="F103" s="160">
        <f t="shared" si="4"/>
        <v>-6.9875667592394941E-2</v>
      </c>
      <c r="G103" s="160">
        <f t="shared" si="5"/>
        <v>6.9875667592394941E-2</v>
      </c>
      <c r="H103" s="178">
        <v>435.39119999999997</v>
      </c>
      <c r="I103" s="168">
        <v>468.1</v>
      </c>
    </row>
    <row r="104" spans="1:9" x14ac:dyDescent="0.2">
      <c r="A104" s="16">
        <v>16630</v>
      </c>
      <c r="B104" s="191" t="s">
        <v>305</v>
      </c>
      <c r="C104" s="17" t="s">
        <v>13</v>
      </c>
      <c r="D104" s="17" t="s">
        <v>48</v>
      </c>
      <c r="E104" s="157">
        <f>IFERROR(VLOOKUP(B104,Base01,7,FALSE),"SIN DATOS")</f>
        <v>1706.2</v>
      </c>
      <c r="F104" s="160">
        <f t="shared" si="4"/>
        <v>-6.4187785722658486E-2</v>
      </c>
      <c r="G104" s="160">
        <f t="shared" si="5"/>
        <v>6.4187785722658486E-2</v>
      </c>
      <c r="H104" s="178">
        <v>1596.6828</v>
      </c>
      <c r="I104" s="168">
        <v>1706.2</v>
      </c>
    </row>
    <row r="105" spans="1:9" x14ac:dyDescent="0.2">
      <c r="A105" s="16">
        <v>16744</v>
      </c>
      <c r="B105" s="191" t="s">
        <v>301</v>
      </c>
      <c r="C105" s="17" t="s">
        <v>22</v>
      </c>
      <c r="D105" s="17" t="s">
        <v>237</v>
      </c>
      <c r="E105" s="157">
        <f>IFERROR(VLOOKUP(B105,Base01,7,FALSE),"SIN DATOS")</f>
        <v>18060.8</v>
      </c>
      <c r="F105" s="160">
        <f t="shared" si="4"/>
        <v>-6.5227852586817736E-2</v>
      </c>
      <c r="G105" s="160">
        <f t="shared" si="5"/>
        <v>6.5227852586817736E-2</v>
      </c>
      <c r="H105" s="178">
        <v>16882.732800000002</v>
      </c>
      <c r="I105" s="168">
        <v>18060.8</v>
      </c>
    </row>
    <row r="106" spans="1:9" x14ac:dyDescent="0.2">
      <c r="A106" s="12" t="s">
        <v>201</v>
      </c>
      <c r="B106" s="13"/>
      <c r="C106" s="13"/>
      <c r="D106" s="13"/>
      <c r="E106" s="157" t="str">
        <f>IFERROR(VLOOKUP(B106,Base01,7,FALSE),"SIN DATOS")</f>
        <v>SIN DATOS</v>
      </c>
      <c r="F106" s="160" t="e">
        <f t="shared" si="4"/>
        <v>#DIV/0!</v>
      </c>
      <c r="G106" s="160" t="e">
        <f t="shared" si="5"/>
        <v>#DIV/0!</v>
      </c>
      <c r="H106" s="180"/>
      <c r="I106" s="61"/>
    </row>
    <row r="107" spans="1:9" x14ac:dyDescent="0.2">
      <c r="A107" s="194">
        <v>16310</v>
      </c>
      <c r="B107" s="195" t="s">
        <v>307</v>
      </c>
      <c r="C107" s="45" t="s">
        <v>10</v>
      </c>
      <c r="D107" s="19" t="s">
        <v>49</v>
      </c>
      <c r="E107" s="157">
        <f t="shared" ref="E107:E129" si="6">IFERROR(VLOOKUP(B107,Base01,7,FALSE),"SIN DATOS")</f>
        <v>464.57</v>
      </c>
      <c r="F107" s="160">
        <f t="shared" si="4"/>
        <v>-6.6175172740383537E-2</v>
      </c>
      <c r="G107" s="160">
        <f t="shared" si="5"/>
        <v>6.6175172740383537E-2</v>
      </c>
      <c r="H107" s="184">
        <v>433.827</v>
      </c>
      <c r="I107" s="171">
        <v>464.57</v>
      </c>
    </row>
    <row r="108" spans="1:9" x14ac:dyDescent="0.2">
      <c r="A108" s="16">
        <v>16601</v>
      </c>
      <c r="B108" s="191" t="s">
        <v>308</v>
      </c>
      <c r="C108" s="17" t="s">
        <v>13</v>
      </c>
      <c r="D108" s="17" t="s">
        <v>50</v>
      </c>
      <c r="E108" s="157">
        <f t="shared" si="6"/>
        <v>1690.65</v>
      </c>
      <c r="F108" s="160">
        <f t="shared" si="4"/>
        <v>-6.0308756986957701E-2</v>
      </c>
      <c r="G108" s="160">
        <f t="shared" si="5"/>
        <v>6.0308756986957701E-2</v>
      </c>
      <c r="H108" s="185">
        <v>1588.6890000000001</v>
      </c>
      <c r="I108" s="172">
        <v>1690.65</v>
      </c>
    </row>
    <row r="109" spans="1:9" ht="12" thickBot="1" x14ac:dyDescent="0.25">
      <c r="A109" s="192">
        <v>16701</v>
      </c>
      <c r="B109" s="193" t="s">
        <v>309</v>
      </c>
      <c r="C109" s="18" t="s">
        <v>22</v>
      </c>
      <c r="D109" s="18" t="s">
        <v>51</v>
      </c>
      <c r="E109" s="157">
        <f t="shared" si="6"/>
        <v>17898.490000000002</v>
      </c>
      <c r="F109" s="160">
        <f t="shared" si="4"/>
        <v>-6.1431495059080521E-2</v>
      </c>
      <c r="G109" s="160">
        <f t="shared" si="5"/>
        <v>6.1431495059080521E-2</v>
      </c>
      <c r="H109" s="186">
        <v>16798.958999999999</v>
      </c>
      <c r="I109" s="173">
        <v>17898.490000000002</v>
      </c>
    </row>
    <row r="110" spans="1:9" x14ac:dyDescent="0.2">
      <c r="A110" s="16">
        <v>16250</v>
      </c>
      <c r="B110" s="191" t="s">
        <v>310</v>
      </c>
      <c r="C110" s="25" t="s">
        <v>14</v>
      </c>
      <c r="D110" s="17" t="s">
        <v>53</v>
      </c>
      <c r="E110" s="157">
        <f t="shared" si="6"/>
        <v>354.35</v>
      </c>
      <c r="F110" s="160">
        <f t="shared" si="4"/>
        <v>-8.2728940313249733E-2</v>
      </c>
      <c r="G110" s="160">
        <f t="shared" si="5"/>
        <v>8.2728940313249733E-2</v>
      </c>
      <c r="H110" s="185">
        <v>325.03499999999997</v>
      </c>
      <c r="I110" s="172">
        <v>354.35</v>
      </c>
    </row>
    <row r="111" spans="1:9" x14ac:dyDescent="0.2">
      <c r="A111" s="16">
        <v>16311</v>
      </c>
      <c r="B111" s="191" t="s">
        <v>311</v>
      </c>
      <c r="C111" s="17" t="s">
        <v>10</v>
      </c>
      <c r="D111" s="17" t="s">
        <v>52</v>
      </c>
      <c r="E111" s="157">
        <f t="shared" si="6"/>
        <v>473.95</v>
      </c>
      <c r="F111" s="160">
        <f t="shared" si="4"/>
        <v>-8.135246334001478E-2</v>
      </c>
      <c r="G111" s="160">
        <f t="shared" si="5"/>
        <v>8.135246334001478E-2</v>
      </c>
      <c r="H111" s="185">
        <v>435.39299999999997</v>
      </c>
      <c r="I111" s="172">
        <v>473.95</v>
      </c>
    </row>
    <row r="112" spans="1:9" x14ac:dyDescent="0.2">
      <c r="A112" s="16">
        <v>16602</v>
      </c>
      <c r="B112" s="191" t="s">
        <v>312</v>
      </c>
      <c r="C112" s="17" t="s">
        <v>13</v>
      </c>
      <c r="D112" s="17" t="s">
        <v>54</v>
      </c>
      <c r="E112" s="157">
        <f t="shared" si="6"/>
        <v>1728.33</v>
      </c>
      <c r="F112" s="160">
        <f t="shared" si="4"/>
        <v>-7.6171217302251293E-2</v>
      </c>
      <c r="G112" s="160">
        <f t="shared" si="5"/>
        <v>7.6171217302251293E-2</v>
      </c>
      <c r="H112" s="185">
        <v>1596.681</v>
      </c>
      <c r="I112" s="172">
        <v>1728.33</v>
      </c>
    </row>
    <row r="113" spans="1:9" ht="12" thickBot="1" x14ac:dyDescent="0.25">
      <c r="A113" s="197">
        <v>16703</v>
      </c>
      <c r="B113" s="198" t="s">
        <v>313</v>
      </c>
      <c r="C113" s="46" t="s">
        <v>22</v>
      </c>
      <c r="D113" s="46" t="s">
        <v>55</v>
      </c>
      <c r="E113" s="157">
        <f t="shared" si="6"/>
        <v>18299.64</v>
      </c>
      <c r="F113" s="160">
        <f t="shared" si="4"/>
        <v>-7.7428244490055476E-2</v>
      </c>
      <c r="G113" s="160">
        <f t="shared" si="5"/>
        <v>7.7428244490055476E-2</v>
      </c>
      <c r="H113" s="187">
        <v>16882.731</v>
      </c>
      <c r="I113" s="174">
        <v>18299.64</v>
      </c>
    </row>
    <row r="114" spans="1:9" x14ac:dyDescent="0.2">
      <c r="A114" s="16">
        <v>16633</v>
      </c>
      <c r="B114" s="191" t="s">
        <v>469</v>
      </c>
      <c r="C114" s="17" t="s">
        <v>13</v>
      </c>
      <c r="D114" s="17" t="s">
        <v>470</v>
      </c>
      <c r="E114" s="157">
        <f t="shared" si="6"/>
        <v>1998.89</v>
      </c>
      <c r="F114" s="160">
        <f t="shared" si="4"/>
        <v>-6.6163720865080156E-2</v>
      </c>
      <c r="G114" s="160">
        <f t="shared" si="5"/>
        <v>6.6163720865080156E-2</v>
      </c>
      <c r="H114" s="185">
        <v>1866.636</v>
      </c>
      <c r="I114" s="172">
        <v>1998.89</v>
      </c>
    </row>
    <row r="115" spans="1:9" ht="12" thickBot="1" x14ac:dyDescent="0.25">
      <c r="A115" s="199">
        <v>16746</v>
      </c>
      <c r="B115" s="200" t="s">
        <v>514</v>
      </c>
      <c r="C115" s="46" t="s">
        <v>22</v>
      </c>
      <c r="D115" s="46" t="s">
        <v>478</v>
      </c>
      <c r="E115" s="157">
        <f t="shared" si="6"/>
        <v>23392.3</v>
      </c>
      <c r="F115" s="160">
        <f t="shared" si="4"/>
        <v>-6.057241057954954E-2</v>
      </c>
      <c r="G115" s="160">
        <f t="shared" si="5"/>
        <v>6.057241057954954E-2</v>
      </c>
      <c r="H115" s="188">
        <v>21975.372000000003</v>
      </c>
      <c r="I115" s="175">
        <v>23392.3</v>
      </c>
    </row>
    <row r="116" spans="1:9" x14ac:dyDescent="0.2">
      <c r="A116" s="9" t="s">
        <v>56</v>
      </c>
      <c r="B116" s="37"/>
      <c r="C116" s="10"/>
      <c r="D116" s="10"/>
      <c r="E116" s="157" t="str">
        <f t="shared" si="6"/>
        <v>SIN DATOS</v>
      </c>
      <c r="F116" s="160" t="e">
        <f t="shared" si="4"/>
        <v>#DIV/0!</v>
      </c>
      <c r="G116" s="160" t="e">
        <f t="shared" si="5"/>
        <v>#DIV/0!</v>
      </c>
      <c r="H116" s="182"/>
      <c r="I116" s="64"/>
    </row>
    <row r="117" spans="1:9" x14ac:dyDescent="0.2">
      <c r="A117" s="12" t="s">
        <v>202</v>
      </c>
      <c r="B117" s="13"/>
      <c r="C117" s="13"/>
      <c r="D117" s="13"/>
      <c r="E117" s="157" t="str">
        <f t="shared" si="6"/>
        <v>SIN DATOS</v>
      </c>
      <c r="F117" s="160" t="e">
        <f t="shared" si="4"/>
        <v>#DIV/0!</v>
      </c>
      <c r="G117" s="160" t="e">
        <f t="shared" si="5"/>
        <v>#DIV/0!</v>
      </c>
      <c r="H117" s="180"/>
      <c r="I117" s="61"/>
    </row>
    <row r="118" spans="1:9" x14ac:dyDescent="0.2">
      <c r="A118" s="33">
        <v>610</v>
      </c>
      <c r="B118" s="196" t="s">
        <v>315</v>
      </c>
      <c r="C118" s="34" t="s">
        <v>13</v>
      </c>
      <c r="D118" s="34" t="s">
        <v>59</v>
      </c>
      <c r="E118" s="157">
        <f t="shared" si="6"/>
        <v>1858.44</v>
      </c>
      <c r="F118" s="160">
        <f t="shared" si="4"/>
        <v>-8.1903531994576118E-2</v>
      </c>
      <c r="G118" s="160">
        <f t="shared" si="5"/>
        <v>8.1903531994576118E-2</v>
      </c>
      <c r="H118" s="181">
        <v>1706.2272</v>
      </c>
      <c r="I118" s="170">
        <v>1858.44</v>
      </c>
    </row>
    <row r="119" spans="1:9" ht="12" thickBot="1" x14ac:dyDescent="0.25">
      <c r="A119" s="192">
        <v>611</v>
      </c>
      <c r="B119" s="193" t="s">
        <v>316</v>
      </c>
      <c r="C119" s="18" t="s">
        <v>22</v>
      </c>
      <c r="D119" s="18" t="s">
        <v>57</v>
      </c>
      <c r="E119" s="157">
        <f t="shared" si="6"/>
        <v>19667.57</v>
      </c>
      <c r="F119" s="160">
        <f t="shared" si="4"/>
        <v>-8.2757493681222427E-2</v>
      </c>
      <c r="G119" s="160">
        <f t="shared" si="5"/>
        <v>8.2757493681222427E-2</v>
      </c>
      <c r="H119" s="179">
        <v>18039.931199999999</v>
      </c>
      <c r="I119" s="169">
        <v>19667.57</v>
      </c>
    </row>
    <row r="120" spans="1:9" x14ac:dyDescent="0.2">
      <c r="A120" s="194">
        <v>16300</v>
      </c>
      <c r="B120" s="195" t="s">
        <v>314</v>
      </c>
      <c r="C120" s="19" t="s">
        <v>10</v>
      </c>
      <c r="D120" s="19" t="s">
        <v>60</v>
      </c>
      <c r="E120" s="157">
        <f t="shared" si="6"/>
        <v>552.29999999999995</v>
      </c>
      <c r="F120" s="160">
        <f t="shared" si="4"/>
        <v>-8.310483432916882E-2</v>
      </c>
      <c r="G120" s="160">
        <f t="shared" si="5"/>
        <v>8.310483432916882E-2</v>
      </c>
      <c r="H120" s="189">
        <v>506.40120000000002</v>
      </c>
      <c r="I120" s="176">
        <v>552.29999999999995</v>
      </c>
    </row>
    <row r="121" spans="1:9" x14ac:dyDescent="0.2">
      <c r="A121" s="16">
        <v>612</v>
      </c>
      <c r="B121" s="191" t="s">
        <v>317</v>
      </c>
      <c r="C121" s="17" t="s">
        <v>13</v>
      </c>
      <c r="D121" s="17" t="s">
        <v>61</v>
      </c>
      <c r="E121" s="157">
        <f t="shared" si="6"/>
        <v>2029.72</v>
      </c>
      <c r="F121" s="160">
        <f t="shared" si="4"/>
        <v>-7.8600989299016599E-2</v>
      </c>
      <c r="G121" s="160">
        <f t="shared" si="5"/>
        <v>7.8600989299016599E-2</v>
      </c>
      <c r="H121" s="178">
        <v>1870.182</v>
      </c>
      <c r="I121" s="168">
        <v>2029.72</v>
      </c>
    </row>
    <row r="122" spans="1:9" x14ac:dyDescent="0.2">
      <c r="A122" s="16">
        <v>613</v>
      </c>
      <c r="B122" s="191" t="s">
        <v>318</v>
      </c>
      <c r="C122" s="17" t="s">
        <v>22</v>
      </c>
      <c r="D122" s="17" t="s">
        <v>58</v>
      </c>
      <c r="E122" s="157">
        <f t="shared" si="6"/>
        <v>21475.32</v>
      </c>
      <c r="F122" s="160">
        <f t="shared" si="4"/>
        <v>-7.9409145009247672E-2</v>
      </c>
      <c r="G122" s="160">
        <f t="shared" si="5"/>
        <v>7.9409145009247672E-2</v>
      </c>
      <c r="H122" s="178">
        <v>19769.983200000002</v>
      </c>
      <c r="I122" s="168">
        <v>21475.32</v>
      </c>
    </row>
    <row r="123" spans="1:9" x14ac:dyDescent="0.2">
      <c r="A123" s="12" t="s">
        <v>203</v>
      </c>
      <c r="B123" s="13"/>
      <c r="C123" s="13"/>
      <c r="D123" s="13"/>
      <c r="E123" s="157" t="str">
        <f t="shared" si="6"/>
        <v>SIN DATOS</v>
      </c>
      <c r="F123" s="160" t="e">
        <f t="shared" si="4"/>
        <v>#DIV/0!</v>
      </c>
      <c r="G123" s="160" t="e">
        <f t="shared" si="5"/>
        <v>#DIV/0!</v>
      </c>
      <c r="H123" s="180"/>
      <c r="I123" s="61"/>
    </row>
    <row r="124" spans="1:9" x14ac:dyDescent="0.2">
      <c r="A124" s="16">
        <v>16301</v>
      </c>
      <c r="B124" s="191" t="s">
        <v>319</v>
      </c>
      <c r="C124" s="17" t="s">
        <v>10</v>
      </c>
      <c r="D124" s="17" t="s">
        <v>64</v>
      </c>
      <c r="E124" s="157">
        <f t="shared" si="6"/>
        <v>547</v>
      </c>
      <c r="F124" s="160">
        <f t="shared" si="4"/>
        <v>-8.4468007312614168E-2</v>
      </c>
      <c r="G124" s="160">
        <f t="shared" si="5"/>
        <v>8.4468007312614168E-2</v>
      </c>
      <c r="H124" s="178">
        <v>500.79600000000005</v>
      </c>
      <c r="I124" s="168">
        <v>547</v>
      </c>
    </row>
    <row r="125" spans="1:9" x14ac:dyDescent="0.2">
      <c r="A125" s="16">
        <v>1198</v>
      </c>
      <c r="B125" s="191" t="s">
        <v>320</v>
      </c>
      <c r="C125" s="17" t="s">
        <v>13</v>
      </c>
      <c r="D125" s="17" t="s">
        <v>59</v>
      </c>
      <c r="E125" s="157">
        <f t="shared" si="6"/>
        <v>2010.72</v>
      </c>
      <c r="F125" s="160">
        <f t="shared" si="4"/>
        <v>-7.9954643112914781E-2</v>
      </c>
      <c r="G125" s="160">
        <f t="shared" si="5"/>
        <v>7.9954643112914781E-2</v>
      </c>
      <c r="H125" s="178">
        <v>1849.9536000000001</v>
      </c>
      <c r="I125" s="168">
        <v>2010.72</v>
      </c>
    </row>
    <row r="126" spans="1:9" x14ac:dyDescent="0.2">
      <c r="A126" s="16">
        <v>1199</v>
      </c>
      <c r="B126" s="191" t="s">
        <v>321</v>
      </c>
      <c r="C126" s="17" t="s">
        <v>22</v>
      </c>
      <c r="D126" s="17" t="s">
        <v>57</v>
      </c>
      <c r="E126" s="157">
        <f t="shared" si="6"/>
        <v>21265.87</v>
      </c>
      <c r="F126" s="160">
        <f t="shared" si="4"/>
        <v>-8.0746078105433661E-2</v>
      </c>
      <c r="G126" s="160">
        <f t="shared" si="5"/>
        <v>8.0746078105433661E-2</v>
      </c>
      <c r="H126" s="178">
        <v>19548.734400000001</v>
      </c>
      <c r="I126" s="168">
        <v>21265.87</v>
      </c>
    </row>
    <row r="127" spans="1:9" x14ac:dyDescent="0.2">
      <c r="A127" s="12" t="s">
        <v>69</v>
      </c>
      <c r="B127" s="13"/>
      <c r="C127" s="13"/>
      <c r="D127" s="13"/>
      <c r="E127" s="157" t="str">
        <f t="shared" si="6"/>
        <v>SIN DATOS</v>
      </c>
      <c r="F127" s="160" t="e">
        <f t="shared" si="4"/>
        <v>#DIV/0!</v>
      </c>
      <c r="G127" s="160" t="e">
        <f t="shared" si="5"/>
        <v>#DIV/0!</v>
      </c>
      <c r="H127" s="180"/>
      <c r="I127" s="61"/>
    </row>
    <row r="128" spans="1:9" x14ac:dyDescent="0.2">
      <c r="A128" s="194">
        <v>16603</v>
      </c>
      <c r="B128" s="195" t="s">
        <v>322</v>
      </c>
      <c r="C128" s="19" t="s">
        <v>13</v>
      </c>
      <c r="D128" s="19" t="s">
        <v>59</v>
      </c>
      <c r="E128" s="157">
        <f t="shared" si="6"/>
        <v>2336.77</v>
      </c>
      <c r="F128" s="160">
        <f t="shared" si="4"/>
        <v>-8.0421436427205006E-2</v>
      </c>
      <c r="G128" s="160">
        <f t="shared" si="5"/>
        <v>8.0421436427205006E-2</v>
      </c>
      <c r="H128" s="189">
        <v>2148.8436000000002</v>
      </c>
      <c r="I128" s="176">
        <v>2336.77</v>
      </c>
    </row>
    <row r="129" spans="1:9" ht="12" thickBot="1" x14ac:dyDescent="0.25">
      <c r="A129" s="201">
        <v>16702</v>
      </c>
      <c r="B129" s="202" t="s">
        <v>323</v>
      </c>
      <c r="C129" s="26" t="s">
        <v>22</v>
      </c>
      <c r="D129" s="26" t="s">
        <v>57</v>
      </c>
      <c r="E129" s="157">
        <f t="shared" si="6"/>
        <v>24698.58</v>
      </c>
      <c r="F129" s="160">
        <f t="shared" si="4"/>
        <v>-8.1099350650928215E-2</v>
      </c>
      <c r="G129" s="160">
        <f t="shared" si="5"/>
        <v>8.1099350650928215E-2</v>
      </c>
      <c r="H129" s="190">
        <v>22695.5412</v>
      </c>
      <c r="I129" s="177">
        <v>24698.58</v>
      </c>
    </row>
  </sheetData>
  <mergeCells count="3">
    <mergeCell ref="A72:D72"/>
    <mergeCell ref="A8:D8"/>
    <mergeCell ref="A9:D9"/>
  </mergeCells>
  <printOptions horizontalCentered="1"/>
  <pageMargins left="0.70866141732283472" right="0.31496062992125984" top="0.15748031496062992" bottom="0.98425196850393704" header="0.31496062992125984" footer="0.31496062992125984"/>
  <pageSetup scale="89" fitToHeight="0" orientation="portrait" r:id="rId1"/>
  <rowBreaks count="1" manualBreakCount="1">
    <brk id="69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44"/>
  <sheetViews>
    <sheetView workbookViewId="0"/>
  </sheetViews>
  <sheetFormatPr baseColWidth="10" defaultRowHeight="11.25" x14ac:dyDescent="0.2"/>
  <cols>
    <col min="1" max="1" width="9.7109375" style="2" customWidth="1"/>
    <col min="2" max="2" width="14.7109375" style="2" customWidth="1"/>
    <col min="3" max="3" width="13.7109375" style="2" customWidth="1"/>
    <col min="4" max="4" width="33.7109375" style="2" customWidth="1"/>
    <col min="5" max="8" width="12.7109375" style="2" hidden="1" customWidth="1"/>
    <col min="9" max="9" width="13.7109375" style="2" customWidth="1"/>
    <col min="10" max="10" width="5.7109375" style="2" customWidth="1"/>
    <col min="11" max="11" width="9.7109375" style="2" customWidth="1"/>
    <col min="12" max="12" width="14.7109375" style="2" customWidth="1"/>
    <col min="13" max="13" width="13.7109375" style="2" customWidth="1"/>
    <col min="14" max="14" width="33.7109375" style="2" customWidth="1"/>
    <col min="15" max="18" width="12.7109375" style="2" hidden="1" customWidth="1"/>
    <col min="19" max="19" width="13.7109375" style="2" customWidth="1"/>
    <col min="20" max="16384" width="11.42578125" style="2"/>
  </cols>
  <sheetData>
    <row r="1" spans="1:20" ht="19.5" thickBot="1" x14ac:dyDescent="0.35">
      <c r="A1" s="136" t="e">
        <f>#REF!</f>
        <v>#REF!</v>
      </c>
      <c r="B1" s="134"/>
      <c r="C1" s="135"/>
      <c r="D1" s="134"/>
      <c r="E1" s="134"/>
      <c r="F1" s="134"/>
      <c r="G1" s="134"/>
      <c r="H1" s="134"/>
      <c r="I1" s="342" t="s">
        <v>324</v>
      </c>
    </row>
    <row r="2" spans="1:20" x14ac:dyDescent="0.2">
      <c r="A2" s="3" t="s">
        <v>0</v>
      </c>
      <c r="B2" s="4"/>
      <c r="C2" s="4" t="s">
        <v>1</v>
      </c>
      <c r="D2" s="4" t="s">
        <v>2</v>
      </c>
      <c r="E2" s="4"/>
      <c r="F2" s="4"/>
      <c r="G2" s="4"/>
      <c r="H2" s="4"/>
      <c r="I2" s="27" t="s">
        <v>208</v>
      </c>
      <c r="J2" s="1"/>
    </row>
    <row r="3" spans="1:20" x14ac:dyDescent="0.2">
      <c r="A3" s="22" t="s">
        <v>39</v>
      </c>
      <c r="B3" s="35"/>
      <c r="C3" s="23"/>
      <c r="D3" s="23"/>
      <c r="E3" s="23"/>
      <c r="F3" s="23"/>
      <c r="G3" s="23"/>
      <c r="H3" s="23"/>
      <c r="I3" s="24"/>
    </row>
    <row r="4" spans="1:20" x14ac:dyDescent="0.2">
      <c r="A4" s="9" t="s">
        <v>73</v>
      </c>
      <c r="B4" s="37"/>
      <c r="C4" s="10"/>
      <c r="D4" s="10"/>
      <c r="E4" s="10"/>
      <c r="F4" s="10"/>
      <c r="G4" s="10"/>
      <c r="H4" s="10"/>
      <c r="I4" s="21"/>
    </row>
    <row r="5" spans="1:20" x14ac:dyDescent="0.2">
      <c r="A5" s="12" t="s">
        <v>204</v>
      </c>
      <c r="B5" s="13"/>
      <c r="C5" s="13"/>
      <c r="D5" s="13"/>
      <c r="E5" s="13"/>
      <c r="F5" s="13"/>
      <c r="G5" s="13"/>
      <c r="H5" s="13" t="s">
        <v>2501</v>
      </c>
      <c r="I5" s="20"/>
      <c r="T5" s="119"/>
    </row>
    <row r="6" spans="1:20" x14ac:dyDescent="0.2">
      <c r="A6" s="16">
        <v>1790</v>
      </c>
      <c r="B6" s="191" t="s">
        <v>326</v>
      </c>
      <c r="C6" s="17" t="s">
        <v>13</v>
      </c>
      <c r="D6" s="17" t="s">
        <v>59</v>
      </c>
      <c r="E6" s="157">
        <f t="shared" ref="E6:E69" si="0">IFERROR(VLOOKUP(B6,Base01,7,FALSE),"SIN DATOS")</f>
        <v>2181.56</v>
      </c>
      <c r="F6" s="160">
        <f>(H6/I6)-1</f>
        <v>-8.6428794073965309E-2</v>
      </c>
      <c r="G6" s="160">
        <f>IFERROR(ABS(F6),"")</f>
        <v>8.6428794073965309E-2</v>
      </c>
      <c r="H6" s="178">
        <v>1993.0104000000001</v>
      </c>
      <c r="I6" s="168">
        <v>2181.56</v>
      </c>
      <c r="J6" s="119"/>
    </row>
    <row r="7" spans="1:20" x14ac:dyDescent="0.2">
      <c r="A7" s="16">
        <v>1789</v>
      </c>
      <c r="B7" s="191" t="s">
        <v>327</v>
      </c>
      <c r="C7" s="17" t="s">
        <v>22</v>
      </c>
      <c r="D7" s="17" t="s">
        <v>57</v>
      </c>
      <c r="E7" s="157">
        <f t="shared" si="0"/>
        <v>23035.22</v>
      </c>
      <c r="F7" s="160">
        <f t="shared" ref="F7:F70" si="1">(H7/I7)-1</f>
        <v>-8.7238758735536326E-2</v>
      </c>
      <c r="G7" s="160">
        <f t="shared" ref="G7:G70" si="2">IFERROR(ABS(F7),"")</f>
        <v>8.7238758735536326E-2</v>
      </c>
      <c r="H7" s="178">
        <v>21025.655999999999</v>
      </c>
      <c r="I7" s="168">
        <v>23035.22</v>
      </c>
    </row>
    <row r="8" spans="1:20" x14ac:dyDescent="0.2">
      <c r="A8" s="47" t="s">
        <v>489</v>
      </c>
      <c r="B8" s="48"/>
      <c r="C8" s="49"/>
      <c r="D8" s="49"/>
      <c r="E8" s="157" t="str">
        <f t="shared" si="0"/>
        <v>SIN DATOS</v>
      </c>
      <c r="F8" s="160" t="e">
        <f t="shared" si="1"/>
        <v>#DIV/0!</v>
      </c>
      <c r="G8" s="160" t="str">
        <f t="shared" si="2"/>
        <v/>
      </c>
      <c r="H8" s="216"/>
      <c r="I8" s="86"/>
    </row>
    <row r="9" spans="1:20" x14ac:dyDescent="0.2">
      <c r="A9" s="115">
        <v>16849</v>
      </c>
      <c r="B9" s="125" t="s">
        <v>518</v>
      </c>
      <c r="C9" s="17" t="s">
        <v>22</v>
      </c>
      <c r="D9" s="17" t="s">
        <v>490</v>
      </c>
      <c r="E9" s="157">
        <f t="shared" si="0"/>
        <v>27427.96</v>
      </c>
      <c r="F9" s="160">
        <f t="shared" si="1"/>
        <v>-1</v>
      </c>
      <c r="G9" s="160">
        <f t="shared" si="2"/>
        <v>1</v>
      </c>
      <c r="H9" s="185"/>
      <c r="I9" s="172">
        <v>27427.96</v>
      </c>
    </row>
    <row r="10" spans="1:20" x14ac:dyDescent="0.2">
      <c r="A10" s="12" t="s">
        <v>75</v>
      </c>
      <c r="B10" s="13"/>
      <c r="C10" s="13"/>
      <c r="D10" s="13"/>
      <c r="E10" s="157" t="str">
        <f t="shared" si="0"/>
        <v>SIN DATOS</v>
      </c>
      <c r="F10" s="160" t="e">
        <f t="shared" si="1"/>
        <v>#DIV/0!</v>
      </c>
      <c r="G10" s="160" t="str">
        <f t="shared" si="2"/>
        <v/>
      </c>
      <c r="H10" s="180"/>
      <c r="I10" s="61"/>
    </row>
    <row r="11" spans="1:20" x14ac:dyDescent="0.2">
      <c r="A11" s="16">
        <v>433</v>
      </c>
      <c r="B11" s="191" t="s">
        <v>328</v>
      </c>
      <c r="C11" s="17" t="s">
        <v>13</v>
      </c>
      <c r="D11" s="17" t="s">
        <v>76</v>
      </c>
      <c r="E11" s="157">
        <f t="shared" si="0"/>
        <v>4136.51</v>
      </c>
      <c r="F11" s="160">
        <f t="shared" si="1"/>
        <v>-7.5888804813719624E-2</v>
      </c>
      <c r="G11" s="160">
        <f t="shared" si="2"/>
        <v>7.5888804813719624E-2</v>
      </c>
      <c r="H11" s="178">
        <v>3822.5952000000007</v>
      </c>
      <c r="I11" s="168">
        <v>4136.51</v>
      </c>
    </row>
    <row r="12" spans="1:20" x14ac:dyDescent="0.2">
      <c r="A12" s="16">
        <v>434</v>
      </c>
      <c r="B12" s="191" t="s">
        <v>329</v>
      </c>
      <c r="C12" s="17" t="s">
        <v>22</v>
      </c>
      <c r="D12" s="17" t="s">
        <v>77</v>
      </c>
      <c r="E12" s="157">
        <f t="shared" si="0"/>
        <v>43642.54</v>
      </c>
      <c r="F12" s="160">
        <f t="shared" si="1"/>
        <v>-7.6281802113259078E-2</v>
      </c>
      <c r="G12" s="160">
        <f t="shared" si="2"/>
        <v>7.6281802113259078E-2</v>
      </c>
      <c r="H12" s="178">
        <v>40313.408400000008</v>
      </c>
      <c r="I12" s="168">
        <v>43642.54</v>
      </c>
    </row>
    <row r="13" spans="1:20" x14ac:dyDescent="0.2">
      <c r="A13" s="79" t="s">
        <v>485</v>
      </c>
      <c r="B13" s="80"/>
      <c r="C13" s="39"/>
      <c r="D13" s="39"/>
      <c r="E13" s="157" t="str">
        <f t="shared" si="0"/>
        <v>SIN DATOS</v>
      </c>
      <c r="F13" s="160" t="e">
        <f t="shared" si="1"/>
        <v>#DIV/0!</v>
      </c>
      <c r="G13" s="160" t="str">
        <f t="shared" si="2"/>
        <v/>
      </c>
      <c r="H13" s="217"/>
      <c r="I13" s="87"/>
    </row>
    <row r="14" spans="1:20" x14ac:dyDescent="0.2">
      <c r="A14" s="54">
        <v>16748</v>
      </c>
      <c r="B14" s="81" t="s">
        <v>519</v>
      </c>
      <c r="C14" s="17" t="s">
        <v>22</v>
      </c>
      <c r="D14" s="17" t="s">
        <v>486</v>
      </c>
      <c r="E14" s="157">
        <f t="shared" si="0"/>
        <v>35375.33</v>
      </c>
      <c r="F14" s="160">
        <f t="shared" si="1"/>
        <v>-1</v>
      </c>
      <c r="G14" s="160">
        <f t="shared" si="2"/>
        <v>1</v>
      </c>
      <c r="H14" s="185"/>
      <c r="I14" s="172">
        <v>35375.33</v>
      </c>
    </row>
    <row r="15" spans="1:20" x14ac:dyDescent="0.2">
      <c r="A15" s="12" t="s">
        <v>476</v>
      </c>
      <c r="B15" s="39"/>
      <c r="C15" s="39"/>
      <c r="D15" s="39"/>
      <c r="E15" s="157" t="str">
        <f t="shared" si="0"/>
        <v>SIN DATOS</v>
      </c>
      <c r="F15" s="160" t="e">
        <f t="shared" si="1"/>
        <v>#DIV/0!</v>
      </c>
      <c r="G15" s="160" t="str">
        <f t="shared" si="2"/>
        <v/>
      </c>
      <c r="H15" s="218"/>
      <c r="I15" s="88"/>
    </row>
    <row r="16" spans="1:20" x14ac:dyDescent="0.2">
      <c r="A16" s="106">
        <v>16172</v>
      </c>
      <c r="B16" s="238" t="s">
        <v>520</v>
      </c>
      <c r="C16" s="82" t="s">
        <v>22</v>
      </c>
      <c r="D16" s="82" t="s">
        <v>57</v>
      </c>
      <c r="E16" s="157">
        <f t="shared" si="0"/>
        <v>23851.86</v>
      </c>
      <c r="F16" s="160">
        <f t="shared" si="1"/>
        <v>-8.9312531601309142E-2</v>
      </c>
      <c r="G16" s="160">
        <f t="shared" si="2"/>
        <v>8.9312531601309142E-2</v>
      </c>
      <c r="H16" s="219">
        <v>21721.59</v>
      </c>
      <c r="I16" s="214">
        <v>23851.86</v>
      </c>
    </row>
    <row r="17" spans="1:9" x14ac:dyDescent="0.2">
      <c r="A17" s="12" t="s">
        <v>78</v>
      </c>
      <c r="B17" s="13"/>
      <c r="C17" s="13"/>
      <c r="D17" s="13"/>
      <c r="E17" s="157" t="str">
        <f t="shared" si="0"/>
        <v>SIN DATOS</v>
      </c>
      <c r="F17" s="160" t="e">
        <f t="shared" si="1"/>
        <v>#DIV/0!</v>
      </c>
      <c r="G17" s="160" t="str">
        <f t="shared" si="2"/>
        <v/>
      </c>
      <c r="H17" s="180"/>
      <c r="I17" s="61"/>
    </row>
    <row r="18" spans="1:9" x14ac:dyDescent="0.2">
      <c r="A18" s="16">
        <v>16600</v>
      </c>
      <c r="B18" s="191" t="s">
        <v>330</v>
      </c>
      <c r="C18" s="17" t="s">
        <v>13</v>
      </c>
      <c r="D18" s="17" t="s">
        <v>79</v>
      </c>
      <c r="E18" s="157">
        <f t="shared" si="0"/>
        <v>3725.15</v>
      </c>
      <c r="F18" s="160">
        <f t="shared" si="1"/>
        <v>-9.6979504181039622E-2</v>
      </c>
      <c r="G18" s="160">
        <f t="shared" si="2"/>
        <v>9.6979504181039622E-2</v>
      </c>
      <c r="H18" s="178">
        <v>3363.8868000000002</v>
      </c>
      <c r="I18" s="168">
        <v>3725.15</v>
      </c>
    </row>
    <row r="19" spans="1:9" x14ac:dyDescent="0.2">
      <c r="A19" s="16">
        <v>16700</v>
      </c>
      <c r="B19" s="191" t="s">
        <v>487</v>
      </c>
      <c r="C19" s="17" t="s">
        <v>22</v>
      </c>
      <c r="D19" s="17" t="s">
        <v>80</v>
      </c>
      <c r="E19" s="157">
        <f t="shared" si="0"/>
        <v>38760.620000000003</v>
      </c>
      <c r="F19" s="160">
        <f t="shared" si="1"/>
        <v>-9.6731538350005808E-2</v>
      </c>
      <c r="G19" s="160">
        <f t="shared" si="2"/>
        <v>9.6731538350005808E-2</v>
      </c>
      <c r="H19" s="178">
        <v>35011.245600000002</v>
      </c>
      <c r="I19" s="168">
        <v>38760.620000000003</v>
      </c>
    </row>
    <row r="20" spans="1:9" x14ac:dyDescent="0.2">
      <c r="A20" s="22" t="s">
        <v>65</v>
      </c>
      <c r="B20" s="35"/>
      <c r="C20" s="23"/>
      <c r="D20" s="23"/>
      <c r="E20" s="157" t="str">
        <f t="shared" si="0"/>
        <v>SIN DATOS</v>
      </c>
      <c r="F20" s="160" t="e">
        <f t="shared" si="1"/>
        <v>#DIV/0!</v>
      </c>
      <c r="G20" s="160" t="str">
        <f t="shared" si="2"/>
        <v/>
      </c>
      <c r="H20" s="183"/>
      <c r="I20" s="67"/>
    </row>
    <row r="21" spans="1:9" x14ac:dyDescent="0.2">
      <c r="A21" s="12" t="s">
        <v>81</v>
      </c>
      <c r="B21" s="13"/>
      <c r="C21" s="13"/>
      <c r="D21" s="13"/>
      <c r="E21" s="157" t="str">
        <f t="shared" si="0"/>
        <v>SIN DATOS</v>
      </c>
      <c r="F21" s="160" t="e">
        <f t="shared" si="1"/>
        <v>#DIV/0!</v>
      </c>
      <c r="G21" s="160" t="str">
        <f t="shared" si="2"/>
        <v/>
      </c>
      <c r="H21" s="180"/>
      <c r="I21" s="61"/>
    </row>
    <row r="22" spans="1:9" x14ac:dyDescent="0.2">
      <c r="A22" s="16">
        <v>52</v>
      </c>
      <c r="B22" s="191" t="s">
        <v>331</v>
      </c>
      <c r="C22" s="17" t="s">
        <v>6</v>
      </c>
      <c r="D22" s="17" t="s">
        <v>82</v>
      </c>
      <c r="E22" s="157">
        <f t="shared" si="0"/>
        <v>91.39</v>
      </c>
      <c r="F22" s="160">
        <f t="shared" si="1"/>
        <v>-6.0509902615165645E-2</v>
      </c>
      <c r="G22" s="160">
        <f t="shared" si="2"/>
        <v>6.0509902615165645E-2</v>
      </c>
      <c r="H22" s="178">
        <v>85.860000000000014</v>
      </c>
      <c r="I22" s="168">
        <v>91.39</v>
      </c>
    </row>
    <row r="23" spans="1:9" x14ac:dyDescent="0.2">
      <c r="A23" s="16">
        <v>129</v>
      </c>
      <c r="B23" s="191" t="s">
        <v>332</v>
      </c>
      <c r="C23" s="17" t="s">
        <v>6</v>
      </c>
      <c r="D23" s="17" t="s">
        <v>84</v>
      </c>
      <c r="E23" s="157">
        <f t="shared" si="0"/>
        <v>97.46</v>
      </c>
      <c r="F23" s="160">
        <f t="shared" si="1"/>
        <v>-6.0402216293864108E-2</v>
      </c>
      <c r="G23" s="160">
        <f t="shared" si="2"/>
        <v>6.0402216293864108E-2</v>
      </c>
      <c r="H23" s="178">
        <v>91.5732</v>
      </c>
      <c r="I23" s="168">
        <v>97.46</v>
      </c>
    </row>
    <row r="24" spans="1:9" x14ac:dyDescent="0.2">
      <c r="A24" s="16">
        <v>130</v>
      </c>
      <c r="B24" s="191" t="s">
        <v>333</v>
      </c>
      <c r="C24" s="17" t="s">
        <v>10</v>
      </c>
      <c r="D24" s="17" t="s">
        <v>86</v>
      </c>
      <c r="E24" s="157">
        <f t="shared" si="0"/>
        <v>500.51</v>
      </c>
      <c r="F24" s="160">
        <f t="shared" si="1"/>
        <v>-6.4486224051467533E-2</v>
      </c>
      <c r="G24" s="160">
        <f t="shared" si="2"/>
        <v>6.4486224051467533E-2</v>
      </c>
      <c r="H24" s="178">
        <v>468.23399999999998</v>
      </c>
      <c r="I24" s="168">
        <v>500.51</v>
      </c>
    </row>
    <row r="25" spans="1:9" x14ac:dyDescent="0.2">
      <c r="A25" s="16">
        <v>131</v>
      </c>
      <c r="B25" s="191" t="s">
        <v>334</v>
      </c>
      <c r="C25" s="17" t="s">
        <v>13</v>
      </c>
      <c r="D25" s="17" t="s">
        <v>88</v>
      </c>
      <c r="E25" s="157">
        <f t="shared" si="0"/>
        <v>1830.3</v>
      </c>
      <c r="F25" s="160">
        <f t="shared" si="1"/>
        <v>-5.8901819373872955E-2</v>
      </c>
      <c r="G25" s="160">
        <f t="shared" si="2"/>
        <v>5.8901819373872955E-2</v>
      </c>
      <c r="H25" s="178">
        <v>1722.4920000000002</v>
      </c>
      <c r="I25" s="168">
        <v>1830.3</v>
      </c>
    </row>
    <row r="26" spans="1:9" ht="12" thickBot="1" x14ac:dyDescent="0.25">
      <c r="A26" s="192">
        <v>132</v>
      </c>
      <c r="B26" s="193" t="s">
        <v>335</v>
      </c>
      <c r="C26" s="18" t="s">
        <v>22</v>
      </c>
      <c r="D26" s="18" t="s">
        <v>90</v>
      </c>
      <c r="E26" s="157">
        <f t="shared" si="0"/>
        <v>19372.91</v>
      </c>
      <c r="F26" s="160">
        <f t="shared" si="1"/>
        <v>-5.9893903393966053E-2</v>
      </c>
      <c r="G26" s="160">
        <f t="shared" si="2"/>
        <v>5.9893903393966053E-2</v>
      </c>
      <c r="H26" s="179">
        <v>18212.590800000002</v>
      </c>
      <c r="I26" s="169">
        <v>19372.91</v>
      </c>
    </row>
    <row r="27" spans="1:9" x14ac:dyDescent="0.2">
      <c r="A27" s="194">
        <v>49</v>
      </c>
      <c r="B27" s="195" t="s">
        <v>336</v>
      </c>
      <c r="C27" s="19" t="s">
        <v>6</v>
      </c>
      <c r="D27" s="19" t="s">
        <v>92</v>
      </c>
      <c r="E27" s="157">
        <f t="shared" si="0"/>
        <v>91.64</v>
      </c>
      <c r="F27" s="160">
        <f t="shared" si="1"/>
        <v>-5.5648188563945933E-2</v>
      </c>
      <c r="G27" s="160">
        <f t="shared" si="2"/>
        <v>5.5648188563945933E-2</v>
      </c>
      <c r="H27" s="189">
        <v>86.540399999999991</v>
      </c>
      <c r="I27" s="176">
        <v>91.64</v>
      </c>
    </row>
    <row r="28" spans="1:9" x14ac:dyDescent="0.2">
      <c r="A28" s="16">
        <v>133</v>
      </c>
      <c r="B28" s="191" t="s">
        <v>337</v>
      </c>
      <c r="C28" s="17" t="s">
        <v>6</v>
      </c>
      <c r="D28" s="17" t="s">
        <v>94</v>
      </c>
      <c r="E28" s="157">
        <f t="shared" si="0"/>
        <v>98.77</v>
      </c>
      <c r="F28" s="160">
        <f t="shared" si="1"/>
        <v>-5.7883972866254796E-2</v>
      </c>
      <c r="G28" s="160">
        <f t="shared" si="2"/>
        <v>5.7883972866254796E-2</v>
      </c>
      <c r="H28" s="178">
        <v>93.052800000000005</v>
      </c>
      <c r="I28" s="168">
        <v>98.77</v>
      </c>
    </row>
    <row r="29" spans="1:9" x14ac:dyDescent="0.2">
      <c r="A29" s="16">
        <v>134</v>
      </c>
      <c r="B29" s="191" t="s">
        <v>338</v>
      </c>
      <c r="C29" s="17" t="s">
        <v>10</v>
      </c>
      <c r="D29" s="17" t="s">
        <v>96</v>
      </c>
      <c r="E29" s="157">
        <f t="shared" si="0"/>
        <v>499.52</v>
      </c>
      <c r="F29" s="160">
        <f t="shared" si="1"/>
        <v>-6.1270019218449545E-2</v>
      </c>
      <c r="G29" s="160">
        <f t="shared" si="2"/>
        <v>6.1270019218449545E-2</v>
      </c>
      <c r="H29" s="178">
        <v>468.91440000000006</v>
      </c>
      <c r="I29" s="168">
        <v>499.52</v>
      </c>
    </row>
    <row r="30" spans="1:9" x14ac:dyDescent="0.2">
      <c r="A30" s="16">
        <v>135</v>
      </c>
      <c r="B30" s="191" t="s">
        <v>339</v>
      </c>
      <c r="C30" s="17" t="s">
        <v>13</v>
      </c>
      <c r="D30" s="17" t="s">
        <v>97</v>
      </c>
      <c r="E30" s="157">
        <f t="shared" si="0"/>
        <v>1825.26</v>
      </c>
      <c r="F30" s="160">
        <f t="shared" si="1"/>
        <v>-5.5593175766740055E-2</v>
      </c>
      <c r="G30" s="160">
        <f t="shared" si="2"/>
        <v>5.5593175766740055E-2</v>
      </c>
      <c r="H30" s="178">
        <v>1723.788</v>
      </c>
      <c r="I30" s="168">
        <v>1825.26</v>
      </c>
    </row>
    <row r="31" spans="1:9" ht="12" thickBot="1" x14ac:dyDescent="0.25">
      <c r="A31" s="192">
        <v>136</v>
      </c>
      <c r="B31" s="193" t="s">
        <v>340</v>
      </c>
      <c r="C31" s="18" t="s">
        <v>22</v>
      </c>
      <c r="D31" s="18" t="s">
        <v>98</v>
      </c>
      <c r="E31" s="157">
        <f t="shared" si="0"/>
        <v>19318.41</v>
      </c>
      <c r="F31" s="160">
        <f t="shared" si="1"/>
        <v>-5.6598819468061778E-2</v>
      </c>
      <c r="G31" s="160">
        <f t="shared" si="2"/>
        <v>5.6598819468061778E-2</v>
      </c>
      <c r="H31" s="179">
        <v>18225.0108</v>
      </c>
      <c r="I31" s="169">
        <v>19318.41</v>
      </c>
    </row>
    <row r="32" spans="1:9" x14ac:dyDescent="0.2">
      <c r="A32" s="194">
        <v>139</v>
      </c>
      <c r="B32" s="195" t="s">
        <v>341</v>
      </c>
      <c r="C32" s="19" t="s">
        <v>6</v>
      </c>
      <c r="D32" s="19" t="s">
        <v>100</v>
      </c>
      <c r="E32" s="157">
        <f t="shared" si="0"/>
        <v>96.79</v>
      </c>
      <c r="F32" s="160">
        <f t="shared" si="1"/>
        <v>-5.4121293522058189E-2</v>
      </c>
      <c r="G32" s="160">
        <f t="shared" si="2"/>
        <v>5.4121293522058189E-2</v>
      </c>
      <c r="H32" s="189">
        <v>91.551599999999993</v>
      </c>
      <c r="I32" s="176">
        <v>96.79</v>
      </c>
    </row>
    <row r="33" spans="1:9" x14ac:dyDescent="0.2">
      <c r="A33" s="16">
        <v>140</v>
      </c>
      <c r="B33" s="191" t="s">
        <v>342</v>
      </c>
      <c r="C33" s="17" t="s">
        <v>10</v>
      </c>
      <c r="D33" s="17" t="s">
        <v>101</v>
      </c>
      <c r="E33" s="157">
        <f t="shared" si="0"/>
        <v>504.04</v>
      </c>
      <c r="F33" s="160">
        <f t="shared" si="1"/>
        <v>-5.8481866518530268E-2</v>
      </c>
      <c r="G33" s="160">
        <f t="shared" si="2"/>
        <v>5.8481866518530268E-2</v>
      </c>
      <c r="H33" s="178">
        <v>474.56280000000004</v>
      </c>
      <c r="I33" s="168">
        <v>504.04</v>
      </c>
    </row>
    <row r="34" spans="1:9" x14ac:dyDescent="0.2">
      <c r="A34" s="16">
        <v>141</v>
      </c>
      <c r="B34" s="191" t="s">
        <v>343</v>
      </c>
      <c r="C34" s="17" t="s">
        <v>13</v>
      </c>
      <c r="D34" s="17" t="s">
        <v>102</v>
      </c>
      <c r="E34" s="157">
        <f t="shared" si="0"/>
        <v>1819.8</v>
      </c>
      <c r="F34" s="160">
        <f t="shared" si="1"/>
        <v>-5.2237388724035605E-2</v>
      </c>
      <c r="G34" s="160">
        <f t="shared" si="2"/>
        <v>5.2237388724035605E-2</v>
      </c>
      <c r="H34" s="178">
        <v>1724.7384</v>
      </c>
      <c r="I34" s="168">
        <v>1819.8</v>
      </c>
    </row>
    <row r="35" spans="1:9" x14ac:dyDescent="0.2">
      <c r="A35" s="16">
        <v>142</v>
      </c>
      <c r="B35" s="191" t="s">
        <v>344</v>
      </c>
      <c r="C35" s="17" t="s">
        <v>22</v>
      </c>
      <c r="D35" s="17" t="s">
        <v>104</v>
      </c>
      <c r="E35" s="157">
        <f t="shared" si="0"/>
        <v>19259.939999999999</v>
      </c>
      <c r="F35" s="160">
        <f t="shared" si="1"/>
        <v>-5.3258732893248784E-2</v>
      </c>
      <c r="G35" s="160">
        <f t="shared" si="2"/>
        <v>5.3258732893248784E-2</v>
      </c>
      <c r="H35" s="178">
        <v>18234.18</v>
      </c>
      <c r="I35" s="168">
        <v>19259.939999999999</v>
      </c>
    </row>
    <row r="36" spans="1:9" x14ac:dyDescent="0.2">
      <c r="A36" s="12" t="s">
        <v>105</v>
      </c>
      <c r="B36" s="13"/>
      <c r="C36" s="13"/>
      <c r="D36" s="13"/>
      <c r="E36" s="157" t="str">
        <f t="shared" si="0"/>
        <v>SIN DATOS</v>
      </c>
      <c r="F36" s="160" t="e">
        <f t="shared" si="1"/>
        <v>#DIV/0!</v>
      </c>
      <c r="G36" s="160" t="str">
        <f t="shared" si="2"/>
        <v/>
      </c>
      <c r="H36" s="180"/>
      <c r="I36" s="61"/>
    </row>
    <row r="37" spans="1:9" x14ac:dyDescent="0.2">
      <c r="A37" s="16">
        <v>83</v>
      </c>
      <c r="B37" s="191" t="s">
        <v>345</v>
      </c>
      <c r="C37" s="17" t="s">
        <v>13</v>
      </c>
      <c r="D37" s="17" t="s">
        <v>88</v>
      </c>
      <c r="E37" s="157">
        <f t="shared" si="0"/>
        <v>1893.43</v>
      </c>
      <c r="F37" s="160">
        <f t="shared" si="1"/>
        <v>-5.9118953433715649E-2</v>
      </c>
      <c r="G37" s="160">
        <f t="shared" si="2"/>
        <v>5.9118953433715649E-2</v>
      </c>
      <c r="H37" s="178">
        <v>1781.4923999999999</v>
      </c>
      <c r="I37" s="168">
        <v>1893.43</v>
      </c>
    </row>
    <row r="38" spans="1:9" ht="12" thickBot="1" x14ac:dyDescent="0.25">
      <c r="A38" s="192">
        <v>89</v>
      </c>
      <c r="B38" s="193" t="s">
        <v>346</v>
      </c>
      <c r="C38" s="18" t="s">
        <v>22</v>
      </c>
      <c r="D38" s="18" t="s">
        <v>90</v>
      </c>
      <c r="E38" s="157">
        <f t="shared" si="0"/>
        <v>20035.990000000002</v>
      </c>
      <c r="F38" s="160">
        <f t="shared" si="1"/>
        <v>-6.006533243428458E-2</v>
      </c>
      <c r="G38" s="160">
        <f t="shared" si="2"/>
        <v>6.006533243428458E-2</v>
      </c>
      <c r="H38" s="181">
        <v>18832.5216</v>
      </c>
      <c r="I38" s="170">
        <v>20035.990000000002</v>
      </c>
    </row>
    <row r="39" spans="1:9" x14ac:dyDescent="0.2">
      <c r="A39" s="194">
        <v>84</v>
      </c>
      <c r="B39" s="195" t="s">
        <v>347</v>
      </c>
      <c r="C39" s="19" t="s">
        <v>13</v>
      </c>
      <c r="D39" s="19" t="s">
        <v>97</v>
      </c>
      <c r="E39" s="157">
        <f t="shared" si="0"/>
        <v>1888.64</v>
      </c>
      <c r="F39" s="160">
        <f t="shared" si="1"/>
        <v>-5.5669052863436042E-2</v>
      </c>
      <c r="G39" s="160">
        <f t="shared" si="2"/>
        <v>5.5669052863436042E-2</v>
      </c>
      <c r="H39" s="220">
        <v>1783.5012000000002</v>
      </c>
      <c r="I39" s="215">
        <v>1888.64</v>
      </c>
    </row>
    <row r="40" spans="1:9" ht="12" thickBot="1" x14ac:dyDescent="0.25">
      <c r="A40" s="192">
        <v>90</v>
      </c>
      <c r="B40" s="193" t="s">
        <v>348</v>
      </c>
      <c r="C40" s="18" t="s">
        <v>22</v>
      </c>
      <c r="D40" s="18" t="s">
        <v>109</v>
      </c>
      <c r="E40" s="157">
        <f t="shared" si="0"/>
        <v>20009.310000000001</v>
      </c>
      <c r="F40" s="160">
        <f t="shared" si="1"/>
        <v>-5.6683813684729856E-2</v>
      </c>
      <c r="G40" s="160">
        <f t="shared" si="2"/>
        <v>5.6683813684729856E-2</v>
      </c>
      <c r="H40" s="179">
        <v>18875.106</v>
      </c>
      <c r="I40" s="169">
        <v>20009.310000000001</v>
      </c>
    </row>
    <row r="41" spans="1:9" x14ac:dyDescent="0.2">
      <c r="A41" s="194">
        <v>85</v>
      </c>
      <c r="B41" s="195" t="s">
        <v>349</v>
      </c>
      <c r="C41" s="19" t="s">
        <v>13</v>
      </c>
      <c r="D41" s="19" t="s">
        <v>102</v>
      </c>
      <c r="E41" s="157">
        <f t="shared" si="0"/>
        <v>1884.3</v>
      </c>
      <c r="F41" s="160">
        <f t="shared" si="1"/>
        <v>-5.2794777901608136E-2</v>
      </c>
      <c r="G41" s="160">
        <f t="shared" si="2"/>
        <v>5.2794777901608136E-2</v>
      </c>
      <c r="H41" s="189">
        <v>1784.8187999999998</v>
      </c>
      <c r="I41" s="176">
        <v>1884.3</v>
      </c>
    </row>
    <row r="42" spans="1:9" x14ac:dyDescent="0.2">
      <c r="A42" s="16">
        <v>91</v>
      </c>
      <c r="B42" s="191" t="s">
        <v>350</v>
      </c>
      <c r="C42" s="17" t="s">
        <v>22</v>
      </c>
      <c r="D42" s="17" t="s">
        <v>104</v>
      </c>
      <c r="E42" s="157">
        <f t="shared" si="0"/>
        <v>19902.939999999999</v>
      </c>
      <c r="F42" s="160">
        <f t="shared" si="1"/>
        <v>-5.370866816661235E-2</v>
      </c>
      <c r="G42" s="160">
        <f t="shared" si="2"/>
        <v>5.370866816661235E-2</v>
      </c>
      <c r="H42" s="178">
        <v>18833.979600000002</v>
      </c>
      <c r="I42" s="168">
        <v>19902.939999999999</v>
      </c>
    </row>
    <row r="43" spans="1:9" x14ac:dyDescent="0.2">
      <c r="A43" s="12" t="s">
        <v>112</v>
      </c>
      <c r="B43" s="13"/>
      <c r="C43" s="13"/>
      <c r="D43" s="13"/>
      <c r="E43" s="157" t="str">
        <f t="shared" si="0"/>
        <v>SIN DATOS</v>
      </c>
      <c r="F43" s="160" t="e">
        <f t="shared" si="1"/>
        <v>#DIV/0!</v>
      </c>
      <c r="G43" s="160" t="str">
        <f t="shared" si="2"/>
        <v/>
      </c>
      <c r="H43" s="180"/>
      <c r="I43" s="61"/>
    </row>
    <row r="44" spans="1:9" x14ac:dyDescent="0.2">
      <c r="A44" s="16">
        <v>101</v>
      </c>
      <c r="B44" s="191" t="s">
        <v>351</v>
      </c>
      <c r="C44" s="17" t="s">
        <v>13</v>
      </c>
      <c r="D44" s="17" t="s">
        <v>88</v>
      </c>
      <c r="E44" s="157">
        <f t="shared" si="0"/>
        <v>1975.57</v>
      </c>
      <c r="F44" s="160">
        <f t="shared" si="1"/>
        <v>-5.9681610876860747E-2</v>
      </c>
      <c r="G44" s="160">
        <f t="shared" si="2"/>
        <v>5.9681610876860747E-2</v>
      </c>
      <c r="H44" s="178">
        <v>1857.6648000000002</v>
      </c>
      <c r="I44" s="168">
        <v>1975.57</v>
      </c>
    </row>
    <row r="45" spans="1:9" ht="12" thickBot="1" x14ac:dyDescent="0.25">
      <c r="A45" s="192">
        <v>107</v>
      </c>
      <c r="B45" s="193" t="s">
        <v>352</v>
      </c>
      <c r="C45" s="18" t="s">
        <v>22</v>
      </c>
      <c r="D45" s="18" t="s">
        <v>90</v>
      </c>
      <c r="E45" s="157">
        <f t="shared" si="0"/>
        <v>20902.12</v>
      </c>
      <c r="F45" s="160">
        <f t="shared" si="1"/>
        <v>-6.0591920819514922E-2</v>
      </c>
      <c r="G45" s="160">
        <f t="shared" si="2"/>
        <v>6.0591920819514922E-2</v>
      </c>
      <c r="H45" s="181">
        <v>19635.6204</v>
      </c>
      <c r="I45" s="170">
        <v>20902.12</v>
      </c>
    </row>
    <row r="46" spans="1:9" x14ac:dyDescent="0.2">
      <c r="A46" s="194">
        <v>102</v>
      </c>
      <c r="B46" s="195" t="s">
        <v>353</v>
      </c>
      <c r="C46" s="19" t="s">
        <v>13</v>
      </c>
      <c r="D46" s="19" t="s">
        <v>97</v>
      </c>
      <c r="E46" s="157">
        <f t="shared" si="0"/>
        <v>1965.31</v>
      </c>
      <c r="F46" s="160">
        <f t="shared" si="1"/>
        <v>-5.6272852628847403E-2</v>
      </c>
      <c r="G46" s="160">
        <f t="shared" si="2"/>
        <v>5.6272852628847403E-2</v>
      </c>
      <c r="H46" s="220">
        <v>1854.7163999999998</v>
      </c>
      <c r="I46" s="215">
        <v>1965.31</v>
      </c>
    </row>
    <row r="47" spans="1:9" ht="12" thickBot="1" x14ac:dyDescent="0.25">
      <c r="A47" s="192">
        <v>108</v>
      </c>
      <c r="B47" s="193" t="s">
        <v>354</v>
      </c>
      <c r="C47" s="18" t="s">
        <v>22</v>
      </c>
      <c r="D47" s="18" t="s">
        <v>98</v>
      </c>
      <c r="E47" s="157">
        <f t="shared" si="0"/>
        <v>20794.060000000001</v>
      </c>
      <c r="F47" s="160">
        <f t="shared" si="1"/>
        <v>-5.7200219678119613E-2</v>
      </c>
      <c r="G47" s="160">
        <f t="shared" si="2"/>
        <v>5.7200219678119613E-2</v>
      </c>
      <c r="H47" s="179">
        <v>19604.635200000001</v>
      </c>
      <c r="I47" s="169">
        <v>20794.060000000001</v>
      </c>
    </row>
    <row r="48" spans="1:9" x14ac:dyDescent="0.2">
      <c r="A48" s="194">
        <v>103</v>
      </c>
      <c r="B48" s="195" t="s">
        <v>355</v>
      </c>
      <c r="C48" s="19" t="s">
        <v>13</v>
      </c>
      <c r="D48" s="19" t="s">
        <v>102</v>
      </c>
      <c r="E48" s="157">
        <f t="shared" si="0"/>
        <v>1963.67</v>
      </c>
      <c r="F48" s="160">
        <f t="shared" si="1"/>
        <v>-5.3713709533679377E-2</v>
      </c>
      <c r="G48" s="160">
        <f t="shared" si="2"/>
        <v>5.3713709533679377E-2</v>
      </c>
      <c r="H48" s="189">
        <v>1858.194</v>
      </c>
      <c r="I48" s="176">
        <v>1963.67</v>
      </c>
    </row>
    <row r="49" spans="1:9" ht="12" thickBot="1" x14ac:dyDescent="0.25">
      <c r="A49" s="192">
        <v>109</v>
      </c>
      <c r="B49" s="193" t="s">
        <v>356</v>
      </c>
      <c r="C49" s="18" t="s">
        <v>22</v>
      </c>
      <c r="D49" s="18" t="s">
        <v>104</v>
      </c>
      <c r="E49" s="157">
        <f t="shared" si="0"/>
        <v>20773.36</v>
      </c>
      <c r="F49" s="160">
        <f t="shared" si="1"/>
        <v>-5.4654268736496925E-2</v>
      </c>
      <c r="G49" s="160">
        <f t="shared" si="2"/>
        <v>5.4654268736496925E-2</v>
      </c>
      <c r="H49" s="179">
        <v>19638.007200000004</v>
      </c>
      <c r="I49" s="169">
        <v>20773.36</v>
      </c>
    </row>
    <row r="50" spans="1:9" x14ac:dyDescent="0.2">
      <c r="A50" s="194">
        <v>137</v>
      </c>
      <c r="B50" s="195" t="s">
        <v>357</v>
      </c>
      <c r="C50" s="19" t="s">
        <v>6</v>
      </c>
      <c r="D50" s="19" t="s">
        <v>119</v>
      </c>
      <c r="E50" s="157">
        <f t="shared" si="0"/>
        <v>105.36</v>
      </c>
      <c r="F50" s="160">
        <f t="shared" si="1"/>
        <v>-5.9715261958997568E-2</v>
      </c>
      <c r="G50" s="160">
        <f t="shared" si="2"/>
        <v>5.9715261958997568E-2</v>
      </c>
      <c r="H50" s="189">
        <v>99.068400000000011</v>
      </c>
      <c r="I50" s="176">
        <v>105.36</v>
      </c>
    </row>
    <row r="51" spans="1:9" x14ac:dyDescent="0.2">
      <c r="A51" s="16">
        <v>138</v>
      </c>
      <c r="B51" s="191" t="s">
        <v>358</v>
      </c>
      <c r="C51" s="17" t="s">
        <v>10</v>
      </c>
      <c r="D51" s="17" t="s">
        <v>120</v>
      </c>
      <c r="E51" s="157">
        <f t="shared" si="0"/>
        <v>539.55999999999995</v>
      </c>
      <c r="F51" s="160">
        <f t="shared" si="1"/>
        <v>-6.3196678775298221E-2</v>
      </c>
      <c r="G51" s="160">
        <f t="shared" si="2"/>
        <v>6.3196678775298221E-2</v>
      </c>
      <c r="H51" s="178">
        <v>505.46160000000003</v>
      </c>
      <c r="I51" s="168">
        <v>539.55999999999995</v>
      </c>
    </row>
    <row r="52" spans="1:9" x14ac:dyDescent="0.2">
      <c r="A52" s="16">
        <v>823</v>
      </c>
      <c r="B52" s="191" t="s">
        <v>361</v>
      </c>
      <c r="C52" s="17" t="s">
        <v>13</v>
      </c>
      <c r="D52" s="17" t="s">
        <v>121</v>
      </c>
      <c r="E52" s="157">
        <f t="shared" si="0"/>
        <v>1977.63</v>
      </c>
      <c r="F52" s="160">
        <f t="shared" si="1"/>
        <v>-5.8034313799851356E-2</v>
      </c>
      <c r="G52" s="160">
        <f t="shared" si="2"/>
        <v>5.8034313799851356E-2</v>
      </c>
      <c r="H52" s="178">
        <v>1862.8596</v>
      </c>
      <c r="I52" s="168">
        <v>1977.63</v>
      </c>
    </row>
    <row r="53" spans="1:9" ht="12" thickBot="1" x14ac:dyDescent="0.25">
      <c r="A53" s="192">
        <v>776</v>
      </c>
      <c r="B53" s="193" t="s">
        <v>362</v>
      </c>
      <c r="C53" s="18" t="s">
        <v>22</v>
      </c>
      <c r="D53" s="18" t="s">
        <v>122</v>
      </c>
      <c r="E53" s="157">
        <f t="shared" si="0"/>
        <v>20920.689999999999</v>
      </c>
      <c r="F53" s="160">
        <f t="shared" si="1"/>
        <v>-5.8945264233636552E-2</v>
      </c>
      <c r="G53" s="160">
        <f t="shared" si="2"/>
        <v>5.8945264233636552E-2</v>
      </c>
      <c r="H53" s="179">
        <v>19687.5144</v>
      </c>
      <c r="I53" s="169">
        <v>20920.689999999999</v>
      </c>
    </row>
    <row r="54" spans="1:9" x14ac:dyDescent="0.2">
      <c r="A54" s="194">
        <v>127</v>
      </c>
      <c r="B54" s="195" t="s">
        <v>359</v>
      </c>
      <c r="C54" s="19" t="s">
        <v>6</v>
      </c>
      <c r="D54" s="19" t="s">
        <v>124</v>
      </c>
      <c r="E54" s="157">
        <f t="shared" si="0"/>
        <v>107.96</v>
      </c>
      <c r="F54" s="160">
        <f t="shared" si="1"/>
        <v>-5.7650981845127736E-2</v>
      </c>
      <c r="G54" s="160">
        <f t="shared" si="2"/>
        <v>5.7650981845127736E-2</v>
      </c>
      <c r="H54" s="189">
        <v>101.736</v>
      </c>
      <c r="I54" s="176">
        <v>107.96</v>
      </c>
    </row>
    <row r="55" spans="1:9" x14ac:dyDescent="0.2">
      <c r="A55" s="16">
        <v>128</v>
      </c>
      <c r="B55" s="191" t="s">
        <v>360</v>
      </c>
      <c r="C55" s="17" t="s">
        <v>10</v>
      </c>
      <c r="D55" s="17" t="s">
        <v>125</v>
      </c>
      <c r="E55" s="157">
        <f t="shared" si="0"/>
        <v>544.80999999999995</v>
      </c>
      <c r="F55" s="160">
        <f t="shared" si="1"/>
        <v>-6.1578899065729331E-2</v>
      </c>
      <c r="G55" s="160">
        <f t="shared" si="2"/>
        <v>6.1578899065729331E-2</v>
      </c>
      <c r="H55" s="178">
        <v>511.26119999999997</v>
      </c>
      <c r="I55" s="168">
        <v>544.80999999999995</v>
      </c>
    </row>
    <row r="56" spans="1:9" x14ac:dyDescent="0.2">
      <c r="A56" s="16">
        <v>725</v>
      </c>
      <c r="B56" s="191" t="s">
        <v>363</v>
      </c>
      <c r="C56" s="17" t="s">
        <v>13</v>
      </c>
      <c r="D56" s="17" t="s">
        <v>126</v>
      </c>
      <c r="E56" s="157">
        <f t="shared" si="0"/>
        <v>1994.22</v>
      </c>
      <c r="F56" s="160">
        <f t="shared" si="1"/>
        <v>-5.6349851069591117E-2</v>
      </c>
      <c r="G56" s="160">
        <f t="shared" si="2"/>
        <v>5.6349851069591117E-2</v>
      </c>
      <c r="H56" s="178">
        <v>1881.846</v>
      </c>
      <c r="I56" s="168">
        <v>1994.22</v>
      </c>
    </row>
    <row r="57" spans="1:9" x14ac:dyDescent="0.2">
      <c r="A57" s="33">
        <v>726</v>
      </c>
      <c r="B57" s="196" t="s">
        <v>364</v>
      </c>
      <c r="C57" s="34" t="s">
        <v>22</v>
      </c>
      <c r="D57" s="34" t="s">
        <v>127</v>
      </c>
      <c r="E57" s="157">
        <f t="shared" si="0"/>
        <v>21092.92</v>
      </c>
      <c r="F57" s="160">
        <f t="shared" si="1"/>
        <v>-5.7252120616775648E-2</v>
      </c>
      <c r="G57" s="160">
        <f t="shared" si="2"/>
        <v>5.7252120616775648E-2</v>
      </c>
      <c r="H57" s="181">
        <v>19885.3056</v>
      </c>
      <c r="I57" s="170">
        <v>21092.92</v>
      </c>
    </row>
    <row r="58" spans="1:9" x14ac:dyDescent="0.2">
      <c r="A58" s="83" t="s">
        <v>493</v>
      </c>
      <c r="B58" s="84"/>
      <c r="C58" s="85"/>
      <c r="D58" s="85"/>
      <c r="E58" s="157" t="str">
        <f t="shared" si="0"/>
        <v>SIN DATOS</v>
      </c>
      <c r="F58" s="160" t="e">
        <f t="shared" si="1"/>
        <v>#DIV/0!</v>
      </c>
      <c r="G58" s="160" t="str">
        <f t="shared" si="2"/>
        <v/>
      </c>
      <c r="H58" s="221"/>
      <c r="I58" s="89"/>
    </row>
    <row r="59" spans="1:9" x14ac:dyDescent="0.2">
      <c r="A59" s="106">
        <v>709</v>
      </c>
      <c r="B59" s="238" t="s">
        <v>522</v>
      </c>
      <c r="C59" s="38" t="s">
        <v>13</v>
      </c>
      <c r="D59" s="38" t="s">
        <v>495</v>
      </c>
      <c r="E59" s="157">
        <f t="shared" si="0"/>
        <v>4465.79</v>
      </c>
      <c r="F59" s="160">
        <f t="shared" si="1"/>
        <v>-7.9891127885547641E-2</v>
      </c>
      <c r="G59" s="160">
        <f t="shared" si="2"/>
        <v>7.9891127885547641E-2</v>
      </c>
      <c r="H59" s="222">
        <v>4109.0129999999999</v>
      </c>
      <c r="I59" s="91">
        <v>4465.79</v>
      </c>
    </row>
    <row r="60" spans="1:9" x14ac:dyDescent="0.2">
      <c r="A60" s="83" t="s">
        <v>494</v>
      </c>
      <c r="B60" s="84"/>
      <c r="C60" s="85"/>
      <c r="D60" s="85"/>
      <c r="E60" s="157" t="str">
        <f t="shared" si="0"/>
        <v>SIN DATOS</v>
      </c>
      <c r="F60" s="160" t="e">
        <f t="shared" si="1"/>
        <v>#DIV/0!</v>
      </c>
      <c r="G60" s="160" t="str">
        <f t="shared" si="2"/>
        <v/>
      </c>
      <c r="H60" s="221"/>
      <c r="I60" s="89"/>
    </row>
    <row r="61" spans="1:9" x14ac:dyDescent="0.2">
      <c r="A61" s="106">
        <v>706</v>
      </c>
      <c r="B61" s="238" t="s">
        <v>521</v>
      </c>
      <c r="C61" s="38" t="s">
        <v>13</v>
      </c>
      <c r="D61" s="38" t="s">
        <v>496</v>
      </c>
      <c r="E61" s="157">
        <f t="shared" si="0"/>
        <v>9626.73</v>
      </c>
      <c r="F61" s="160">
        <f t="shared" si="1"/>
        <v>-0.11981420482344451</v>
      </c>
      <c r="G61" s="160">
        <f t="shared" si="2"/>
        <v>0.11981420482344451</v>
      </c>
      <c r="H61" s="222">
        <v>8473.3110000000015</v>
      </c>
      <c r="I61" s="91">
        <v>9626.73</v>
      </c>
    </row>
    <row r="62" spans="1:9" x14ac:dyDescent="0.2">
      <c r="A62" s="83" t="s">
        <v>497</v>
      </c>
      <c r="B62" s="84"/>
      <c r="C62" s="85"/>
      <c r="D62" s="85"/>
      <c r="E62" s="157" t="str">
        <f t="shared" si="0"/>
        <v>SIN DATOS</v>
      </c>
      <c r="F62" s="160" t="e">
        <f t="shared" si="1"/>
        <v>#DIV/0!</v>
      </c>
      <c r="G62" s="160" t="str">
        <f t="shared" si="2"/>
        <v/>
      </c>
      <c r="H62" s="221"/>
      <c r="I62" s="89"/>
    </row>
    <row r="63" spans="1:9" x14ac:dyDescent="0.2">
      <c r="A63" s="108">
        <v>767</v>
      </c>
      <c r="B63" s="233" t="s">
        <v>523</v>
      </c>
      <c r="C63" s="78" t="s">
        <v>13</v>
      </c>
      <c r="D63" s="78" t="s">
        <v>498</v>
      </c>
      <c r="E63" s="157">
        <f t="shared" si="0"/>
        <v>7220.57</v>
      </c>
      <c r="F63" s="160">
        <f t="shared" si="1"/>
        <v>-8.1856834017258961E-2</v>
      </c>
      <c r="G63" s="160">
        <f t="shared" si="2"/>
        <v>8.1856834017258961E-2</v>
      </c>
      <c r="H63" s="223">
        <v>6629.5169999999998</v>
      </c>
      <c r="I63" s="91">
        <v>7220.57</v>
      </c>
    </row>
    <row r="64" spans="1:9" x14ac:dyDescent="0.2">
      <c r="A64" s="12" t="s">
        <v>66</v>
      </c>
      <c r="B64" s="13"/>
      <c r="C64" s="13"/>
      <c r="D64" s="13"/>
      <c r="E64" s="157" t="str">
        <f t="shared" si="0"/>
        <v>SIN DATOS</v>
      </c>
      <c r="F64" s="160" t="e">
        <f t="shared" si="1"/>
        <v>#DIV/0!</v>
      </c>
      <c r="G64" s="160" t="str">
        <f t="shared" si="2"/>
        <v/>
      </c>
      <c r="H64" s="180"/>
      <c r="I64" s="61"/>
    </row>
    <row r="65" spans="1:9" x14ac:dyDescent="0.2">
      <c r="A65" s="16">
        <v>515</v>
      </c>
      <c r="B65" s="191" t="s">
        <v>368</v>
      </c>
      <c r="C65" s="17" t="s">
        <v>6</v>
      </c>
      <c r="D65" s="17" t="s">
        <v>130</v>
      </c>
      <c r="E65" s="157">
        <f t="shared" si="0"/>
        <v>85.72</v>
      </c>
      <c r="F65" s="160">
        <f t="shared" si="1"/>
        <v>-7.144190387307503E-2</v>
      </c>
      <c r="G65" s="160">
        <f t="shared" si="2"/>
        <v>7.144190387307503E-2</v>
      </c>
      <c r="H65" s="178">
        <v>79.596000000000004</v>
      </c>
      <c r="I65" s="168">
        <v>85.72</v>
      </c>
    </row>
    <row r="66" spans="1:9" x14ac:dyDescent="0.2">
      <c r="A66" s="16">
        <v>491</v>
      </c>
      <c r="B66" s="191" t="s">
        <v>365</v>
      </c>
      <c r="C66" s="17" t="s">
        <v>6</v>
      </c>
      <c r="D66" s="17" t="s">
        <v>67</v>
      </c>
      <c r="E66" s="157">
        <f t="shared" si="0"/>
        <v>91.74</v>
      </c>
      <c r="F66" s="160">
        <f t="shared" si="1"/>
        <v>-7.0686723348593827E-2</v>
      </c>
      <c r="G66" s="160">
        <f t="shared" si="2"/>
        <v>7.0686723348593827E-2</v>
      </c>
      <c r="H66" s="178">
        <v>85.255200000000002</v>
      </c>
      <c r="I66" s="168">
        <v>91.74</v>
      </c>
    </row>
    <row r="67" spans="1:9" x14ac:dyDescent="0.2">
      <c r="A67" s="16">
        <v>486</v>
      </c>
      <c r="B67" s="191" t="s">
        <v>369</v>
      </c>
      <c r="C67" s="17" t="s">
        <v>10</v>
      </c>
      <c r="D67" s="17" t="s">
        <v>68</v>
      </c>
      <c r="E67" s="157">
        <f t="shared" si="0"/>
        <v>472.44</v>
      </c>
      <c r="F67" s="160">
        <f t="shared" si="1"/>
        <v>-7.51054102108204E-2</v>
      </c>
      <c r="G67" s="160">
        <f t="shared" si="2"/>
        <v>7.51054102108204E-2</v>
      </c>
      <c r="H67" s="178">
        <v>436.9572</v>
      </c>
      <c r="I67" s="168">
        <v>472.44</v>
      </c>
    </row>
    <row r="68" spans="1:9" x14ac:dyDescent="0.2">
      <c r="A68" s="16">
        <v>492</v>
      </c>
      <c r="B68" s="191" t="s">
        <v>366</v>
      </c>
      <c r="C68" s="17" t="s">
        <v>13</v>
      </c>
      <c r="D68" s="17" t="s">
        <v>70</v>
      </c>
      <c r="E68" s="157">
        <f t="shared" si="0"/>
        <v>1722.58</v>
      </c>
      <c r="F68" s="160">
        <f t="shared" si="1"/>
        <v>-6.9669449314400556E-2</v>
      </c>
      <c r="G68" s="160">
        <f t="shared" si="2"/>
        <v>6.9669449314400556E-2</v>
      </c>
      <c r="H68" s="178">
        <v>1602.5687999999998</v>
      </c>
      <c r="I68" s="168">
        <v>1722.58</v>
      </c>
    </row>
    <row r="69" spans="1:9" x14ac:dyDescent="0.2">
      <c r="A69" s="16">
        <v>493</v>
      </c>
      <c r="B69" s="191" t="s">
        <v>367</v>
      </c>
      <c r="C69" s="17" t="s">
        <v>22</v>
      </c>
      <c r="D69" s="17" t="s">
        <v>71</v>
      </c>
      <c r="E69" s="157">
        <f t="shared" si="0"/>
        <v>18236.47</v>
      </c>
      <c r="F69" s="160">
        <f t="shared" si="1"/>
        <v>-7.0652445347153203E-2</v>
      </c>
      <c r="G69" s="160">
        <f t="shared" si="2"/>
        <v>7.0652445347153203E-2</v>
      </c>
      <c r="H69" s="178">
        <v>16948.018800000002</v>
      </c>
      <c r="I69" s="168">
        <v>18236.47</v>
      </c>
    </row>
    <row r="70" spans="1:9" x14ac:dyDescent="0.2">
      <c r="A70" s="12" t="s">
        <v>72</v>
      </c>
      <c r="B70" s="13"/>
      <c r="C70" s="13"/>
      <c r="D70" s="13"/>
      <c r="E70" s="157" t="str">
        <f t="shared" ref="E70:E72" si="3">IFERROR(VLOOKUP(B70,Base01,7,FALSE),"SIN DATOS")</f>
        <v>SIN DATOS</v>
      </c>
      <c r="F70" s="160" t="e">
        <f t="shared" si="1"/>
        <v>#DIV/0!</v>
      </c>
      <c r="G70" s="160" t="str">
        <f t="shared" si="2"/>
        <v/>
      </c>
      <c r="H70" s="180"/>
      <c r="I70" s="61"/>
    </row>
    <row r="71" spans="1:9" x14ac:dyDescent="0.2">
      <c r="A71" s="16">
        <v>490</v>
      </c>
      <c r="B71" s="191" t="s">
        <v>370</v>
      </c>
      <c r="C71" s="17" t="s">
        <v>6</v>
      </c>
      <c r="D71" s="17" t="s">
        <v>74</v>
      </c>
      <c r="E71" s="157">
        <f t="shared" si="3"/>
        <v>159.24</v>
      </c>
      <c r="F71" s="160">
        <f t="shared" ref="F71:F72" si="4">(H71/I71)-1</f>
        <v>-0.11607385079125843</v>
      </c>
      <c r="G71" s="160">
        <f t="shared" ref="G71:G72" si="5">IFERROR(ABS(F71),"")</f>
        <v>0.11607385079125843</v>
      </c>
      <c r="H71" s="178">
        <v>140.75640000000001</v>
      </c>
      <c r="I71" s="168">
        <v>159.24</v>
      </c>
    </row>
    <row r="72" spans="1:9" ht="13.5" customHeight="1" thickBot="1" x14ac:dyDescent="0.25">
      <c r="A72" s="201">
        <v>736</v>
      </c>
      <c r="B72" s="202" t="s">
        <v>371</v>
      </c>
      <c r="C72" s="26" t="s">
        <v>13</v>
      </c>
      <c r="D72" s="26" t="s">
        <v>70</v>
      </c>
      <c r="E72" s="157">
        <f t="shared" si="3"/>
        <v>3052.77</v>
      </c>
      <c r="F72" s="160">
        <f t="shared" si="4"/>
        <v>-0.11763047985927544</v>
      </c>
      <c r="G72" s="160">
        <f t="shared" si="5"/>
        <v>0.11763047985927544</v>
      </c>
      <c r="H72" s="190">
        <v>2693.6711999999998</v>
      </c>
      <c r="I72" s="177">
        <v>3052.77</v>
      </c>
    </row>
    <row r="73" spans="1:9" ht="12" thickBot="1" x14ac:dyDescent="0.25"/>
    <row r="74" spans="1:9" ht="19.5" thickBot="1" x14ac:dyDescent="0.35">
      <c r="A74" s="136" t="e">
        <f>#REF!</f>
        <v>#REF!</v>
      </c>
      <c r="B74" s="137"/>
      <c r="C74" s="134"/>
      <c r="D74" s="134"/>
      <c r="E74" s="134"/>
      <c r="F74" s="134"/>
      <c r="G74" s="134"/>
      <c r="H74" s="134"/>
      <c r="I74" s="342" t="s">
        <v>325</v>
      </c>
    </row>
    <row r="75" spans="1:9" ht="12" thickBot="1" x14ac:dyDescent="0.25">
      <c r="A75" s="28" t="s">
        <v>0</v>
      </c>
      <c r="B75" s="29"/>
      <c r="C75" s="29" t="s">
        <v>1</v>
      </c>
      <c r="D75" s="29" t="s">
        <v>2</v>
      </c>
      <c r="E75" s="29"/>
      <c r="F75" s="29"/>
      <c r="G75" s="29"/>
      <c r="H75" s="29"/>
      <c r="I75" s="30" t="s">
        <v>208</v>
      </c>
    </row>
    <row r="76" spans="1:9" x14ac:dyDescent="0.2">
      <c r="A76" s="22" t="s">
        <v>65</v>
      </c>
      <c r="B76" s="35"/>
      <c r="C76" s="23"/>
      <c r="D76" s="23"/>
      <c r="E76" s="23"/>
      <c r="F76" s="23"/>
      <c r="G76" s="23"/>
      <c r="H76" s="23"/>
      <c r="I76" s="31"/>
    </row>
    <row r="77" spans="1:9" x14ac:dyDescent="0.2">
      <c r="A77" s="12" t="s">
        <v>128</v>
      </c>
      <c r="B77" s="13"/>
      <c r="C77" s="13"/>
      <c r="D77" s="124"/>
      <c r="E77" s="124"/>
      <c r="F77" s="124"/>
      <c r="G77" s="124"/>
      <c r="H77" s="124" t="s">
        <v>2503</v>
      </c>
      <c r="I77" s="20"/>
    </row>
    <row r="78" spans="1:9" x14ac:dyDescent="0.2">
      <c r="A78" s="16">
        <v>16922</v>
      </c>
      <c r="B78" s="191" t="s">
        <v>373</v>
      </c>
      <c r="C78" s="17" t="s">
        <v>6</v>
      </c>
      <c r="D78" s="17" t="s">
        <v>129</v>
      </c>
      <c r="E78" s="157">
        <f t="shared" ref="E78:E141" si="6">IFERROR(VLOOKUP(B78,Base01,7,FALSE),"SIN DATOS")</f>
        <v>178.24</v>
      </c>
      <c r="F78" s="160">
        <f>(H78/I78)-1</f>
        <v>-7.3783662477558298E-2</v>
      </c>
      <c r="G78" s="160">
        <f>IFERROR(ABS(F78),"")</f>
        <v>7.3783662477558298E-2</v>
      </c>
      <c r="H78" s="157">
        <v>165.08880000000002</v>
      </c>
      <c r="I78" s="57">
        <v>178.24</v>
      </c>
    </row>
    <row r="79" spans="1:9" x14ac:dyDescent="0.2">
      <c r="A79" s="16">
        <v>16614</v>
      </c>
      <c r="B79" s="191" t="s">
        <v>372</v>
      </c>
      <c r="C79" s="17" t="s">
        <v>13</v>
      </c>
      <c r="D79" s="17" t="s">
        <v>205</v>
      </c>
      <c r="E79" s="157">
        <f t="shared" si="6"/>
        <v>3453.54</v>
      </c>
      <c r="F79" s="160">
        <f t="shared" ref="F79:F144" si="7">(H79/I79)-1</f>
        <v>-7.3324762417693146E-2</v>
      </c>
      <c r="G79" s="160">
        <f t="shared" ref="G79:G144" si="8">IFERROR(ABS(F79),"")</f>
        <v>7.3324762417693146E-2</v>
      </c>
      <c r="H79" s="157">
        <v>3200.31</v>
      </c>
      <c r="I79" s="57">
        <v>3453.54</v>
      </c>
    </row>
    <row r="80" spans="1:9" x14ac:dyDescent="0.2">
      <c r="A80" s="16">
        <v>16715</v>
      </c>
      <c r="B80" s="191" t="s">
        <v>524</v>
      </c>
      <c r="C80" s="17" t="s">
        <v>22</v>
      </c>
      <c r="D80" s="17" t="s">
        <v>491</v>
      </c>
      <c r="E80" s="157">
        <f t="shared" si="6"/>
        <v>36178.43</v>
      </c>
      <c r="F80" s="160">
        <f t="shared" si="7"/>
        <v>-1</v>
      </c>
      <c r="G80" s="160">
        <f t="shared" si="8"/>
        <v>1</v>
      </c>
      <c r="H80" s="157"/>
      <c r="I80" s="57">
        <v>36178.43</v>
      </c>
    </row>
    <row r="81" spans="1:9" x14ac:dyDescent="0.2">
      <c r="A81" s="22" t="s">
        <v>83</v>
      </c>
      <c r="B81" s="35"/>
      <c r="C81" s="32"/>
      <c r="D81" s="32"/>
      <c r="E81" s="157" t="str">
        <f t="shared" si="6"/>
        <v>SIN DATOS</v>
      </c>
      <c r="F81" s="160" t="e">
        <f t="shared" si="7"/>
        <v>#DIV/0!</v>
      </c>
      <c r="G81" s="160" t="str">
        <f t="shared" si="8"/>
        <v/>
      </c>
      <c r="H81" s="32"/>
      <c r="I81" s="67"/>
    </row>
    <row r="82" spans="1:9" x14ac:dyDescent="0.2">
      <c r="A82" s="12" t="s">
        <v>85</v>
      </c>
      <c r="B82" s="13"/>
      <c r="C82" s="13"/>
      <c r="D82" s="13"/>
      <c r="E82" s="157" t="str">
        <f t="shared" si="6"/>
        <v>SIN DATOS</v>
      </c>
      <c r="F82" s="160" t="e">
        <f t="shared" si="7"/>
        <v>#DIV/0!</v>
      </c>
      <c r="G82" s="160" t="str">
        <f t="shared" si="8"/>
        <v/>
      </c>
      <c r="H82" s="13"/>
      <c r="I82" s="61"/>
    </row>
    <row r="83" spans="1:9" x14ac:dyDescent="0.2">
      <c r="A83" s="16">
        <v>689</v>
      </c>
      <c r="B83" s="191" t="s">
        <v>374</v>
      </c>
      <c r="C83" s="17" t="s">
        <v>13</v>
      </c>
      <c r="D83" s="17" t="s">
        <v>87</v>
      </c>
      <c r="E83" s="157">
        <f t="shared" si="6"/>
        <v>1377.57</v>
      </c>
      <c r="F83" s="160">
        <f t="shared" si="7"/>
        <v>-9.5676299570983558E-2</v>
      </c>
      <c r="G83" s="160">
        <f t="shared" si="8"/>
        <v>9.5676299570983558E-2</v>
      </c>
      <c r="H83" s="157">
        <v>1245.7692000000002</v>
      </c>
      <c r="I83" s="57">
        <v>1377.57</v>
      </c>
    </row>
    <row r="84" spans="1:9" x14ac:dyDescent="0.2">
      <c r="A84" s="16">
        <v>688</v>
      </c>
      <c r="B84" s="191" t="s">
        <v>375</v>
      </c>
      <c r="C84" s="17" t="s">
        <v>22</v>
      </c>
      <c r="D84" s="17" t="s">
        <v>89</v>
      </c>
      <c r="E84" s="157">
        <f t="shared" si="6"/>
        <v>14584.94</v>
      </c>
      <c r="F84" s="160">
        <f t="shared" si="7"/>
        <v>-9.6824532702911359E-2</v>
      </c>
      <c r="G84" s="160">
        <f t="shared" si="8"/>
        <v>9.6824532702911359E-2</v>
      </c>
      <c r="H84" s="157">
        <v>13172.76</v>
      </c>
      <c r="I84" s="57">
        <v>14584.94</v>
      </c>
    </row>
    <row r="85" spans="1:9" x14ac:dyDescent="0.2">
      <c r="A85" s="12" t="s">
        <v>91</v>
      </c>
      <c r="B85" s="13"/>
      <c r="C85" s="13"/>
      <c r="D85" s="13"/>
      <c r="E85" s="157" t="str">
        <f t="shared" si="6"/>
        <v>SIN DATOS</v>
      </c>
      <c r="F85" s="160" t="e">
        <f t="shared" si="7"/>
        <v>#DIV/0!</v>
      </c>
      <c r="G85" s="160" t="str">
        <f t="shared" si="8"/>
        <v/>
      </c>
      <c r="H85" s="13"/>
      <c r="I85" s="61"/>
    </row>
    <row r="86" spans="1:9" x14ac:dyDescent="0.2">
      <c r="A86" s="16">
        <v>653</v>
      </c>
      <c r="B86" s="191" t="s">
        <v>376</v>
      </c>
      <c r="C86" s="17" t="s">
        <v>6</v>
      </c>
      <c r="D86" s="17" t="s">
        <v>93</v>
      </c>
      <c r="E86" s="157">
        <f t="shared" si="6"/>
        <v>92.44</v>
      </c>
      <c r="F86" s="160">
        <f t="shared" si="7"/>
        <v>-5.0969277369104171E-2</v>
      </c>
      <c r="G86" s="160">
        <f t="shared" si="8"/>
        <v>5.0969277369104171E-2</v>
      </c>
      <c r="H86" s="157">
        <v>87.728400000000008</v>
      </c>
      <c r="I86" s="57">
        <v>92.44</v>
      </c>
    </row>
    <row r="87" spans="1:9" x14ac:dyDescent="0.2">
      <c r="A87" s="16">
        <v>655</v>
      </c>
      <c r="B87" s="191" t="s">
        <v>377</v>
      </c>
      <c r="C87" s="17" t="s">
        <v>10</v>
      </c>
      <c r="D87" s="17" t="s">
        <v>95</v>
      </c>
      <c r="E87" s="157">
        <f t="shared" si="6"/>
        <v>473.6</v>
      </c>
      <c r="F87" s="160">
        <f t="shared" si="7"/>
        <v>-5.5182432432432482E-2</v>
      </c>
      <c r="G87" s="160">
        <f t="shared" si="8"/>
        <v>5.5182432432432482E-2</v>
      </c>
      <c r="H87" s="157">
        <v>447.46559999999999</v>
      </c>
      <c r="I87" s="57">
        <v>473.6</v>
      </c>
    </row>
    <row r="88" spans="1:9" x14ac:dyDescent="0.2">
      <c r="A88" s="16">
        <v>960</v>
      </c>
      <c r="B88" s="191" t="s">
        <v>378</v>
      </c>
      <c r="C88" s="17" t="s">
        <v>13</v>
      </c>
      <c r="D88" s="17" t="s">
        <v>87</v>
      </c>
      <c r="E88" s="157">
        <f t="shared" si="6"/>
        <v>1734.71</v>
      </c>
      <c r="F88" s="160">
        <f t="shared" si="7"/>
        <v>-4.8731372967239395E-2</v>
      </c>
      <c r="G88" s="160">
        <f t="shared" si="8"/>
        <v>4.8731372967239395E-2</v>
      </c>
      <c r="H88" s="157">
        <v>1650.1752000000001</v>
      </c>
      <c r="I88" s="57">
        <v>1734.71</v>
      </c>
    </row>
    <row r="89" spans="1:9" x14ac:dyDescent="0.2">
      <c r="A89" s="16">
        <v>961</v>
      </c>
      <c r="B89" s="191" t="s">
        <v>379</v>
      </c>
      <c r="C89" s="17" t="s">
        <v>22</v>
      </c>
      <c r="D89" s="17" t="s">
        <v>89</v>
      </c>
      <c r="E89" s="157">
        <f t="shared" si="6"/>
        <v>18166.23</v>
      </c>
      <c r="F89" s="160">
        <f t="shared" si="7"/>
        <v>-4.9423573300569235E-2</v>
      </c>
      <c r="G89" s="160">
        <f t="shared" si="8"/>
        <v>4.9423573300569235E-2</v>
      </c>
      <c r="H89" s="157">
        <v>17268.39</v>
      </c>
      <c r="I89" s="57">
        <v>18166.23</v>
      </c>
    </row>
    <row r="90" spans="1:9" x14ac:dyDescent="0.2">
      <c r="A90" s="12" t="s">
        <v>99</v>
      </c>
      <c r="B90" s="13"/>
      <c r="C90" s="13"/>
      <c r="D90" s="13"/>
      <c r="E90" s="157" t="str">
        <f t="shared" si="6"/>
        <v>SIN DATOS</v>
      </c>
      <c r="F90" s="160" t="e">
        <f t="shared" si="7"/>
        <v>#DIV/0!</v>
      </c>
      <c r="G90" s="160" t="str">
        <f t="shared" si="8"/>
        <v/>
      </c>
      <c r="H90" s="13"/>
      <c r="I90" s="61"/>
    </row>
    <row r="91" spans="1:9" x14ac:dyDescent="0.2">
      <c r="A91" s="16">
        <v>902</v>
      </c>
      <c r="B91" s="191" t="s">
        <v>380</v>
      </c>
      <c r="C91" s="17" t="s">
        <v>13</v>
      </c>
      <c r="D91" s="17" t="s">
        <v>70</v>
      </c>
      <c r="E91" s="157">
        <f t="shared" si="6"/>
        <v>2261.34</v>
      </c>
      <c r="F91" s="160">
        <f t="shared" si="7"/>
        <v>-5.8005253522247724E-2</v>
      </c>
      <c r="G91" s="160">
        <f t="shared" si="8"/>
        <v>5.8005253522247724E-2</v>
      </c>
      <c r="H91" s="157">
        <v>2130.1704000000004</v>
      </c>
      <c r="I91" s="57">
        <v>2261.34</v>
      </c>
    </row>
    <row r="92" spans="1:9" x14ac:dyDescent="0.2">
      <c r="A92" s="16">
        <v>903</v>
      </c>
      <c r="B92" s="191" t="s">
        <v>381</v>
      </c>
      <c r="C92" s="17" t="s">
        <v>22</v>
      </c>
      <c r="D92" s="17" t="s">
        <v>71</v>
      </c>
      <c r="E92" s="157">
        <f t="shared" si="6"/>
        <v>23683.84</v>
      </c>
      <c r="F92" s="160">
        <f t="shared" si="7"/>
        <v>-5.8553207587958789E-2</v>
      </c>
      <c r="G92" s="160">
        <f t="shared" si="8"/>
        <v>5.8553207587958789E-2</v>
      </c>
      <c r="H92" s="157">
        <v>22297.075199999999</v>
      </c>
      <c r="I92" s="57">
        <v>23683.84</v>
      </c>
    </row>
    <row r="93" spans="1:9" x14ac:dyDescent="0.2">
      <c r="A93" s="12" t="s">
        <v>103</v>
      </c>
      <c r="B93" s="13"/>
      <c r="C93" s="13"/>
      <c r="D93" s="13"/>
      <c r="E93" s="157" t="str">
        <f t="shared" si="6"/>
        <v>SIN DATOS</v>
      </c>
      <c r="F93" s="160" t="e">
        <f t="shared" si="7"/>
        <v>#DIV/0!</v>
      </c>
      <c r="G93" s="160" t="str">
        <f t="shared" si="8"/>
        <v/>
      </c>
      <c r="H93" s="13"/>
      <c r="I93" s="61"/>
    </row>
    <row r="94" spans="1:9" x14ac:dyDescent="0.2">
      <c r="A94" s="33">
        <v>177</v>
      </c>
      <c r="B94" s="196" t="s">
        <v>382</v>
      </c>
      <c r="C94" s="34" t="s">
        <v>13</v>
      </c>
      <c r="D94" s="34" t="s">
        <v>70</v>
      </c>
      <c r="E94" s="157">
        <f t="shared" si="6"/>
        <v>2555.48</v>
      </c>
      <c r="F94" s="160">
        <f t="shared" si="7"/>
        <v>-4.6634213533269575E-2</v>
      </c>
      <c r="G94" s="160">
        <f t="shared" si="8"/>
        <v>4.6634213533269575E-2</v>
      </c>
      <c r="H94" s="158">
        <v>2436.3072000000002</v>
      </c>
      <c r="I94" s="57">
        <v>2555.48</v>
      </c>
    </row>
    <row r="95" spans="1:9" x14ac:dyDescent="0.2">
      <c r="A95" s="16">
        <v>179</v>
      </c>
      <c r="B95" s="191" t="s">
        <v>383</v>
      </c>
      <c r="C95" s="17" t="s">
        <v>22</v>
      </c>
      <c r="D95" s="17" t="s">
        <v>71</v>
      </c>
      <c r="E95" s="157">
        <f t="shared" si="6"/>
        <v>27038.639999999999</v>
      </c>
      <c r="F95" s="160">
        <f t="shared" si="7"/>
        <v>-4.941239648147977E-2</v>
      </c>
      <c r="G95" s="160">
        <f t="shared" si="8"/>
        <v>4.941239648147977E-2</v>
      </c>
      <c r="H95" s="157">
        <v>25702.596000000001</v>
      </c>
      <c r="I95" s="57">
        <v>27038.639999999999</v>
      </c>
    </row>
    <row r="96" spans="1:9" x14ac:dyDescent="0.2">
      <c r="A96" s="22" t="s">
        <v>106</v>
      </c>
      <c r="B96" s="35"/>
      <c r="C96" s="35"/>
      <c r="D96" s="35"/>
      <c r="E96" s="157" t="str">
        <f t="shared" si="6"/>
        <v>SIN DATOS</v>
      </c>
      <c r="F96" s="160" t="e">
        <f t="shared" si="7"/>
        <v>#DIV/0!</v>
      </c>
      <c r="G96" s="160" t="str">
        <f t="shared" si="8"/>
        <v/>
      </c>
      <c r="H96" s="35"/>
      <c r="I96" s="67"/>
    </row>
    <row r="97" spans="1:9" x14ac:dyDescent="0.2">
      <c r="A97" s="12" t="s">
        <v>107</v>
      </c>
      <c r="B97" s="13"/>
      <c r="C97" s="13"/>
      <c r="D97" s="13"/>
      <c r="E97" s="157" t="str">
        <f t="shared" si="6"/>
        <v>SIN DATOS</v>
      </c>
      <c r="F97" s="160" t="e">
        <f t="shared" si="7"/>
        <v>#DIV/0!</v>
      </c>
      <c r="G97" s="160" t="str">
        <f t="shared" si="8"/>
        <v/>
      </c>
      <c r="H97" s="13"/>
      <c r="I97" s="61"/>
    </row>
    <row r="98" spans="1:9" x14ac:dyDescent="0.2">
      <c r="A98" s="16">
        <v>587</v>
      </c>
      <c r="B98" s="191" t="s">
        <v>384</v>
      </c>
      <c r="C98" s="17" t="s">
        <v>108</v>
      </c>
      <c r="D98" s="17" t="s">
        <v>70</v>
      </c>
      <c r="E98" s="157">
        <f t="shared" si="6"/>
        <v>399.03</v>
      </c>
      <c r="F98" s="160">
        <f t="shared" si="7"/>
        <v>-4.2899030148109141E-2</v>
      </c>
      <c r="G98" s="160">
        <f t="shared" si="8"/>
        <v>4.2899030148109141E-2</v>
      </c>
      <c r="H98" s="157">
        <v>381.91199999999998</v>
      </c>
      <c r="I98" s="57">
        <v>399.03</v>
      </c>
    </row>
    <row r="99" spans="1:9" x14ac:dyDescent="0.2">
      <c r="A99" s="16">
        <v>257</v>
      </c>
      <c r="B99" s="191" t="s">
        <v>385</v>
      </c>
      <c r="C99" s="17" t="s">
        <v>110</v>
      </c>
      <c r="D99" s="17" t="s">
        <v>70</v>
      </c>
      <c r="E99" s="157">
        <f t="shared" si="6"/>
        <v>1735.21</v>
      </c>
      <c r="F99" s="160">
        <f t="shared" si="7"/>
        <v>-4.5088490730228692E-2</v>
      </c>
      <c r="G99" s="160">
        <f t="shared" si="8"/>
        <v>4.5088490730228692E-2</v>
      </c>
      <c r="H99" s="157">
        <v>1656.972</v>
      </c>
      <c r="I99" s="57">
        <v>1735.21</v>
      </c>
    </row>
    <row r="100" spans="1:9" x14ac:dyDescent="0.2">
      <c r="A100" s="16">
        <v>263</v>
      </c>
      <c r="B100" s="191" t="s">
        <v>386</v>
      </c>
      <c r="C100" s="17" t="s">
        <v>111</v>
      </c>
      <c r="D100" s="17" t="s">
        <v>71</v>
      </c>
      <c r="E100" s="157">
        <f t="shared" si="6"/>
        <v>18702.88</v>
      </c>
      <c r="F100" s="160">
        <f t="shared" si="7"/>
        <v>-4.4448555516583665E-2</v>
      </c>
      <c r="G100" s="160">
        <f t="shared" si="8"/>
        <v>4.4448555516583665E-2</v>
      </c>
      <c r="H100" s="157">
        <v>17871.563999999998</v>
      </c>
      <c r="I100" s="57">
        <v>18702.88</v>
      </c>
    </row>
    <row r="101" spans="1:9" x14ac:dyDescent="0.2">
      <c r="A101" s="12" t="s">
        <v>113</v>
      </c>
      <c r="B101" s="13"/>
      <c r="C101" s="13"/>
      <c r="D101" s="13"/>
      <c r="E101" s="157" t="str">
        <f t="shared" si="6"/>
        <v>SIN DATOS</v>
      </c>
      <c r="F101" s="160" t="e">
        <f t="shared" si="7"/>
        <v>#DIV/0!</v>
      </c>
      <c r="G101" s="160" t="str">
        <f t="shared" si="8"/>
        <v/>
      </c>
      <c r="H101" s="13"/>
      <c r="I101" s="61"/>
    </row>
    <row r="102" spans="1:9" x14ac:dyDescent="0.2">
      <c r="A102" s="77">
        <v>590</v>
      </c>
      <c r="B102" s="229" t="s">
        <v>525</v>
      </c>
      <c r="C102" s="78" t="s">
        <v>108</v>
      </c>
      <c r="D102" s="78" t="s">
        <v>70</v>
      </c>
      <c r="E102" s="157">
        <f t="shared" si="6"/>
        <v>399.81</v>
      </c>
      <c r="F102" s="160">
        <f t="shared" si="7"/>
        <v>-3.8993521922913277E-2</v>
      </c>
      <c r="G102" s="160">
        <f t="shared" si="8"/>
        <v>3.8993521922913277E-2</v>
      </c>
      <c r="H102" s="213">
        <v>384.22</v>
      </c>
      <c r="I102" s="92">
        <v>399.81</v>
      </c>
    </row>
    <row r="103" spans="1:9" x14ac:dyDescent="0.2">
      <c r="A103" s="68">
        <v>258</v>
      </c>
      <c r="B103" s="239" t="s">
        <v>526</v>
      </c>
      <c r="C103" s="19" t="s">
        <v>110</v>
      </c>
      <c r="D103" s="19" t="s">
        <v>71</v>
      </c>
      <c r="E103" s="157">
        <f t="shared" si="6"/>
        <v>1738.73</v>
      </c>
      <c r="F103" s="160">
        <f t="shared" si="7"/>
        <v>-4.0989687875633396E-2</v>
      </c>
      <c r="G103" s="160">
        <f t="shared" si="8"/>
        <v>4.0989687875633396E-2</v>
      </c>
      <c r="H103" s="159">
        <v>1667.46</v>
      </c>
      <c r="I103" s="93">
        <v>1738.73</v>
      </c>
    </row>
    <row r="104" spans="1:9" x14ac:dyDescent="0.2">
      <c r="A104" s="16">
        <v>264</v>
      </c>
      <c r="B104" s="191" t="s">
        <v>387</v>
      </c>
      <c r="C104" s="17" t="s">
        <v>111</v>
      </c>
      <c r="D104" s="17" t="s">
        <v>71</v>
      </c>
      <c r="E104" s="157">
        <f t="shared" si="6"/>
        <v>18740.310000000001</v>
      </c>
      <c r="F104" s="160">
        <f t="shared" si="7"/>
        <v>-4.0409683724548895E-2</v>
      </c>
      <c r="G104" s="160">
        <f t="shared" si="8"/>
        <v>4.0409683724548895E-2</v>
      </c>
      <c r="H104" s="157">
        <v>17983.02</v>
      </c>
      <c r="I104" s="57">
        <v>18740.310000000001</v>
      </c>
    </row>
    <row r="105" spans="1:9" x14ac:dyDescent="0.2">
      <c r="A105" s="12" t="s">
        <v>114</v>
      </c>
      <c r="B105" s="13"/>
      <c r="C105" s="13"/>
      <c r="D105" s="13"/>
      <c r="E105" s="157" t="str">
        <f t="shared" si="6"/>
        <v>SIN DATOS</v>
      </c>
      <c r="F105" s="160" t="e">
        <f t="shared" si="7"/>
        <v>#DIV/0!</v>
      </c>
      <c r="G105" s="160" t="str">
        <f t="shared" si="8"/>
        <v/>
      </c>
      <c r="H105" s="13"/>
      <c r="I105" s="61"/>
    </row>
    <row r="106" spans="1:9" x14ac:dyDescent="0.2">
      <c r="A106" s="16">
        <v>1295</v>
      </c>
      <c r="B106" s="191" t="s">
        <v>388</v>
      </c>
      <c r="C106" s="17" t="s">
        <v>115</v>
      </c>
      <c r="D106" s="17" t="s">
        <v>116</v>
      </c>
      <c r="E106" s="157">
        <f t="shared" si="6"/>
        <v>35.19</v>
      </c>
      <c r="F106" s="160">
        <f t="shared" si="7"/>
        <v>-3.3930093776641135E-2</v>
      </c>
      <c r="G106" s="160">
        <f t="shared" si="8"/>
        <v>3.3930093776641135E-2</v>
      </c>
      <c r="H106" s="157">
        <v>33.995999999999995</v>
      </c>
      <c r="I106" s="57">
        <v>35.19</v>
      </c>
    </row>
    <row r="107" spans="1:9" x14ac:dyDescent="0.2">
      <c r="A107" s="16">
        <v>1294</v>
      </c>
      <c r="B107" s="191" t="s">
        <v>389</v>
      </c>
      <c r="C107" s="17" t="s">
        <v>117</v>
      </c>
      <c r="D107" s="17" t="s">
        <v>116</v>
      </c>
      <c r="E107" s="157">
        <f t="shared" si="6"/>
        <v>60.32</v>
      </c>
      <c r="F107" s="160">
        <f t="shared" si="7"/>
        <v>-3.3554376657824903E-2</v>
      </c>
      <c r="G107" s="160">
        <f t="shared" si="8"/>
        <v>3.3554376657824903E-2</v>
      </c>
      <c r="H107" s="157">
        <v>58.295999999999999</v>
      </c>
      <c r="I107" s="57">
        <v>60.32</v>
      </c>
    </row>
    <row r="108" spans="1:9" x14ac:dyDescent="0.2">
      <c r="A108" s="16">
        <v>1292</v>
      </c>
      <c r="B108" s="191" t="s">
        <v>390</v>
      </c>
      <c r="C108" s="17" t="s">
        <v>118</v>
      </c>
      <c r="D108" s="17" t="s">
        <v>116</v>
      </c>
      <c r="E108" s="157">
        <f t="shared" si="6"/>
        <v>106.91</v>
      </c>
      <c r="F108" s="160">
        <f t="shared" si="7"/>
        <v>-3.7844916284725416E-2</v>
      </c>
      <c r="G108" s="160">
        <f t="shared" si="8"/>
        <v>3.7844916284725416E-2</v>
      </c>
      <c r="H108" s="157">
        <v>102.864</v>
      </c>
      <c r="I108" s="57">
        <v>106.91</v>
      </c>
    </row>
    <row r="109" spans="1:9" x14ac:dyDescent="0.2">
      <c r="A109" s="16">
        <v>1287</v>
      </c>
      <c r="B109" s="191" t="s">
        <v>391</v>
      </c>
      <c r="C109" s="17" t="s">
        <v>108</v>
      </c>
      <c r="D109" s="17" t="s">
        <v>70</v>
      </c>
      <c r="E109" s="157">
        <f t="shared" si="6"/>
        <v>414.69</v>
      </c>
      <c r="F109" s="160">
        <f t="shared" si="7"/>
        <v>-4.0179411126383457E-2</v>
      </c>
      <c r="G109" s="160">
        <f t="shared" si="8"/>
        <v>4.0179411126383457E-2</v>
      </c>
      <c r="H109" s="157">
        <v>398.02800000000002</v>
      </c>
      <c r="I109" s="57">
        <v>414.69</v>
      </c>
    </row>
    <row r="110" spans="1:9" x14ac:dyDescent="0.2">
      <c r="A110" s="16">
        <v>1288</v>
      </c>
      <c r="B110" s="191" t="s">
        <v>392</v>
      </c>
      <c r="C110" s="17" t="s">
        <v>110</v>
      </c>
      <c r="D110" s="17" t="s">
        <v>70</v>
      </c>
      <c r="E110" s="157">
        <f t="shared" si="6"/>
        <v>1806.8</v>
      </c>
      <c r="F110" s="160">
        <f t="shared" si="7"/>
        <v>-4.2158512286916028E-2</v>
      </c>
      <c r="G110" s="160">
        <f t="shared" si="8"/>
        <v>4.2158512286916028E-2</v>
      </c>
      <c r="H110" s="157">
        <v>1730.6280000000002</v>
      </c>
      <c r="I110" s="57">
        <v>1806.8</v>
      </c>
    </row>
    <row r="111" spans="1:9" x14ac:dyDescent="0.2">
      <c r="A111" s="16">
        <v>1289</v>
      </c>
      <c r="B111" s="191" t="s">
        <v>393</v>
      </c>
      <c r="C111" s="17" t="s">
        <v>111</v>
      </c>
      <c r="D111" s="17" t="s">
        <v>71</v>
      </c>
      <c r="E111" s="157">
        <f t="shared" si="6"/>
        <v>19463.45</v>
      </c>
      <c r="F111" s="160">
        <f t="shared" si="7"/>
        <v>-4.1582042238143657E-2</v>
      </c>
      <c r="G111" s="160">
        <f t="shared" si="8"/>
        <v>4.1582042238143657E-2</v>
      </c>
      <c r="H111" s="157">
        <v>18654.120000000003</v>
      </c>
      <c r="I111" s="57">
        <v>19463.45</v>
      </c>
    </row>
    <row r="112" spans="1:9" x14ac:dyDescent="0.2">
      <c r="A112" s="12" t="s">
        <v>123</v>
      </c>
      <c r="B112" s="13"/>
      <c r="C112" s="13"/>
      <c r="D112" s="13"/>
      <c r="E112" s="157" t="str">
        <f t="shared" si="6"/>
        <v>SIN DATOS</v>
      </c>
      <c r="F112" s="160" t="e">
        <f t="shared" si="7"/>
        <v>#DIV/0!</v>
      </c>
      <c r="G112" s="160" t="str">
        <f t="shared" si="8"/>
        <v/>
      </c>
      <c r="H112" s="13"/>
      <c r="I112" s="61"/>
    </row>
    <row r="113" spans="1:9" x14ac:dyDescent="0.2">
      <c r="A113" s="16">
        <v>235</v>
      </c>
      <c r="B113" s="191" t="s">
        <v>394</v>
      </c>
      <c r="C113" s="17" t="s">
        <v>115</v>
      </c>
      <c r="D113" s="17" t="s">
        <v>116</v>
      </c>
      <c r="E113" s="157">
        <f t="shared" si="6"/>
        <v>34.17</v>
      </c>
      <c r="F113" s="160">
        <f t="shared" si="7"/>
        <v>-3.4942932396839432E-2</v>
      </c>
      <c r="G113" s="160">
        <f t="shared" si="8"/>
        <v>3.4942932396839432E-2</v>
      </c>
      <c r="H113" s="157">
        <v>32.975999999999999</v>
      </c>
      <c r="I113" s="57">
        <v>34.17</v>
      </c>
    </row>
    <row r="114" spans="1:9" x14ac:dyDescent="0.2">
      <c r="A114" s="16">
        <v>236</v>
      </c>
      <c r="B114" s="191" t="s">
        <v>395</v>
      </c>
      <c r="C114" s="17" t="s">
        <v>117</v>
      </c>
      <c r="D114" s="17" t="s">
        <v>116</v>
      </c>
      <c r="E114" s="157">
        <f t="shared" si="6"/>
        <v>56.58</v>
      </c>
      <c r="F114" s="160">
        <f t="shared" si="7"/>
        <v>-3.5630965005302162E-2</v>
      </c>
      <c r="G114" s="160">
        <f t="shared" si="8"/>
        <v>3.5630965005302162E-2</v>
      </c>
      <c r="H114" s="157">
        <v>54.564</v>
      </c>
      <c r="I114" s="57">
        <v>56.58</v>
      </c>
    </row>
    <row r="115" spans="1:9" x14ac:dyDescent="0.2">
      <c r="A115" s="16">
        <v>237</v>
      </c>
      <c r="B115" s="191" t="s">
        <v>396</v>
      </c>
      <c r="C115" s="17" t="s">
        <v>118</v>
      </c>
      <c r="D115" s="17" t="s">
        <v>116</v>
      </c>
      <c r="E115" s="157">
        <f t="shared" si="6"/>
        <v>103.42</v>
      </c>
      <c r="F115" s="160">
        <f t="shared" si="7"/>
        <v>-3.9025333591181766E-2</v>
      </c>
      <c r="G115" s="160">
        <f t="shared" si="8"/>
        <v>3.9025333591181766E-2</v>
      </c>
      <c r="H115" s="157">
        <v>99.383999999999986</v>
      </c>
      <c r="I115" s="57">
        <v>103.42</v>
      </c>
    </row>
    <row r="116" spans="1:9" x14ac:dyDescent="0.2">
      <c r="A116" s="16">
        <v>442</v>
      </c>
      <c r="B116" s="191" t="s">
        <v>822</v>
      </c>
      <c r="C116" s="17" t="s">
        <v>3974</v>
      </c>
      <c r="D116" s="17" t="s">
        <v>70</v>
      </c>
      <c r="E116" s="157"/>
      <c r="F116" s="160"/>
      <c r="G116" s="160"/>
      <c r="H116" s="157"/>
      <c r="I116" s="57">
        <v>769.39</v>
      </c>
    </row>
    <row r="117" spans="1:9" x14ac:dyDescent="0.2">
      <c r="A117" s="16">
        <v>585</v>
      </c>
      <c r="B117" s="191" t="s">
        <v>399</v>
      </c>
      <c r="C117" s="17" t="s">
        <v>108</v>
      </c>
      <c r="D117" s="17" t="s">
        <v>70</v>
      </c>
      <c r="E117" s="157">
        <f t="shared" si="6"/>
        <v>400.32</v>
      </c>
      <c r="F117" s="160">
        <f t="shared" si="7"/>
        <v>-4.1546762589928066E-2</v>
      </c>
      <c r="G117" s="160">
        <f t="shared" si="8"/>
        <v>4.1546762589928066E-2</v>
      </c>
      <c r="H117" s="157">
        <v>383.68799999999999</v>
      </c>
      <c r="I117" s="57">
        <v>400.32</v>
      </c>
    </row>
    <row r="118" spans="1:9" x14ac:dyDescent="0.2">
      <c r="A118" s="16">
        <v>240</v>
      </c>
      <c r="B118" s="191" t="s">
        <v>397</v>
      </c>
      <c r="C118" s="17" t="s">
        <v>110</v>
      </c>
      <c r="D118" s="17" t="s">
        <v>70</v>
      </c>
      <c r="E118" s="157">
        <f t="shared" si="6"/>
        <v>1740.67</v>
      </c>
      <c r="F118" s="160">
        <f t="shared" si="7"/>
        <v>-4.3678583533926618E-2</v>
      </c>
      <c r="G118" s="160">
        <f t="shared" si="8"/>
        <v>4.3678583533926618E-2</v>
      </c>
      <c r="H118" s="157">
        <v>1664.64</v>
      </c>
      <c r="I118" s="57">
        <v>1740.67</v>
      </c>
    </row>
    <row r="119" spans="1:9" x14ac:dyDescent="0.2">
      <c r="A119" s="16">
        <v>242</v>
      </c>
      <c r="B119" s="191" t="s">
        <v>398</v>
      </c>
      <c r="C119" s="17" t="s">
        <v>111</v>
      </c>
      <c r="D119" s="17" t="s">
        <v>71</v>
      </c>
      <c r="E119" s="157">
        <f t="shared" si="6"/>
        <v>18765.650000000001</v>
      </c>
      <c r="F119" s="160">
        <f t="shared" si="7"/>
        <v>-4.3049614588356877E-2</v>
      </c>
      <c r="G119" s="160">
        <f t="shared" si="8"/>
        <v>4.3049614588356877E-2</v>
      </c>
      <c r="H119" s="157">
        <v>17957.796000000002</v>
      </c>
      <c r="I119" s="57">
        <v>18765.650000000001</v>
      </c>
    </row>
    <row r="120" spans="1:9" x14ac:dyDescent="0.2">
      <c r="A120" s="12" t="s">
        <v>131</v>
      </c>
      <c r="B120" s="13"/>
      <c r="C120" s="13"/>
      <c r="D120" s="13"/>
      <c r="E120" s="157" t="str">
        <f t="shared" si="6"/>
        <v>SIN DATOS</v>
      </c>
      <c r="F120" s="160" t="e">
        <f t="shared" si="7"/>
        <v>#DIV/0!</v>
      </c>
      <c r="G120" s="160" t="str">
        <f t="shared" si="8"/>
        <v/>
      </c>
      <c r="H120" s="13"/>
      <c r="I120" s="61"/>
    </row>
    <row r="121" spans="1:9" x14ac:dyDescent="0.2">
      <c r="A121" s="16">
        <v>272</v>
      </c>
      <c r="B121" s="191" t="s">
        <v>400</v>
      </c>
      <c r="C121" s="17" t="s">
        <v>115</v>
      </c>
      <c r="D121" s="17" t="s">
        <v>116</v>
      </c>
      <c r="E121" s="157">
        <f t="shared" si="6"/>
        <v>42.3</v>
      </c>
      <c r="F121" s="160">
        <f t="shared" si="7"/>
        <v>-5.1914893617021285E-2</v>
      </c>
      <c r="G121" s="160">
        <f t="shared" si="8"/>
        <v>5.1914893617021285E-2</v>
      </c>
      <c r="H121" s="157">
        <v>40.103999999999999</v>
      </c>
      <c r="I121" s="57">
        <v>42.3</v>
      </c>
    </row>
    <row r="122" spans="1:9" x14ac:dyDescent="0.2">
      <c r="A122" s="16">
        <v>273</v>
      </c>
      <c r="B122" s="191" t="s">
        <v>401</v>
      </c>
      <c r="C122" s="17" t="s">
        <v>117</v>
      </c>
      <c r="D122" s="17" t="s">
        <v>116</v>
      </c>
      <c r="E122" s="157">
        <f t="shared" si="6"/>
        <v>70.44</v>
      </c>
      <c r="F122" s="160">
        <f t="shared" si="7"/>
        <v>-5.3151618398637135E-2</v>
      </c>
      <c r="G122" s="160">
        <f t="shared" si="8"/>
        <v>5.3151618398637135E-2</v>
      </c>
      <c r="H122" s="157">
        <v>66.695999999999998</v>
      </c>
      <c r="I122" s="57">
        <v>70.44</v>
      </c>
    </row>
    <row r="123" spans="1:9" x14ac:dyDescent="0.2">
      <c r="A123" s="16">
        <v>274</v>
      </c>
      <c r="B123" s="191" t="s">
        <v>402</v>
      </c>
      <c r="C123" s="17" t="s">
        <v>118</v>
      </c>
      <c r="D123" s="17" t="s">
        <v>116</v>
      </c>
      <c r="E123" s="157">
        <f t="shared" si="6"/>
        <v>131.12</v>
      </c>
      <c r="F123" s="160">
        <f t="shared" si="7"/>
        <v>-5.7077486272117173E-2</v>
      </c>
      <c r="G123" s="160">
        <f t="shared" si="8"/>
        <v>5.7077486272117173E-2</v>
      </c>
      <c r="H123" s="157">
        <v>123.636</v>
      </c>
      <c r="I123" s="57">
        <v>131.12</v>
      </c>
    </row>
    <row r="124" spans="1:9" x14ac:dyDescent="0.2">
      <c r="A124" s="16">
        <v>588</v>
      </c>
      <c r="B124" s="191" t="s">
        <v>403</v>
      </c>
      <c r="C124" s="17" t="s">
        <v>108</v>
      </c>
      <c r="D124" s="17" t="s">
        <v>70</v>
      </c>
      <c r="E124" s="157">
        <f t="shared" si="6"/>
        <v>514.36</v>
      </c>
      <c r="F124" s="160">
        <f t="shared" si="7"/>
        <v>-5.9895792829924632E-2</v>
      </c>
      <c r="G124" s="160">
        <f t="shared" si="8"/>
        <v>5.9895792829924632E-2</v>
      </c>
      <c r="H124" s="157">
        <v>483.55199999999996</v>
      </c>
      <c r="I124" s="57">
        <v>514.36</v>
      </c>
    </row>
    <row r="125" spans="1:9" x14ac:dyDescent="0.2">
      <c r="A125" s="16">
        <v>277</v>
      </c>
      <c r="B125" s="191" t="s">
        <v>404</v>
      </c>
      <c r="C125" s="17" t="s">
        <v>110</v>
      </c>
      <c r="D125" s="17" t="s">
        <v>70</v>
      </c>
      <c r="E125" s="157">
        <f t="shared" si="6"/>
        <v>2262.4699999999998</v>
      </c>
      <c r="F125" s="160">
        <f t="shared" si="7"/>
        <v>-6.2253201147418502E-2</v>
      </c>
      <c r="G125" s="160">
        <f t="shared" si="8"/>
        <v>6.2253201147418502E-2</v>
      </c>
      <c r="H125" s="157">
        <v>2121.6239999999998</v>
      </c>
      <c r="I125" s="57">
        <v>2262.4699999999998</v>
      </c>
    </row>
    <row r="126" spans="1:9" x14ac:dyDescent="0.2">
      <c r="A126" s="16">
        <v>279</v>
      </c>
      <c r="B126" s="191" t="s">
        <v>405</v>
      </c>
      <c r="C126" s="17" t="s">
        <v>111</v>
      </c>
      <c r="D126" s="17" t="s">
        <v>71</v>
      </c>
      <c r="E126" s="157">
        <f t="shared" si="6"/>
        <v>24304.97</v>
      </c>
      <c r="F126" s="160">
        <f t="shared" si="7"/>
        <v>-6.1572674230826019E-2</v>
      </c>
      <c r="G126" s="160">
        <f t="shared" si="8"/>
        <v>6.1572674230826019E-2</v>
      </c>
      <c r="H126" s="157">
        <v>22808.448</v>
      </c>
      <c r="I126" s="57">
        <v>24304.97</v>
      </c>
    </row>
    <row r="127" spans="1:9" x14ac:dyDescent="0.2">
      <c r="A127" s="12" t="s">
        <v>135</v>
      </c>
      <c r="B127" s="13"/>
      <c r="C127" s="13"/>
      <c r="D127" s="13"/>
      <c r="E127" s="157" t="str">
        <f t="shared" si="6"/>
        <v>SIN DATOS</v>
      </c>
      <c r="F127" s="160" t="e">
        <f t="shared" si="7"/>
        <v>#DIV/0!</v>
      </c>
      <c r="G127" s="160" t="str">
        <f t="shared" si="8"/>
        <v/>
      </c>
      <c r="H127" s="13"/>
      <c r="I127" s="61"/>
    </row>
    <row r="128" spans="1:9" x14ac:dyDescent="0.2">
      <c r="A128" s="16">
        <v>593</v>
      </c>
      <c r="B128" s="191" t="s">
        <v>406</v>
      </c>
      <c r="C128" s="17" t="s">
        <v>115</v>
      </c>
      <c r="D128" s="17" t="s">
        <v>116</v>
      </c>
      <c r="E128" s="157">
        <f t="shared" si="6"/>
        <v>41.57</v>
      </c>
      <c r="F128" s="160">
        <f t="shared" si="7"/>
        <v>-3.4688477267260098E-2</v>
      </c>
      <c r="G128" s="160">
        <f t="shared" si="8"/>
        <v>3.4688477267260098E-2</v>
      </c>
      <c r="H128" s="157">
        <v>40.128</v>
      </c>
      <c r="I128" s="57">
        <v>41.57</v>
      </c>
    </row>
    <row r="129" spans="1:9" x14ac:dyDescent="0.2">
      <c r="A129" s="16">
        <v>738</v>
      </c>
      <c r="B129" s="191" t="s">
        <v>407</v>
      </c>
      <c r="C129" s="17" t="s">
        <v>117</v>
      </c>
      <c r="D129" s="17" t="s">
        <v>116</v>
      </c>
      <c r="E129" s="157">
        <f t="shared" si="6"/>
        <v>69.17</v>
      </c>
      <c r="F129" s="160">
        <f t="shared" si="7"/>
        <v>-3.5246494144860474E-2</v>
      </c>
      <c r="G129" s="160">
        <f t="shared" si="8"/>
        <v>3.5246494144860474E-2</v>
      </c>
      <c r="H129" s="157">
        <v>66.731999999999999</v>
      </c>
      <c r="I129" s="57">
        <v>69.17</v>
      </c>
    </row>
    <row r="130" spans="1:9" x14ac:dyDescent="0.2">
      <c r="A130" s="16">
        <v>656</v>
      </c>
      <c r="B130" s="191" t="s">
        <v>408</v>
      </c>
      <c r="C130" s="17" t="s">
        <v>110</v>
      </c>
      <c r="D130" s="17" t="s">
        <v>70</v>
      </c>
      <c r="E130" s="157">
        <f t="shared" si="6"/>
        <v>2214.59</v>
      </c>
      <c r="F130" s="160">
        <f t="shared" si="7"/>
        <v>-4.1567062074695627E-2</v>
      </c>
      <c r="G130" s="160">
        <f t="shared" si="8"/>
        <v>4.1567062074695627E-2</v>
      </c>
      <c r="H130" s="157">
        <v>2122.5360000000001</v>
      </c>
      <c r="I130" s="57">
        <v>2214.59</v>
      </c>
    </row>
    <row r="131" spans="1:9" x14ac:dyDescent="0.2">
      <c r="A131" s="71">
        <v>781</v>
      </c>
      <c r="B131" s="231" t="s">
        <v>527</v>
      </c>
      <c r="C131" s="72" t="s">
        <v>111</v>
      </c>
      <c r="D131" s="73" t="s">
        <v>71</v>
      </c>
      <c r="E131" s="157">
        <f t="shared" si="6"/>
        <v>23800.959999999999</v>
      </c>
      <c r="F131" s="160">
        <f t="shared" si="7"/>
        <v>-4.1090359380461905E-2</v>
      </c>
      <c r="G131" s="160">
        <f t="shared" si="8"/>
        <v>4.1090359380461905E-2</v>
      </c>
      <c r="H131" s="72">
        <v>22822.97</v>
      </c>
      <c r="I131" s="94">
        <v>23800.959999999999</v>
      </c>
    </row>
    <row r="132" spans="1:9" x14ac:dyDescent="0.2">
      <c r="A132" s="12" t="s">
        <v>731</v>
      </c>
      <c r="B132" s="13"/>
      <c r="C132" s="75"/>
      <c r="D132" s="76"/>
      <c r="E132" s="157" t="str">
        <f t="shared" si="6"/>
        <v>SIN DATOS</v>
      </c>
      <c r="F132" s="160" t="e">
        <f t="shared" si="7"/>
        <v>#DIV/0!</v>
      </c>
      <c r="G132" s="160" t="str">
        <f t="shared" si="8"/>
        <v/>
      </c>
      <c r="H132" s="76"/>
      <c r="I132" s="95"/>
    </row>
    <row r="133" spans="1:9" x14ac:dyDescent="0.2">
      <c r="A133" s="16">
        <v>288</v>
      </c>
      <c r="B133" s="191" t="s">
        <v>729</v>
      </c>
      <c r="C133" s="17" t="s">
        <v>108</v>
      </c>
      <c r="D133" s="328" t="s">
        <v>70</v>
      </c>
      <c r="E133" s="157"/>
      <c r="F133" s="160"/>
      <c r="G133" s="160"/>
      <c r="H133" s="157"/>
      <c r="I133" s="57">
        <v>413.6</v>
      </c>
    </row>
    <row r="134" spans="1:9" x14ac:dyDescent="0.2">
      <c r="A134" s="16">
        <v>296</v>
      </c>
      <c r="B134" s="191" t="s">
        <v>736</v>
      </c>
      <c r="C134" s="17" t="s">
        <v>111</v>
      </c>
      <c r="D134" s="328" t="s">
        <v>71</v>
      </c>
      <c r="E134" s="157"/>
      <c r="F134" s="160"/>
      <c r="G134" s="160"/>
      <c r="H134" s="157"/>
      <c r="I134" s="57">
        <v>19410.560000000001</v>
      </c>
    </row>
    <row r="135" spans="1:9" x14ac:dyDescent="0.2">
      <c r="A135" s="12" t="s">
        <v>3973</v>
      </c>
      <c r="B135" s="13"/>
      <c r="C135" s="75"/>
      <c r="D135" s="76"/>
      <c r="E135" s="157" t="str">
        <f t="shared" ref="E135" si="9">IFERROR(VLOOKUP(B135,Base01,7,FALSE),"SIN DATOS")</f>
        <v>SIN DATOS</v>
      </c>
      <c r="F135" s="160" t="e">
        <f t="shared" ref="F135" si="10">(H135/I135)-1</f>
        <v>#DIV/0!</v>
      </c>
      <c r="G135" s="160" t="str">
        <f t="shared" ref="G135" si="11">IFERROR(ABS(F135),"")</f>
        <v/>
      </c>
      <c r="H135" s="76"/>
      <c r="I135" s="95"/>
    </row>
    <row r="136" spans="1:9" x14ac:dyDescent="0.2">
      <c r="A136" s="16">
        <v>295</v>
      </c>
      <c r="B136" s="191" t="s">
        <v>734</v>
      </c>
      <c r="C136" s="17" t="s">
        <v>110</v>
      </c>
      <c r="D136" s="328" t="s">
        <v>70</v>
      </c>
      <c r="E136" s="157"/>
      <c r="F136" s="160"/>
      <c r="G136" s="160"/>
      <c r="H136" s="157"/>
      <c r="I136" s="57">
        <v>1801.37</v>
      </c>
    </row>
    <row r="137" spans="1:9" x14ac:dyDescent="0.2">
      <c r="A137" s="12" t="s">
        <v>139</v>
      </c>
      <c r="B137" s="13"/>
      <c r="C137" s="75"/>
      <c r="D137" s="76"/>
      <c r="E137" s="157" t="str">
        <f t="shared" si="6"/>
        <v>SIN DATOS</v>
      </c>
      <c r="F137" s="160" t="e">
        <f t="shared" si="7"/>
        <v>#DIV/0!</v>
      </c>
      <c r="G137" s="160" t="str">
        <f t="shared" si="8"/>
        <v/>
      </c>
      <c r="H137" s="76"/>
      <c r="I137" s="95"/>
    </row>
    <row r="138" spans="1:9" x14ac:dyDescent="0.2">
      <c r="A138" s="16">
        <v>729</v>
      </c>
      <c r="B138" s="191" t="s">
        <v>529</v>
      </c>
      <c r="C138" s="17" t="s">
        <v>108</v>
      </c>
      <c r="D138" s="17" t="s">
        <v>70</v>
      </c>
      <c r="E138" s="157">
        <f t="shared" si="6"/>
        <v>468</v>
      </c>
      <c r="F138" s="160">
        <f t="shared" si="7"/>
        <v>-4.6068376068376105E-2</v>
      </c>
      <c r="G138" s="160">
        <f t="shared" si="8"/>
        <v>4.6068376068376105E-2</v>
      </c>
      <c r="H138" s="157">
        <v>446.44</v>
      </c>
      <c r="I138" s="57">
        <v>468</v>
      </c>
    </row>
    <row r="139" spans="1:9" x14ac:dyDescent="0.2">
      <c r="A139" s="16">
        <v>284</v>
      </c>
      <c r="B139" s="191" t="s">
        <v>409</v>
      </c>
      <c r="C139" s="17" t="s">
        <v>110</v>
      </c>
      <c r="D139" s="17" t="s">
        <v>70</v>
      </c>
      <c r="E139" s="157">
        <f t="shared" si="6"/>
        <v>2050.04</v>
      </c>
      <c r="F139" s="160">
        <f t="shared" si="7"/>
        <v>-4.8067354783321248E-2</v>
      </c>
      <c r="G139" s="160">
        <f t="shared" si="8"/>
        <v>4.8067354783321248E-2</v>
      </c>
      <c r="H139" s="157">
        <v>1951.5</v>
      </c>
      <c r="I139" s="57">
        <v>2050.04</v>
      </c>
    </row>
    <row r="140" spans="1:9" x14ac:dyDescent="0.2">
      <c r="A140" s="74">
        <v>286</v>
      </c>
      <c r="B140" s="231" t="s">
        <v>528</v>
      </c>
      <c r="C140" s="17" t="s">
        <v>111</v>
      </c>
      <c r="D140" s="17" t="s">
        <v>71</v>
      </c>
      <c r="E140" s="157">
        <f t="shared" si="6"/>
        <v>22052.73</v>
      </c>
      <c r="F140" s="160">
        <f t="shared" si="7"/>
        <v>-4.747892891265626E-2</v>
      </c>
      <c r="G140" s="160">
        <f t="shared" si="8"/>
        <v>4.747892891265626E-2</v>
      </c>
      <c r="H140" s="157">
        <v>21005.69</v>
      </c>
      <c r="I140" s="57">
        <v>22052.73</v>
      </c>
    </row>
    <row r="141" spans="1:9" x14ac:dyDescent="0.2">
      <c r="A141" s="12" t="s">
        <v>142</v>
      </c>
      <c r="B141" s="13"/>
      <c r="C141" s="13"/>
      <c r="D141" s="13"/>
      <c r="E141" s="157" t="str">
        <f t="shared" si="6"/>
        <v>SIN DATOS</v>
      </c>
      <c r="F141" s="160" t="e">
        <f t="shared" si="7"/>
        <v>#DIV/0!</v>
      </c>
      <c r="G141" s="160" t="str">
        <f t="shared" si="8"/>
        <v/>
      </c>
      <c r="H141" s="13"/>
      <c r="I141" s="61"/>
    </row>
    <row r="142" spans="1:9" x14ac:dyDescent="0.2">
      <c r="A142" s="16">
        <v>1224</v>
      </c>
      <c r="B142" s="191" t="s">
        <v>410</v>
      </c>
      <c r="C142" s="17" t="s">
        <v>144</v>
      </c>
      <c r="D142" s="17" t="s">
        <v>145</v>
      </c>
      <c r="E142" s="157">
        <f>IFERROR(VLOOKUP(B142,Base01,7,FALSE),"SIN DATOS")</f>
        <v>69.42</v>
      </c>
      <c r="F142" s="160">
        <f t="shared" si="7"/>
        <v>-1.8668971477960095E-2</v>
      </c>
      <c r="G142" s="160">
        <f t="shared" si="8"/>
        <v>1.8668971477960095E-2</v>
      </c>
      <c r="H142" s="157">
        <v>68.124000000000009</v>
      </c>
      <c r="I142" s="57">
        <v>69.42</v>
      </c>
    </row>
    <row r="143" spans="1:9" x14ac:dyDescent="0.2">
      <c r="A143" s="33">
        <v>299</v>
      </c>
      <c r="B143" s="196" t="s">
        <v>411</v>
      </c>
      <c r="C143" s="34" t="s">
        <v>110</v>
      </c>
      <c r="D143" s="34" t="s">
        <v>70</v>
      </c>
      <c r="E143" s="157">
        <f>IFERROR(VLOOKUP(B143,Base01,7,FALSE),"SIN DATOS")</f>
        <v>2461.81</v>
      </c>
      <c r="F143" s="160">
        <f t="shared" si="7"/>
        <v>-2.1100734825189593E-2</v>
      </c>
      <c r="G143" s="160">
        <f t="shared" si="8"/>
        <v>2.1100734825189593E-2</v>
      </c>
      <c r="H143" s="158">
        <v>2409.864</v>
      </c>
      <c r="I143" s="58">
        <v>2461.81</v>
      </c>
    </row>
    <row r="144" spans="1:9" ht="12" thickBot="1" x14ac:dyDescent="0.25">
      <c r="A144" s="69">
        <v>300</v>
      </c>
      <c r="B144" s="240" t="s">
        <v>530</v>
      </c>
      <c r="C144" s="70" t="s">
        <v>111</v>
      </c>
      <c r="D144" s="70" t="s">
        <v>71</v>
      </c>
      <c r="E144" s="157">
        <f>IFERROR(VLOOKUP(B144,Base01,7,FALSE),"SIN DATOS")</f>
        <v>26427.73</v>
      </c>
      <c r="F144" s="160">
        <f t="shared" si="7"/>
        <v>-2.0884881145675327E-2</v>
      </c>
      <c r="G144" s="160">
        <f t="shared" si="8"/>
        <v>2.0884881145675327E-2</v>
      </c>
      <c r="H144" s="224">
        <v>25875.79</v>
      </c>
      <c r="I144" s="96">
        <v>26427.73</v>
      </c>
    </row>
  </sheetData>
  <printOptions horizontalCentered="1"/>
  <pageMargins left="0.70866141732283472" right="0.31496062992125984" top="0.15748031496062992" bottom="0.98425196850393704" header="0.31496062992125984" footer="0.31496062992125984"/>
  <pageSetup scale="87" orientation="portrait" r:id="rId1"/>
  <rowBreaks count="1" manualBreakCount="1">
    <brk id="7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20"/>
  <sheetViews>
    <sheetView zoomScaleNormal="100" workbookViewId="0"/>
  </sheetViews>
  <sheetFormatPr baseColWidth="10" defaultRowHeight="11.25" x14ac:dyDescent="0.2"/>
  <cols>
    <col min="1" max="1" width="9.7109375" style="2" customWidth="1"/>
    <col min="2" max="2" width="14.7109375" style="2" customWidth="1"/>
    <col min="3" max="3" width="13.7109375" style="2" customWidth="1"/>
    <col min="4" max="4" width="33.7109375" style="2" customWidth="1"/>
    <col min="5" max="8" width="12.7109375" style="2" hidden="1" customWidth="1"/>
    <col min="9" max="9" width="13.7109375" style="2" customWidth="1"/>
    <col min="10" max="10" width="5.7109375" style="2" customWidth="1"/>
    <col min="11" max="11" width="9.7109375" style="2" customWidth="1"/>
    <col min="12" max="12" width="14.7109375" style="2" customWidth="1"/>
    <col min="13" max="13" width="13.7109375" style="2" customWidth="1"/>
    <col min="14" max="14" width="33.7109375" style="2" customWidth="1"/>
    <col min="15" max="18" width="12.7109375" style="2" hidden="1" customWidth="1"/>
    <col min="19" max="19" width="13.7109375" style="2" customWidth="1"/>
    <col min="20" max="16384" width="11.42578125" style="2"/>
  </cols>
  <sheetData>
    <row r="1" spans="1:10" ht="19.5" thickBot="1" x14ac:dyDescent="0.35">
      <c r="A1" s="136" t="e">
        <f>#REF!</f>
        <v>#REF!</v>
      </c>
      <c r="B1" s="134"/>
      <c r="C1" s="135"/>
      <c r="D1" s="134"/>
      <c r="E1" s="134"/>
      <c r="F1" s="134"/>
      <c r="G1" s="134"/>
      <c r="H1" s="134"/>
      <c r="I1" s="342" t="s">
        <v>464</v>
      </c>
    </row>
    <row r="2" spans="1:10" x14ac:dyDescent="0.2">
      <c r="A2" s="3" t="s">
        <v>0</v>
      </c>
      <c r="B2" s="4"/>
      <c r="C2" s="4" t="s">
        <v>1</v>
      </c>
      <c r="D2" s="4" t="s">
        <v>2</v>
      </c>
      <c r="E2" s="4"/>
      <c r="F2" s="4"/>
      <c r="G2" s="4"/>
      <c r="H2" s="4"/>
      <c r="I2" s="27" t="s">
        <v>208</v>
      </c>
    </row>
    <row r="3" spans="1:10" x14ac:dyDescent="0.2">
      <c r="A3" s="22" t="s">
        <v>155</v>
      </c>
      <c r="B3" s="35"/>
      <c r="C3" s="35"/>
      <c r="D3" s="35"/>
      <c r="E3" s="35"/>
      <c r="F3" s="35"/>
      <c r="G3" s="35"/>
      <c r="H3" s="35"/>
      <c r="I3" s="24"/>
      <c r="J3" s="1"/>
    </row>
    <row r="4" spans="1:10" x14ac:dyDescent="0.2">
      <c r="A4" s="12" t="s">
        <v>157</v>
      </c>
      <c r="B4" s="13"/>
      <c r="C4" s="13"/>
      <c r="D4" s="13"/>
      <c r="E4" s="13"/>
      <c r="F4" s="13"/>
      <c r="G4" s="13"/>
      <c r="H4" s="13"/>
      <c r="I4" s="20"/>
    </row>
    <row r="5" spans="1:10" x14ac:dyDescent="0.2">
      <c r="A5" s="16">
        <v>1816</v>
      </c>
      <c r="B5" s="191" t="s">
        <v>412</v>
      </c>
      <c r="C5" s="17" t="s">
        <v>40</v>
      </c>
      <c r="D5" s="17" t="s">
        <v>159</v>
      </c>
      <c r="E5" s="157">
        <f t="shared" ref="E5:E64" si="0">IFERROR(VLOOKUP(B5,Base01,7,FALSE),"SIN DATOS")</f>
        <v>34.1</v>
      </c>
      <c r="F5" s="160">
        <f>(H5/I5)-1</f>
        <v>-3.9296187683284356E-2</v>
      </c>
      <c r="G5" s="160">
        <f>IFERROR(ABS(F5),"")</f>
        <v>3.9296187683284356E-2</v>
      </c>
      <c r="H5" s="57">
        <v>32.760000000000005</v>
      </c>
      <c r="I5" s="57">
        <v>34.1</v>
      </c>
    </row>
    <row r="6" spans="1:10" x14ac:dyDescent="0.2">
      <c r="A6" s="16">
        <v>1814</v>
      </c>
      <c r="B6" s="191" t="s">
        <v>413</v>
      </c>
      <c r="C6" s="17" t="s">
        <v>40</v>
      </c>
      <c r="D6" s="17" t="s">
        <v>161</v>
      </c>
      <c r="E6" s="157">
        <f t="shared" si="0"/>
        <v>34.96</v>
      </c>
      <c r="F6" s="160">
        <f t="shared" ref="F6:F64" si="1">(H6/I6)-1</f>
        <v>-3.3066361556064017E-2</v>
      </c>
      <c r="G6" s="160">
        <f t="shared" ref="G6:G64" si="2">IFERROR(ABS(F6),"")</f>
        <v>3.3066361556064017E-2</v>
      </c>
      <c r="H6" s="57">
        <v>33.804000000000002</v>
      </c>
      <c r="I6" s="57">
        <v>34.96</v>
      </c>
    </row>
    <row r="7" spans="1:10" x14ac:dyDescent="0.2">
      <c r="A7" s="16">
        <v>1815</v>
      </c>
      <c r="B7" s="191" t="s">
        <v>414</v>
      </c>
      <c r="C7" s="17" t="s">
        <v>40</v>
      </c>
      <c r="D7" s="17" t="s">
        <v>162</v>
      </c>
      <c r="E7" s="157">
        <f t="shared" si="0"/>
        <v>48.2</v>
      </c>
      <c r="F7" s="160">
        <f t="shared" si="1"/>
        <v>-6.0165975103734559E-2</v>
      </c>
      <c r="G7" s="160">
        <f t="shared" si="2"/>
        <v>6.0165975103734559E-2</v>
      </c>
      <c r="H7" s="57">
        <v>45.3</v>
      </c>
      <c r="I7" s="57">
        <v>48.2</v>
      </c>
    </row>
    <row r="8" spans="1:10" x14ac:dyDescent="0.2">
      <c r="A8" s="105">
        <v>16402</v>
      </c>
      <c r="B8" s="227" t="s">
        <v>532</v>
      </c>
      <c r="C8" s="17" t="s">
        <v>170</v>
      </c>
      <c r="D8" s="17" t="s">
        <v>499</v>
      </c>
      <c r="E8" s="157">
        <f t="shared" si="0"/>
        <v>145.71</v>
      </c>
      <c r="F8" s="160">
        <f t="shared" si="1"/>
        <v>-5.1677990529133244E-2</v>
      </c>
      <c r="G8" s="160">
        <f t="shared" si="2"/>
        <v>5.1677990529133244E-2</v>
      </c>
      <c r="H8" s="57">
        <v>138.18</v>
      </c>
      <c r="I8" s="57">
        <v>145.71</v>
      </c>
    </row>
    <row r="9" spans="1:10" x14ac:dyDescent="0.2">
      <c r="A9" s="107">
        <v>16404</v>
      </c>
      <c r="B9" s="228" t="s">
        <v>531</v>
      </c>
      <c r="C9" s="34" t="s">
        <v>170</v>
      </c>
      <c r="D9" s="34" t="s">
        <v>500</v>
      </c>
      <c r="E9" s="157">
        <f t="shared" si="0"/>
        <v>67.319999999999993</v>
      </c>
      <c r="F9" s="160">
        <f t="shared" si="1"/>
        <v>-2.1984551396315943E-2</v>
      </c>
      <c r="G9" s="160">
        <f t="shared" si="2"/>
        <v>2.1984551396315943E-2</v>
      </c>
      <c r="H9" s="58">
        <v>65.84</v>
      </c>
      <c r="I9" s="58">
        <v>67.319999999999993</v>
      </c>
    </row>
    <row r="10" spans="1:10" x14ac:dyDescent="0.2">
      <c r="A10" s="108">
        <v>16403</v>
      </c>
      <c r="B10" s="229" t="s">
        <v>533</v>
      </c>
      <c r="C10" s="78" t="s">
        <v>170</v>
      </c>
      <c r="D10" s="78" t="s">
        <v>501</v>
      </c>
      <c r="E10" s="157">
        <f t="shared" si="0"/>
        <v>82.37</v>
      </c>
      <c r="F10" s="160">
        <f t="shared" si="1"/>
        <v>-2.9501031929100474E-2</v>
      </c>
      <c r="G10" s="160">
        <f t="shared" si="2"/>
        <v>2.9501031929100474E-2</v>
      </c>
      <c r="H10" s="91">
        <v>79.94</v>
      </c>
      <c r="I10" s="91">
        <v>82.37</v>
      </c>
    </row>
    <row r="11" spans="1:10" x14ac:dyDescent="0.2">
      <c r="A11" s="12" t="s">
        <v>164</v>
      </c>
      <c r="B11" s="13"/>
      <c r="C11" s="13"/>
      <c r="D11" s="13"/>
      <c r="E11" s="157" t="str">
        <f t="shared" si="0"/>
        <v>SIN DATOS</v>
      </c>
      <c r="F11" s="160" t="e">
        <f t="shared" si="1"/>
        <v>#DIV/0!</v>
      </c>
      <c r="G11" s="160" t="str">
        <f t="shared" si="2"/>
        <v/>
      </c>
      <c r="H11" s="61"/>
      <c r="I11" s="61"/>
    </row>
    <row r="12" spans="1:10" x14ac:dyDescent="0.2">
      <c r="A12" s="16">
        <v>361</v>
      </c>
      <c r="B12" s="191" t="s">
        <v>415</v>
      </c>
      <c r="C12" s="17" t="s">
        <v>165</v>
      </c>
      <c r="D12" s="17" t="s">
        <v>166</v>
      </c>
      <c r="E12" s="157">
        <f t="shared" si="0"/>
        <v>67.23</v>
      </c>
      <c r="F12" s="160">
        <f t="shared" si="1"/>
        <v>-6.6666666666666763E-2</v>
      </c>
      <c r="G12" s="160">
        <f t="shared" si="2"/>
        <v>6.6666666666666763E-2</v>
      </c>
      <c r="H12" s="57">
        <v>62.747999999999998</v>
      </c>
      <c r="I12" s="57">
        <v>67.23</v>
      </c>
    </row>
    <row r="13" spans="1:10" x14ac:dyDescent="0.2">
      <c r="A13" s="16">
        <v>392</v>
      </c>
      <c r="B13" s="191" t="s">
        <v>416</v>
      </c>
      <c r="C13" s="17" t="s">
        <v>167</v>
      </c>
      <c r="D13" s="17" t="s">
        <v>168</v>
      </c>
      <c r="E13" s="157">
        <f t="shared" si="0"/>
        <v>57.23</v>
      </c>
      <c r="F13" s="160">
        <f t="shared" si="1"/>
        <v>-6.755198322558098E-2</v>
      </c>
      <c r="G13" s="160">
        <f t="shared" si="2"/>
        <v>6.755198322558098E-2</v>
      </c>
      <c r="H13" s="57">
        <v>53.363999999999997</v>
      </c>
      <c r="I13" s="57">
        <v>57.23</v>
      </c>
    </row>
    <row r="14" spans="1:10" x14ac:dyDescent="0.2">
      <c r="A14" s="12" t="s">
        <v>169</v>
      </c>
      <c r="B14" s="13"/>
      <c r="C14" s="13"/>
      <c r="D14" s="13"/>
      <c r="E14" s="157" t="str">
        <f t="shared" si="0"/>
        <v>SIN DATOS</v>
      </c>
      <c r="F14" s="160" t="e">
        <f t="shared" si="1"/>
        <v>#DIV/0!</v>
      </c>
      <c r="G14" s="160" t="str">
        <f t="shared" si="2"/>
        <v/>
      </c>
      <c r="H14" s="61"/>
      <c r="I14" s="61"/>
    </row>
    <row r="15" spans="1:10" x14ac:dyDescent="0.2">
      <c r="A15" s="16">
        <v>16401</v>
      </c>
      <c r="B15" s="191" t="s">
        <v>417</v>
      </c>
      <c r="C15" s="17" t="s">
        <v>170</v>
      </c>
      <c r="D15" s="17" t="s">
        <v>171</v>
      </c>
      <c r="E15" s="157">
        <f t="shared" si="0"/>
        <v>77.88</v>
      </c>
      <c r="F15" s="160">
        <f t="shared" si="1"/>
        <v>-8.258859784283501E-2</v>
      </c>
      <c r="G15" s="160">
        <f t="shared" si="2"/>
        <v>8.258859784283501E-2</v>
      </c>
      <c r="H15" s="57">
        <v>71.448000000000008</v>
      </c>
      <c r="I15" s="57">
        <v>77.88</v>
      </c>
    </row>
    <row r="16" spans="1:10" x14ac:dyDescent="0.2">
      <c r="A16" s="22" t="s">
        <v>148</v>
      </c>
      <c r="B16" s="35"/>
      <c r="C16" s="32"/>
      <c r="D16" s="32"/>
      <c r="E16" s="157" t="str">
        <f t="shared" si="0"/>
        <v>SIN DATOS</v>
      </c>
      <c r="F16" s="160" t="e">
        <f t="shared" si="1"/>
        <v>#DIV/0!</v>
      </c>
      <c r="G16" s="160" t="str">
        <f t="shared" si="2"/>
        <v/>
      </c>
      <c r="H16" s="67"/>
      <c r="I16" s="67"/>
    </row>
    <row r="17" spans="1:20" x14ac:dyDescent="0.2">
      <c r="A17" s="12" t="s">
        <v>150</v>
      </c>
      <c r="B17" s="13"/>
      <c r="C17" s="13"/>
      <c r="D17" s="13"/>
      <c r="E17" s="157" t="str">
        <f t="shared" si="0"/>
        <v>SIN DATOS</v>
      </c>
      <c r="F17" s="160" t="e">
        <f t="shared" si="1"/>
        <v>#DIV/0!</v>
      </c>
      <c r="G17" s="160" t="str">
        <f t="shared" si="2"/>
        <v/>
      </c>
      <c r="H17" s="61"/>
      <c r="I17" s="61"/>
    </row>
    <row r="18" spans="1:20" x14ac:dyDescent="0.2">
      <c r="A18" s="74">
        <v>1260</v>
      </c>
      <c r="B18" s="230" t="s">
        <v>418</v>
      </c>
      <c r="C18" s="98" t="s">
        <v>153</v>
      </c>
      <c r="D18" s="98" t="s">
        <v>154</v>
      </c>
      <c r="E18" s="157">
        <f t="shared" si="0"/>
        <v>672.06</v>
      </c>
      <c r="F18" s="160">
        <f t="shared" si="1"/>
        <v>0</v>
      </c>
      <c r="G18" s="160">
        <f t="shared" si="2"/>
        <v>0</v>
      </c>
      <c r="H18" s="99">
        <v>672.06</v>
      </c>
      <c r="I18" s="99">
        <v>672.06</v>
      </c>
    </row>
    <row r="19" spans="1:20" x14ac:dyDescent="0.2">
      <c r="A19" s="22" t="s">
        <v>172</v>
      </c>
      <c r="B19" s="35"/>
      <c r="C19" s="23"/>
      <c r="D19" s="23"/>
      <c r="E19" s="157" t="str">
        <f t="shared" si="0"/>
        <v>SIN DATOS</v>
      </c>
      <c r="F19" s="160" t="e">
        <f t="shared" si="1"/>
        <v>#DIV/0!</v>
      </c>
      <c r="G19" s="160" t="str">
        <f t="shared" si="2"/>
        <v/>
      </c>
      <c r="H19" s="67"/>
      <c r="I19" s="67"/>
    </row>
    <row r="20" spans="1:20" x14ac:dyDescent="0.2">
      <c r="A20" s="51" t="s">
        <v>173</v>
      </c>
      <c r="B20" s="37"/>
      <c r="C20" s="10"/>
      <c r="D20" s="10"/>
      <c r="E20" s="157" t="str">
        <f t="shared" si="0"/>
        <v>SIN DATOS</v>
      </c>
      <c r="F20" s="160" t="e">
        <f t="shared" si="1"/>
        <v>#DIV/0!</v>
      </c>
      <c r="G20" s="160" t="str">
        <f t="shared" si="2"/>
        <v/>
      </c>
      <c r="H20" s="64"/>
      <c r="I20" s="64"/>
    </row>
    <row r="21" spans="1:20" x14ac:dyDescent="0.2">
      <c r="A21" s="12" t="s">
        <v>174</v>
      </c>
      <c r="B21" s="13"/>
      <c r="C21" s="13"/>
      <c r="D21" s="13"/>
      <c r="E21" s="157" t="str">
        <f t="shared" si="0"/>
        <v>SIN DATOS</v>
      </c>
      <c r="F21" s="160" t="e">
        <f t="shared" si="1"/>
        <v>#DIV/0!</v>
      </c>
      <c r="G21" s="160" t="str">
        <f t="shared" si="2"/>
        <v/>
      </c>
      <c r="H21" s="61"/>
      <c r="I21" s="61"/>
    </row>
    <row r="22" spans="1:20" x14ac:dyDescent="0.2">
      <c r="A22" s="33">
        <v>8</v>
      </c>
      <c r="B22" s="196" t="s">
        <v>420</v>
      </c>
      <c r="C22" s="34" t="s">
        <v>6</v>
      </c>
      <c r="D22" s="34" t="s">
        <v>130</v>
      </c>
      <c r="E22" s="157">
        <f t="shared" si="0"/>
        <v>44.44</v>
      </c>
      <c r="F22" s="160">
        <f t="shared" si="1"/>
        <v>-2.6822682268226816E-2</v>
      </c>
      <c r="G22" s="160">
        <f t="shared" si="2"/>
        <v>2.6822682268226816E-2</v>
      </c>
      <c r="H22" s="57">
        <v>43.247999999999998</v>
      </c>
      <c r="I22" s="57">
        <v>44.44</v>
      </c>
    </row>
    <row r="23" spans="1:20" x14ac:dyDescent="0.2">
      <c r="A23" s="16">
        <v>16083</v>
      </c>
      <c r="B23" s="191" t="s">
        <v>419</v>
      </c>
      <c r="C23" s="17" t="s">
        <v>175</v>
      </c>
      <c r="D23" s="17" t="s">
        <v>176</v>
      </c>
      <c r="E23" s="157">
        <f t="shared" si="0"/>
        <v>174.2</v>
      </c>
      <c r="F23" s="160">
        <f t="shared" si="1"/>
        <v>-3.6417910447761215E-2</v>
      </c>
      <c r="G23" s="160">
        <f t="shared" si="2"/>
        <v>3.6417910447761215E-2</v>
      </c>
      <c r="H23" s="57">
        <v>167.85599999999999</v>
      </c>
      <c r="I23" s="57">
        <v>174.2</v>
      </c>
      <c r="T23" s="119"/>
    </row>
    <row r="24" spans="1:20" x14ac:dyDescent="0.2">
      <c r="A24" s="16">
        <v>674</v>
      </c>
      <c r="B24" s="191" t="s">
        <v>421</v>
      </c>
      <c r="C24" s="17" t="s">
        <v>13</v>
      </c>
      <c r="D24" s="17" t="s">
        <v>70</v>
      </c>
      <c r="E24" s="157">
        <f t="shared" si="0"/>
        <v>912.64</v>
      </c>
      <c r="F24" s="160">
        <f t="shared" si="1"/>
        <v>-2.6262272089761618E-2</v>
      </c>
      <c r="G24" s="160">
        <f t="shared" si="2"/>
        <v>2.6262272089761618E-2</v>
      </c>
      <c r="H24" s="57">
        <v>888.67199999999991</v>
      </c>
      <c r="I24" s="57">
        <v>912.64</v>
      </c>
    </row>
    <row r="25" spans="1:20" x14ac:dyDescent="0.2">
      <c r="A25" s="16">
        <v>1098</v>
      </c>
      <c r="B25" s="191" t="s">
        <v>422</v>
      </c>
      <c r="C25" s="17" t="s">
        <v>22</v>
      </c>
      <c r="D25" s="17" t="s">
        <v>71</v>
      </c>
      <c r="E25" s="157">
        <f t="shared" si="0"/>
        <v>9109.77</v>
      </c>
      <c r="F25" s="160">
        <f t="shared" si="1"/>
        <v>-2.7690929628300109E-2</v>
      </c>
      <c r="G25" s="160">
        <f t="shared" si="2"/>
        <v>2.7690929628300109E-2</v>
      </c>
      <c r="H25" s="57">
        <v>8857.5120000000006</v>
      </c>
      <c r="I25" s="57">
        <v>9109.77</v>
      </c>
    </row>
    <row r="26" spans="1:20" x14ac:dyDescent="0.2">
      <c r="A26" s="12" t="s">
        <v>177</v>
      </c>
      <c r="B26" s="13"/>
      <c r="C26" s="13"/>
      <c r="D26" s="13"/>
      <c r="E26" s="157" t="str">
        <f t="shared" si="0"/>
        <v>SIN DATOS</v>
      </c>
      <c r="F26" s="160" t="e">
        <f t="shared" si="1"/>
        <v>#DIV/0!</v>
      </c>
      <c r="G26" s="160" t="str">
        <f t="shared" si="2"/>
        <v/>
      </c>
      <c r="H26" s="61"/>
      <c r="I26" s="61"/>
    </row>
    <row r="27" spans="1:20" x14ac:dyDescent="0.2">
      <c r="A27" s="16">
        <v>16</v>
      </c>
      <c r="B27" s="196" t="s">
        <v>428</v>
      </c>
      <c r="C27" s="34" t="s">
        <v>6</v>
      </c>
      <c r="D27" s="17" t="s">
        <v>130</v>
      </c>
      <c r="E27" s="157">
        <f t="shared" si="0"/>
        <v>54.36</v>
      </c>
      <c r="F27" s="160">
        <f t="shared" si="1"/>
        <v>-3.4878587196467969E-2</v>
      </c>
      <c r="G27" s="160">
        <f t="shared" si="2"/>
        <v>3.4878587196467969E-2</v>
      </c>
      <c r="H27" s="57">
        <v>52.463999999999999</v>
      </c>
      <c r="I27" s="57">
        <v>54.36</v>
      </c>
    </row>
    <row r="28" spans="1:20" x14ac:dyDescent="0.2">
      <c r="A28" s="16">
        <v>428</v>
      </c>
      <c r="B28" s="196" t="s">
        <v>807</v>
      </c>
      <c r="C28" s="17" t="s">
        <v>175</v>
      </c>
      <c r="D28" s="17" t="s">
        <v>68</v>
      </c>
      <c r="E28" s="157"/>
      <c r="F28" s="160"/>
      <c r="G28" s="160"/>
      <c r="H28" s="57"/>
      <c r="I28" s="57">
        <v>235.8</v>
      </c>
    </row>
    <row r="29" spans="1:20" x14ac:dyDescent="0.2">
      <c r="A29" s="16">
        <v>16082</v>
      </c>
      <c r="B29" s="191" t="s">
        <v>427</v>
      </c>
      <c r="C29" s="17" t="s">
        <v>175</v>
      </c>
      <c r="D29" s="17" t="s">
        <v>176</v>
      </c>
      <c r="E29" s="157">
        <f t="shared" si="0"/>
        <v>215.22</v>
      </c>
      <c r="F29" s="160">
        <f t="shared" si="1"/>
        <v>-4.2542514636186302E-2</v>
      </c>
      <c r="G29" s="160">
        <f t="shared" si="2"/>
        <v>4.2542514636186302E-2</v>
      </c>
      <c r="H29" s="57">
        <v>206.06399999999999</v>
      </c>
      <c r="I29" s="57">
        <v>215.22</v>
      </c>
    </row>
    <row r="30" spans="1:20" x14ac:dyDescent="0.2">
      <c r="A30" s="16">
        <v>632</v>
      </c>
      <c r="B30" s="191" t="s">
        <v>429</v>
      </c>
      <c r="C30" s="17" t="s">
        <v>13</v>
      </c>
      <c r="D30" s="17" t="s">
        <v>70</v>
      </c>
      <c r="E30" s="157">
        <f t="shared" si="0"/>
        <v>1116.44</v>
      </c>
      <c r="F30" s="160">
        <f t="shared" si="1"/>
        <v>-3.4026011250044785E-2</v>
      </c>
      <c r="G30" s="160">
        <f t="shared" si="2"/>
        <v>3.4026011250044785E-2</v>
      </c>
      <c r="H30" s="57">
        <v>1078.452</v>
      </c>
      <c r="I30" s="57">
        <v>1116.44</v>
      </c>
    </row>
    <row r="31" spans="1:20" x14ac:dyDescent="0.2">
      <c r="A31" s="16">
        <v>639</v>
      </c>
      <c r="B31" s="191" t="s">
        <v>430</v>
      </c>
      <c r="C31" s="17" t="s">
        <v>22</v>
      </c>
      <c r="D31" s="17" t="s">
        <v>71</v>
      </c>
      <c r="E31" s="157">
        <f t="shared" si="0"/>
        <v>11251.27</v>
      </c>
      <c r="F31" s="160">
        <f t="shared" si="1"/>
        <v>-3.5523278705426153E-2</v>
      </c>
      <c r="G31" s="160">
        <f t="shared" si="2"/>
        <v>3.5523278705426153E-2</v>
      </c>
      <c r="H31" s="57">
        <v>10851.588</v>
      </c>
      <c r="I31" s="57">
        <v>11251.27</v>
      </c>
    </row>
    <row r="32" spans="1:20" x14ac:dyDescent="0.2">
      <c r="A32" s="12" t="s">
        <v>178</v>
      </c>
      <c r="B32" s="13"/>
      <c r="C32" s="13"/>
      <c r="D32" s="13"/>
      <c r="E32" s="157" t="str">
        <f t="shared" si="0"/>
        <v>SIN DATOS</v>
      </c>
      <c r="F32" s="160" t="e">
        <f t="shared" si="1"/>
        <v>#DIV/0!</v>
      </c>
      <c r="G32" s="160" t="str">
        <f t="shared" si="2"/>
        <v/>
      </c>
      <c r="H32" s="61"/>
      <c r="I32" s="61"/>
    </row>
    <row r="33" spans="1:9" x14ac:dyDescent="0.2">
      <c r="A33" s="16">
        <v>16031</v>
      </c>
      <c r="B33" s="191" t="s">
        <v>425</v>
      </c>
      <c r="C33" s="17" t="s">
        <v>7</v>
      </c>
      <c r="D33" s="17" t="s">
        <v>130</v>
      </c>
      <c r="E33" s="157">
        <f t="shared" si="0"/>
        <v>66.459999999999994</v>
      </c>
      <c r="F33" s="160">
        <f t="shared" si="1"/>
        <v>-4.0325007523322243E-2</v>
      </c>
      <c r="G33" s="160">
        <f t="shared" si="2"/>
        <v>4.0325007523322243E-2</v>
      </c>
      <c r="H33" s="57">
        <v>63.78</v>
      </c>
      <c r="I33" s="57">
        <v>66.459999999999994</v>
      </c>
    </row>
    <row r="34" spans="1:9" x14ac:dyDescent="0.2">
      <c r="A34" s="16">
        <v>16081</v>
      </c>
      <c r="B34" s="191" t="s">
        <v>426</v>
      </c>
      <c r="C34" s="17" t="s">
        <v>175</v>
      </c>
      <c r="D34" s="17" t="s">
        <v>176</v>
      </c>
      <c r="E34" s="157">
        <f t="shared" si="0"/>
        <v>263.70999999999998</v>
      </c>
      <c r="F34" s="160">
        <f t="shared" si="1"/>
        <v>-4.6498047097190076E-2</v>
      </c>
      <c r="G34" s="160">
        <f t="shared" si="2"/>
        <v>4.6498047097190076E-2</v>
      </c>
      <c r="H34" s="57">
        <v>251.44799999999998</v>
      </c>
      <c r="I34" s="57">
        <v>263.70999999999998</v>
      </c>
    </row>
    <row r="35" spans="1:9" x14ac:dyDescent="0.2">
      <c r="A35" s="16">
        <v>16033</v>
      </c>
      <c r="B35" s="191" t="s">
        <v>423</v>
      </c>
      <c r="C35" s="17" t="s">
        <v>13</v>
      </c>
      <c r="D35" s="17" t="s">
        <v>70</v>
      </c>
      <c r="E35" s="157">
        <f t="shared" si="0"/>
        <v>1361.22</v>
      </c>
      <c r="F35" s="160">
        <f t="shared" si="1"/>
        <v>-3.9361749019262038E-2</v>
      </c>
      <c r="G35" s="160">
        <f t="shared" si="2"/>
        <v>3.9361749019262038E-2</v>
      </c>
      <c r="H35" s="57">
        <v>1307.6400000000001</v>
      </c>
      <c r="I35" s="57">
        <v>1361.22</v>
      </c>
    </row>
    <row r="36" spans="1:9" x14ac:dyDescent="0.2">
      <c r="A36" s="16">
        <v>16034</v>
      </c>
      <c r="B36" s="191" t="s">
        <v>424</v>
      </c>
      <c r="C36" s="17" t="s">
        <v>22</v>
      </c>
      <c r="D36" s="17" t="s">
        <v>71</v>
      </c>
      <c r="E36" s="157">
        <f t="shared" si="0"/>
        <v>13801.68</v>
      </c>
      <c r="F36" s="160">
        <f t="shared" si="1"/>
        <v>-4.0866329316431083E-2</v>
      </c>
      <c r="G36" s="160">
        <f t="shared" si="2"/>
        <v>4.0866329316431083E-2</v>
      </c>
      <c r="H36" s="57">
        <v>13237.655999999999</v>
      </c>
      <c r="I36" s="57">
        <v>13801.68</v>
      </c>
    </row>
    <row r="37" spans="1:9" x14ac:dyDescent="0.2">
      <c r="A37" s="12" t="s">
        <v>180</v>
      </c>
      <c r="B37" s="13"/>
      <c r="C37" s="13"/>
      <c r="D37" s="13"/>
      <c r="E37" s="157" t="str">
        <f t="shared" si="0"/>
        <v>SIN DATOS</v>
      </c>
      <c r="F37" s="160" t="e">
        <f t="shared" si="1"/>
        <v>#DIV/0!</v>
      </c>
      <c r="G37" s="160" t="str">
        <f t="shared" si="2"/>
        <v/>
      </c>
      <c r="H37" s="61"/>
      <c r="I37" s="61"/>
    </row>
    <row r="38" spans="1:9" x14ac:dyDescent="0.2">
      <c r="A38" s="74">
        <v>16029</v>
      </c>
      <c r="B38" s="230" t="s">
        <v>431</v>
      </c>
      <c r="C38" s="98" t="s">
        <v>22</v>
      </c>
      <c r="D38" s="98" t="s">
        <v>71</v>
      </c>
      <c r="E38" s="157">
        <f t="shared" si="0"/>
        <v>17765.03</v>
      </c>
      <c r="F38" s="160">
        <f t="shared" si="1"/>
        <v>-4.5441296749850646E-2</v>
      </c>
      <c r="G38" s="160">
        <f t="shared" si="2"/>
        <v>4.5441296749850646E-2</v>
      </c>
      <c r="H38" s="99">
        <v>16957.763999999999</v>
      </c>
      <c r="I38" s="99">
        <v>17765.03</v>
      </c>
    </row>
    <row r="39" spans="1:9" x14ac:dyDescent="0.2">
      <c r="A39" s="9" t="s">
        <v>181</v>
      </c>
      <c r="B39" s="37"/>
      <c r="C39" s="10"/>
      <c r="D39" s="10"/>
      <c r="E39" s="157" t="str">
        <f t="shared" si="0"/>
        <v>SIN DATOS</v>
      </c>
      <c r="F39" s="160" t="e">
        <f t="shared" si="1"/>
        <v>#DIV/0!</v>
      </c>
      <c r="G39" s="160" t="str">
        <f t="shared" si="2"/>
        <v/>
      </c>
      <c r="H39" s="64"/>
      <c r="I39" s="64"/>
    </row>
    <row r="40" spans="1:9" x14ac:dyDescent="0.2">
      <c r="A40" s="12" t="s">
        <v>502</v>
      </c>
      <c r="B40" s="13"/>
      <c r="C40" s="13"/>
      <c r="D40" s="13"/>
      <c r="E40" s="157" t="str">
        <f t="shared" si="0"/>
        <v>SIN DATOS</v>
      </c>
      <c r="F40" s="160" t="e">
        <f t="shared" si="1"/>
        <v>#DIV/0!</v>
      </c>
      <c r="G40" s="160" t="str">
        <f t="shared" si="2"/>
        <v/>
      </c>
      <c r="H40" s="61"/>
      <c r="I40" s="61"/>
    </row>
    <row r="41" spans="1:9" x14ac:dyDescent="0.2">
      <c r="A41" s="16">
        <v>16303</v>
      </c>
      <c r="B41" s="116" t="s">
        <v>534</v>
      </c>
      <c r="C41" s="17" t="s">
        <v>175</v>
      </c>
      <c r="D41" s="17" t="s">
        <v>68</v>
      </c>
      <c r="E41" s="157">
        <f t="shared" si="0"/>
        <v>353.79</v>
      </c>
      <c r="F41" s="160">
        <f t="shared" si="1"/>
        <v>-1</v>
      </c>
      <c r="G41" s="160">
        <f t="shared" si="2"/>
        <v>1</v>
      </c>
      <c r="H41" s="57"/>
      <c r="I41" s="57">
        <v>353.79</v>
      </c>
    </row>
    <row r="42" spans="1:9" x14ac:dyDescent="0.2">
      <c r="A42" s="16">
        <v>16604</v>
      </c>
      <c r="B42" s="231" t="s">
        <v>535</v>
      </c>
      <c r="C42" s="17" t="s">
        <v>13</v>
      </c>
      <c r="D42" s="17" t="s">
        <v>70</v>
      </c>
      <c r="E42" s="157">
        <f t="shared" si="0"/>
        <v>1732.13</v>
      </c>
      <c r="F42" s="160">
        <f t="shared" si="1"/>
        <v>-4.3963212922817574E-2</v>
      </c>
      <c r="G42" s="160">
        <f t="shared" si="2"/>
        <v>4.3963212922817574E-2</v>
      </c>
      <c r="H42" s="57">
        <v>1655.98</v>
      </c>
      <c r="I42" s="57">
        <v>1732.13</v>
      </c>
    </row>
    <row r="43" spans="1:9" x14ac:dyDescent="0.2">
      <c r="A43" s="16">
        <v>16705</v>
      </c>
      <c r="B43" s="117" t="s">
        <v>536</v>
      </c>
      <c r="C43" s="17" t="s">
        <v>22</v>
      </c>
      <c r="D43" s="17" t="s">
        <v>71</v>
      </c>
      <c r="E43" s="157">
        <f t="shared" si="0"/>
        <v>18032.54</v>
      </c>
      <c r="F43" s="160">
        <f t="shared" si="1"/>
        <v>-1</v>
      </c>
      <c r="G43" s="160">
        <f t="shared" si="2"/>
        <v>1</v>
      </c>
      <c r="H43" s="57"/>
      <c r="I43" s="57">
        <v>18032.54</v>
      </c>
    </row>
    <row r="44" spans="1:9" x14ac:dyDescent="0.2">
      <c r="A44" s="79" t="s">
        <v>182</v>
      </c>
      <c r="B44" s="123"/>
      <c r="C44" s="100"/>
      <c r="D44" s="100"/>
      <c r="E44" s="157" t="str">
        <f t="shared" si="0"/>
        <v>SIN DATOS</v>
      </c>
      <c r="F44" s="160" t="e">
        <f t="shared" si="1"/>
        <v>#DIV/0!</v>
      </c>
      <c r="G44" s="160" t="str">
        <f t="shared" si="2"/>
        <v/>
      </c>
      <c r="H44" s="101"/>
      <c r="I44" s="101"/>
    </row>
    <row r="45" spans="1:9" x14ac:dyDescent="0.2">
      <c r="A45" s="68">
        <v>421</v>
      </c>
      <c r="B45" s="232" t="s">
        <v>537</v>
      </c>
      <c r="C45" s="17" t="s">
        <v>175</v>
      </c>
      <c r="D45" s="17" t="s">
        <v>68</v>
      </c>
      <c r="E45" s="157">
        <f t="shared" si="0"/>
        <v>241.4</v>
      </c>
      <c r="F45" s="160">
        <f t="shared" si="1"/>
        <v>-3.1441590720795332E-2</v>
      </c>
      <c r="G45" s="160">
        <f t="shared" si="2"/>
        <v>3.1441590720795332E-2</v>
      </c>
      <c r="H45" s="93">
        <v>233.81</v>
      </c>
      <c r="I45" s="93">
        <v>241.4</v>
      </c>
    </row>
    <row r="46" spans="1:9" x14ac:dyDescent="0.2">
      <c r="A46" s="33">
        <v>419</v>
      </c>
      <c r="B46" s="196" t="s">
        <v>432</v>
      </c>
      <c r="C46" s="34" t="s">
        <v>13</v>
      </c>
      <c r="D46" s="34" t="s">
        <v>70</v>
      </c>
      <c r="E46" s="157">
        <f t="shared" si="0"/>
        <v>1123.6400000000001</v>
      </c>
      <c r="F46" s="160">
        <f t="shared" si="1"/>
        <v>-3.3957495283186701E-2</v>
      </c>
      <c r="G46" s="160">
        <f t="shared" si="2"/>
        <v>3.3957495283186701E-2</v>
      </c>
      <c r="H46" s="58">
        <v>1085.4840000000002</v>
      </c>
      <c r="I46" s="58">
        <v>1123.6400000000001</v>
      </c>
    </row>
    <row r="47" spans="1:9" x14ac:dyDescent="0.2">
      <c r="A47" s="74">
        <v>417</v>
      </c>
      <c r="B47" s="230" t="s">
        <v>433</v>
      </c>
      <c r="C47" s="98" t="s">
        <v>22</v>
      </c>
      <c r="D47" s="98" t="s">
        <v>179</v>
      </c>
      <c r="E47" s="157">
        <f t="shared" si="0"/>
        <v>11259.49</v>
      </c>
      <c r="F47" s="160">
        <f t="shared" si="1"/>
        <v>-3.5599658599101747E-2</v>
      </c>
      <c r="G47" s="160">
        <f t="shared" si="2"/>
        <v>3.5599658599101747E-2</v>
      </c>
      <c r="H47" s="99">
        <v>10858.655999999999</v>
      </c>
      <c r="I47" s="99">
        <v>11259.49</v>
      </c>
    </row>
    <row r="48" spans="1:9" x14ac:dyDescent="0.2">
      <c r="A48" s="103" t="s">
        <v>503</v>
      </c>
      <c r="B48" s="104"/>
      <c r="C48" s="85"/>
      <c r="D48" s="85"/>
      <c r="E48" s="157" t="str">
        <f t="shared" si="0"/>
        <v>SIN DATOS</v>
      </c>
      <c r="F48" s="160" t="e">
        <f t="shared" si="1"/>
        <v>#DIV/0!</v>
      </c>
      <c r="G48" s="160" t="str">
        <f t="shared" si="2"/>
        <v/>
      </c>
      <c r="H48" s="89"/>
      <c r="I48" s="89"/>
    </row>
    <row r="49" spans="1:18" x14ac:dyDescent="0.2">
      <c r="A49" s="106">
        <v>640</v>
      </c>
      <c r="B49" s="229" t="s">
        <v>538</v>
      </c>
      <c r="C49" s="102" t="s">
        <v>22</v>
      </c>
      <c r="D49" s="102" t="s">
        <v>179</v>
      </c>
      <c r="E49" s="157">
        <f t="shared" si="0"/>
        <v>10551.6</v>
      </c>
      <c r="F49" s="160">
        <f t="shared" si="1"/>
        <v>-2.103377686796315E-2</v>
      </c>
      <c r="G49" s="160">
        <f t="shared" si="2"/>
        <v>2.103377686796315E-2</v>
      </c>
      <c r="H49" s="66">
        <v>10329.66</v>
      </c>
      <c r="I49" s="66">
        <v>10551.6</v>
      </c>
    </row>
    <row r="50" spans="1:18" x14ac:dyDescent="0.2">
      <c r="A50" s="50">
        <v>641</v>
      </c>
      <c r="B50" s="234" t="s">
        <v>569</v>
      </c>
      <c r="C50" s="102" t="s">
        <v>214</v>
      </c>
      <c r="D50" s="102" t="s">
        <v>570</v>
      </c>
      <c r="E50" s="157">
        <f t="shared" si="0"/>
        <v>47.41</v>
      </c>
      <c r="F50" s="160">
        <f t="shared" si="1"/>
        <v>-2.3412782113478192E-2</v>
      </c>
      <c r="G50" s="160">
        <f t="shared" si="2"/>
        <v>2.3412782113478192E-2</v>
      </c>
      <c r="H50" s="66">
        <v>46.3</v>
      </c>
      <c r="I50" s="66">
        <v>47.41</v>
      </c>
    </row>
    <row r="51" spans="1:18" x14ac:dyDescent="0.2">
      <c r="A51" s="36" t="s">
        <v>132</v>
      </c>
      <c r="B51" s="32"/>
      <c r="C51" s="32"/>
      <c r="D51" s="32"/>
      <c r="E51" s="157" t="str">
        <f t="shared" si="0"/>
        <v>SIN DATOS</v>
      </c>
      <c r="F51" s="160" t="e">
        <f t="shared" si="1"/>
        <v>#DIV/0!</v>
      </c>
      <c r="G51" s="160" t="str">
        <f t="shared" si="2"/>
        <v/>
      </c>
      <c r="H51" s="67"/>
      <c r="I51" s="67"/>
    </row>
    <row r="52" spans="1:18" x14ac:dyDescent="0.2">
      <c r="A52" s="12" t="s">
        <v>133</v>
      </c>
      <c r="B52" s="13"/>
      <c r="C52" s="343"/>
      <c r="D52" s="343"/>
      <c r="E52" s="157" t="str">
        <f t="shared" si="0"/>
        <v>SIN DATOS</v>
      </c>
      <c r="F52" s="160" t="e">
        <f t="shared" si="1"/>
        <v>#DIV/0!</v>
      </c>
      <c r="G52" s="160" t="str">
        <f t="shared" si="2"/>
        <v/>
      </c>
      <c r="H52" s="61"/>
      <c r="I52" s="61"/>
    </row>
    <row r="53" spans="1:18" x14ac:dyDescent="0.2">
      <c r="A53" s="16">
        <v>1818</v>
      </c>
      <c r="B53" s="191" t="s">
        <v>434</v>
      </c>
      <c r="C53" s="17" t="s">
        <v>134</v>
      </c>
      <c r="D53" s="17" t="s">
        <v>74</v>
      </c>
      <c r="E53" s="157">
        <f t="shared" si="0"/>
        <v>38.61</v>
      </c>
      <c r="F53" s="160">
        <f t="shared" si="1"/>
        <v>-2.3465423465423463E-2</v>
      </c>
      <c r="G53" s="160">
        <f t="shared" si="2"/>
        <v>2.3465423465423463E-2</v>
      </c>
      <c r="H53" s="57">
        <v>37.704000000000001</v>
      </c>
      <c r="I53" s="57">
        <v>38.61</v>
      </c>
    </row>
    <row r="54" spans="1:18" x14ac:dyDescent="0.2">
      <c r="A54" s="16">
        <v>1819</v>
      </c>
      <c r="B54" s="191" t="s">
        <v>435</v>
      </c>
      <c r="C54" s="17" t="s">
        <v>136</v>
      </c>
      <c r="D54" s="17" t="s">
        <v>74</v>
      </c>
      <c r="E54" s="157">
        <f t="shared" si="0"/>
        <v>98.06</v>
      </c>
      <c r="F54" s="160">
        <f t="shared" si="1"/>
        <v>-3.0185600652661737E-2</v>
      </c>
      <c r="G54" s="160">
        <f t="shared" si="2"/>
        <v>3.0185600652661737E-2</v>
      </c>
      <c r="H54" s="57">
        <v>95.1</v>
      </c>
      <c r="I54" s="57">
        <v>98.06</v>
      </c>
    </row>
    <row r="55" spans="1:18" x14ac:dyDescent="0.2">
      <c r="A55" s="16">
        <v>410</v>
      </c>
      <c r="B55" s="191" t="s">
        <v>539</v>
      </c>
      <c r="C55" s="17" t="s">
        <v>22</v>
      </c>
      <c r="D55" s="17" t="s">
        <v>71</v>
      </c>
      <c r="E55" s="157">
        <f t="shared" si="0"/>
        <v>18951.82</v>
      </c>
      <c r="F55" s="160">
        <f t="shared" si="1"/>
        <v>-2.7459631845384802E-2</v>
      </c>
      <c r="G55" s="160">
        <f t="shared" si="2"/>
        <v>2.7459631845384802E-2</v>
      </c>
      <c r="H55" s="57">
        <v>18431.41</v>
      </c>
      <c r="I55" s="57">
        <v>18951.82</v>
      </c>
    </row>
    <row r="56" spans="1:18" ht="12.75" x14ac:dyDescent="0.2">
      <c r="A56" s="12" t="s">
        <v>137</v>
      </c>
      <c r="B56" s="13"/>
      <c r="C56" s="343"/>
      <c r="D56" s="343"/>
      <c r="E56" s="157" t="str">
        <f t="shared" si="0"/>
        <v>SIN DATOS</v>
      </c>
      <c r="F56" s="160" t="e">
        <f t="shared" si="1"/>
        <v>#DIV/0!</v>
      </c>
      <c r="G56" s="160" t="str">
        <f t="shared" si="2"/>
        <v/>
      </c>
      <c r="H56" s="61"/>
      <c r="I56" s="61"/>
      <c r="N56" s="120"/>
      <c r="O56" s="120"/>
      <c r="P56" s="120"/>
      <c r="Q56" s="120"/>
      <c r="R56" s="120"/>
    </row>
    <row r="57" spans="1:18" x14ac:dyDescent="0.2">
      <c r="A57" s="16">
        <v>1273</v>
      </c>
      <c r="B57" s="191" t="s">
        <v>436</v>
      </c>
      <c r="C57" s="17" t="s">
        <v>134</v>
      </c>
      <c r="D57" s="17" t="s">
        <v>74</v>
      </c>
      <c r="E57" s="157">
        <f t="shared" si="0"/>
        <v>47.21</v>
      </c>
      <c r="F57" s="160">
        <f t="shared" si="1"/>
        <v>-7.7822495234060596E-2</v>
      </c>
      <c r="G57" s="160">
        <f t="shared" si="2"/>
        <v>7.7822495234060596E-2</v>
      </c>
      <c r="H57" s="57">
        <v>43.536000000000001</v>
      </c>
      <c r="I57" s="57">
        <v>47.21</v>
      </c>
    </row>
    <row r="58" spans="1:18" x14ac:dyDescent="0.2">
      <c r="A58" s="16">
        <v>1274</v>
      </c>
      <c r="B58" s="191" t="s">
        <v>437</v>
      </c>
      <c r="C58" s="17" t="s">
        <v>138</v>
      </c>
      <c r="D58" s="17" t="s">
        <v>74</v>
      </c>
      <c r="E58" s="157">
        <f t="shared" si="0"/>
        <v>120.2</v>
      </c>
      <c r="F58" s="160">
        <f t="shared" si="1"/>
        <v>-8.70216306156405E-2</v>
      </c>
      <c r="G58" s="160">
        <f t="shared" si="2"/>
        <v>8.70216306156405E-2</v>
      </c>
      <c r="H58" s="57">
        <v>109.74000000000001</v>
      </c>
      <c r="I58" s="57">
        <v>120.2</v>
      </c>
    </row>
    <row r="59" spans="1:18" x14ac:dyDescent="0.2">
      <c r="A59" s="36" t="s">
        <v>140</v>
      </c>
      <c r="B59" s="32"/>
      <c r="C59" s="32"/>
      <c r="D59" s="32"/>
      <c r="E59" s="157" t="str">
        <f t="shared" si="0"/>
        <v>SIN DATOS</v>
      </c>
      <c r="F59" s="160" t="e">
        <f t="shared" si="1"/>
        <v>#DIV/0!</v>
      </c>
      <c r="G59" s="160" t="str">
        <f t="shared" si="2"/>
        <v/>
      </c>
      <c r="H59" s="67"/>
      <c r="I59" s="67"/>
    </row>
    <row r="60" spans="1:18" x14ac:dyDescent="0.2">
      <c r="A60" s="16">
        <v>17</v>
      </c>
      <c r="B60" s="191" t="s">
        <v>440</v>
      </c>
      <c r="C60" s="17" t="s">
        <v>6</v>
      </c>
      <c r="D60" s="17" t="s">
        <v>141</v>
      </c>
      <c r="E60" s="157">
        <f t="shared" si="0"/>
        <v>43.26</v>
      </c>
      <c r="F60" s="160">
        <f t="shared" si="1"/>
        <v>0</v>
      </c>
      <c r="G60" s="160">
        <f t="shared" si="2"/>
        <v>0</v>
      </c>
      <c r="H60" s="57">
        <v>43.26</v>
      </c>
      <c r="I60" s="57">
        <v>43.26</v>
      </c>
    </row>
    <row r="61" spans="1:18" x14ac:dyDescent="0.2">
      <c r="A61" s="16">
        <v>673</v>
      </c>
      <c r="B61" s="191" t="s">
        <v>439</v>
      </c>
      <c r="C61" s="17" t="s">
        <v>134</v>
      </c>
      <c r="D61" s="17" t="s">
        <v>143</v>
      </c>
      <c r="E61" s="157">
        <f t="shared" si="0"/>
        <v>42.47</v>
      </c>
      <c r="F61" s="160">
        <f t="shared" si="1"/>
        <v>-2.9432540616906033E-2</v>
      </c>
      <c r="G61" s="160">
        <f t="shared" si="2"/>
        <v>2.9432540616906033E-2</v>
      </c>
      <c r="H61" s="57">
        <v>41.22</v>
      </c>
      <c r="I61" s="57">
        <v>42.47</v>
      </c>
    </row>
    <row r="62" spans="1:18" ht="12" thickBot="1" x14ac:dyDescent="0.25">
      <c r="A62" s="52">
        <v>16161</v>
      </c>
      <c r="B62" s="235" t="s">
        <v>438</v>
      </c>
      <c r="C62" s="53" t="s">
        <v>13</v>
      </c>
      <c r="D62" s="53" t="s">
        <v>146</v>
      </c>
      <c r="E62" s="157">
        <f t="shared" si="0"/>
        <v>817.17</v>
      </c>
      <c r="F62" s="160">
        <f t="shared" si="1"/>
        <v>-3.7027791034913049E-2</v>
      </c>
      <c r="G62" s="160">
        <f t="shared" si="2"/>
        <v>3.7027791034913049E-2</v>
      </c>
      <c r="H62" s="97">
        <v>786.91200000000003</v>
      </c>
      <c r="I62" s="97">
        <v>817.17</v>
      </c>
    </row>
    <row r="63" spans="1:18" x14ac:dyDescent="0.2">
      <c r="A63" s="121">
        <v>16162</v>
      </c>
      <c r="B63" s="236" t="s">
        <v>540</v>
      </c>
      <c r="C63" s="102" t="s">
        <v>22</v>
      </c>
      <c r="D63" s="102" t="s">
        <v>504</v>
      </c>
      <c r="E63" s="157">
        <f t="shared" si="0"/>
        <v>8707.76</v>
      </c>
      <c r="F63" s="160">
        <f t="shared" si="1"/>
        <v>-3.65754223818755E-2</v>
      </c>
      <c r="G63" s="160">
        <f t="shared" si="2"/>
        <v>3.65754223818755E-2</v>
      </c>
      <c r="H63" s="122">
        <v>8389.27</v>
      </c>
      <c r="I63" s="122">
        <v>8707.76</v>
      </c>
    </row>
    <row r="64" spans="1:18" ht="12" thickBot="1" x14ac:dyDescent="0.25">
      <c r="A64" s="344">
        <v>16160</v>
      </c>
      <c r="B64" s="345" t="s">
        <v>565</v>
      </c>
      <c r="C64" s="346" t="s">
        <v>566</v>
      </c>
      <c r="D64" s="346" t="s">
        <v>567</v>
      </c>
      <c r="E64" s="334">
        <f t="shared" si="0"/>
        <v>37.67</v>
      </c>
      <c r="F64" s="335">
        <f t="shared" si="1"/>
        <v>-4.2208654101407062E-2</v>
      </c>
      <c r="G64" s="335">
        <f t="shared" si="2"/>
        <v>4.2208654101407062E-2</v>
      </c>
      <c r="H64" s="347">
        <v>36.08</v>
      </c>
      <c r="I64" s="347">
        <v>37.67</v>
      </c>
    </row>
    <row r="65" spans="1:9" ht="12" thickBot="1" x14ac:dyDescent="0.25"/>
    <row r="66" spans="1:9" ht="19.5" thickBot="1" x14ac:dyDescent="0.35">
      <c r="A66" s="136" t="e">
        <f>#REF!</f>
        <v>#REF!</v>
      </c>
      <c r="B66" s="137"/>
      <c r="C66" s="134"/>
      <c r="D66" s="134"/>
      <c r="E66" s="134"/>
      <c r="F66" s="134"/>
      <c r="G66" s="134"/>
      <c r="H66" s="134"/>
      <c r="I66" s="342" t="s">
        <v>465</v>
      </c>
    </row>
    <row r="67" spans="1:9" ht="12" thickBot="1" x14ac:dyDescent="0.25">
      <c r="A67" s="3" t="s">
        <v>0</v>
      </c>
      <c r="B67" s="4"/>
      <c r="C67" s="4" t="s">
        <v>1</v>
      </c>
      <c r="D67" s="4" t="s">
        <v>2</v>
      </c>
      <c r="E67" s="4"/>
      <c r="F67" s="4"/>
      <c r="G67" s="4"/>
      <c r="H67" s="4"/>
      <c r="I67" s="27" t="s">
        <v>207</v>
      </c>
    </row>
    <row r="68" spans="1:9" x14ac:dyDescent="0.2">
      <c r="A68" s="336" t="s">
        <v>181</v>
      </c>
      <c r="B68" s="337"/>
      <c r="C68" s="338"/>
      <c r="D68" s="338"/>
      <c r="E68" s="338"/>
      <c r="F68" s="338"/>
      <c r="G68" s="338"/>
      <c r="H68" s="338"/>
      <c r="I68" s="339"/>
    </row>
    <row r="69" spans="1:9" x14ac:dyDescent="0.2">
      <c r="A69" s="12" t="s">
        <v>183</v>
      </c>
      <c r="B69" s="13"/>
      <c r="C69" s="13"/>
      <c r="D69" s="13"/>
      <c r="E69" s="13"/>
      <c r="F69" s="13"/>
      <c r="G69" s="13"/>
      <c r="H69" s="13"/>
      <c r="I69" s="20"/>
    </row>
    <row r="70" spans="1:9" x14ac:dyDescent="0.2">
      <c r="A70" s="16">
        <v>409</v>
      </c>
      <c r="B70" s="191" t="s">
        <v>441</v>
      </c>
      <c r="C70" s="17" t="s">
        <v>13</v>
      </c>
      <c r="D70" s="17" t="s">
        <v>70</v>
      </c>
      <c r="E70" s="157">
        <f t="shared" ref="E70:E71" si="3">IFERROR(VLOOKUP(B70,Base01,7,FALSE),"SIN DATOS")</f>
        <v>3134.64</v>
      </c>
      <c r="F70" s="160">
        <f>(H70/I70)-1</f>
        <v>-6.4727049996171848E-2</v>
      </c>
      <c r="G70" s="160">
        <f>IFERROR(ABS(F70),"")</f>
        <v>6.4727049996171848E-2</v>
      </c>
      <c r="H70" s="157">
        <v>2931.7439999999997</v>
      </c>
      <c r="I70" s="57">
        <v>3134.64</v>
      </c>
    </row>
    <row r="71" spans="1:9" x14ac:dyDescent="0.2">
      <c r="A71" s="108">
        <v>431</v>
      </c>
      <c r="B71" s="229" t="s">
        <v>442</v>
      </c>
      <c r="C71" s="78" t="s">
        <v>22</v>
      </c>
      <c r="D71" s="78" t="s">
        <v>71</v>
      </c>
      <c r="E71" s="157">
        <f t="shared" si="3"/>
        <v>32743.94</v>
      </c>
      <c r="F71" s="160">
        <f t="shared" ref="F71" si="4">(H71/I71)-1</f>
        <v>-6.5226359442388304E-2</v>
      </c>
      <c r="G71" s="160">
        <f t="shared" ref="G71" si="5">IFERROR(ABS(F71),"")</f>
        <v>6.5226359442388304E-2</v>
      </c>
      <c r="H71" s="91">
        <v>30608.172000000002</v>
      </c>
      <c r="I71" s="91">
        <v>32743.94</v>
      </c>
    </row>
    <row r="72" spans="1:9" x14ac:dyDescent="0.2">
      <c r="A72" s="22" t="s">
        <v>147</v>
      </c>
      <c r="B72" s="35"/>
      <c r="C72" s="23"/>
      <c r="D72" s="23"/>
      <c r="E72" s="157" t="str">
        <f>IFERROR(VLOOKUP(B72,Base01,7,FALSE),"SIN DATOS")</f>
        <v>SIN DATOS</v>
      </c>
      <c r="F72" s="160" t="e">
        <f>(H72/I72)-1</f>
        <v>#DIV/0!</v>
      </c>
      <c r="G72" s="160" t="str">
        <f>IFERROR(ABS(F72),"")</f>
        <v/>
      </c>
      <c r="H72" s="67"/>
      <c r="I72" s="67"/>
    </row>
    <row r="73" spans="1:9" x14ac:dyDescent="0.2">
      <c r="A73" s="12" t="s">
        <v>149</v>
      </c>
      <c r="B73" s="13"/>
      <c r="C73" s="343"/>
      <c r="D73" s="343"/>
      <c r="E73" s="157" t="str">
        <f>IFERROR(VLOOKUP(B73,Base01,7,FALSE),"SIN DATOS")</f>
        <v>SIN DATOS</v>
      </c>
      <c r="F73" s="160" t="e">
        <f>(H73/I73)-1</f>
        <v>#DIV/0!</v>
      </c>
      <c r="G73" s="160" t="str">
        <f>IFERROR(ABS(F73),"")</f>
        <v/>
      </c>
      <c r="H73" s="343"/>
      <c r="I73" s="61"/>
    </row>
    <row r="74" spans="1:9" x14ac:dyDescent="0.2">
      <c r="A74" s="106">
        <v>16406</v>
      </c>
      <c r="B74" s="238" t="s">
        <v>2242</v>
      </c>
      <c r="C74" s="38" t="s">
        <v>3970</v>
      </c>
      <c r="D74" s="38" t="s">
        <v>3971</v>
      </c>
      <c r="E74" s="157"/>
      <c r="F74" s="160"/>
      <c r="G74" s="160"/>
      <c r="H74" s="212"/>
      <c r="I74" s="90">
        <v>52.86</v>
      </c>
    </row>
    <row r="75" spans="1:9" x14ac:dyDescent="0.2">
      <c r="A75" s="106">
        <v>16408</v>
      </c>
      <c r="B75" s="238" t="s">
        <v>443</v>
      </c>
      <c r="C75" s="38" t="s">
        <v>151</v>
      </c>
      <c r="D75" s="38" t="s">
        <v>152</v>
      </c>
      <c r="E75" s="157">
        <f>IFERROR(VLOOKUP(B75,Base01,7,FALSE),"SIN DATOS")</f>
        <v>1307.95</v>
      </c>
      <c r="F75" s="160">
        <f>(H75/I75)-1</f>
        <v>-2.8972055506709005E-2</v>
      </c>
      <c r="G75" s="160">
        <f>IFERROR(ABS(F75),"")</f>
        <v>2.8972055506709005E-2</v>
      </c>
      <c r="H75" s="212">
        <v>1270.056</v>
      </c>
      <c r="I75" s="90">
        <v>1307.95</v>
      </c>
    </row>
    <row r="76" spans="1:9" x14ac:dyDescent="0.2">
      <c r="A76" s="12" t="s">
        <v>156</v>
      </c>
      <c r="B76" s="13"/>
      <c r="C76" s="343"/>
      <c r="D76" s="343"/>
      <c r="E76" s="157" t="str">
        <f>IFERROR(VLOOKUP(B76,Base01,7,FALSE),"SIN DATOS")</f>
        <v>SIN DATOS</v>
      </c>
      <c r="F76" s="160" t="e">
        <f>(H76/I76)-1</f>
        <v>#DIV/0!</v>
      </c>
      <c r="G76" s="160" t="str">
        <f>IFERROR(ABS(F76),"")</f>
        <v/>
      </c>
      <c r="H76" s="343"/>
      <c r="I76" s="61"/>
    </row>
    <row r="77" spans="1:9" x14ac:dyDescent="0.2">
      <c r="A77" s="16">
        <v>16501</v>
      </c>
      <c r="B77" s="191" t="s">
        <v>467</v>
      </c>
      <c r="C77" s="17" t="s">
        <v>206</v>
      </c>
      <c r="D77" s="17" t="s">
        <v>158</v>
      </c>
      <c r="E77" s="157">
        <f>IFERROR(VLOOKUP(B77,Base01,7,FALSE),"SIN DATOS")</f>
        <v>48.49</v>
      </c>
      <c r="F77" s="160">
        <f>(H77/I77)-1</f>
        <v>4.1245617653062894E-5</v>
      </c>
      <c r="G77" s="160">
        <f>IFERROR(ABS(F77),"")</f>
        <v>4.1245617653062894E-5</v>
      </c>
      <c r="H77" s="157">
        <v>48.491999999999997</v>
      </c>
      <c r="I77" s="57">
        <v>48.49</v>
      </c>
    </row>
    <row r="78" spans="1:9" x14ac:dyDescent="0.2">
      <c r="A78" s="16">
        <v>16410</v>
      </c>
      <c r="B78" s="191" t="s">
        <v>568</v>
      </c>
      <c r="C78" s="17" t="s">
        <v>151</v>
      </c>
      <c r="D78" s="17" t="s">
        <v>152</v>
      </c>
      <c r="E78" s="157">
        <f t="shared" ref="E78" si="6">IFERROR(VLOOKUP(B78,Base01,7,FALSE),"SIN DATOS")</f>
        <v>1049.8</v>
      </c>
      <c r="F78" s="160">
        <f t="shared" ref="F78" si="7">(H78/I78)-1</f>
        <v>-4.7628119641762723E-5</v>
      </c>
      <c r="G78" s="160">
        <f t="shared" ref="G78" si="8">IFERROR(ABS(F78),"")</f>
        <v>4.7628119641762723E-5</v>
      </c>
      <c r="H78" s="157">
        <v>1049.75</v>
      </c>
      <c r="I78" s="57">
        <v>1049.8</v>
      </c>
    </row>
    <row r="79" spans="1:9" x14ac:dyDescent="0.2">
      <c r="A79" s="16">
        <v>16717</v>
      </c>
      <c r="B79" s="191" t="s">
        <v>2314</v>
      </c>
      <c r="C79" s="17" t="s">
        <v>22</v>
      </c>
      <c r="D79" s="17" t="s">
        <v>3972</v>
      </c>
      <c r="E79" s="157"/>
      <c r="F79" s="160"/>
      <c r="G79" s="160"/>
      <c r="H79" s="157"/>
      <c r="I79" s="57">
        <v>6309.28</v>
      </c>
    </row>
    <row r="80" spans="1:9" x14ac:dyDescent="0.2">
      <c r="A80" s="12" t="s">
        <v>160</v>
      </c>
      <c r="B80" s="13"/>
      <c r="C80" s="343"/>
      <c r="D80" s="343"/>
      <c r="E80" s="157" t="str">
        <f>IFERROR(VLOOKUP(B80,Base01,7,FALSE),"SIN DATOS")</f>
        <v>SIN DATOS</v>
      </c>
      <c r="F80" s="160" t="e">
        <f>(H80/I80)-1</f>
        <v>#DIV/0!</v>
      </c>
      <c r="G80" s="160" t="str">
        <f>IFERROR(ABS(F80),"")</f>
        <v/>
      </c>
      <c r="H80" s="343"/>
      <c r="I80" s="61"/>
    </row>
    <row r="81" spans="1:9" x14ac:dyDescent="0.2">
      <c r="A81" s="106">
        <v>1970</v>
      </c>
      <c r="B81" s="238" t="s">
        <v>1112</v>
      </c>
      <c r="C81" s="38" t="s">
        <v>151</v>
      </c>
      <c r="D81" s="38" t="s">
        <v>3969</v>
      </c>
      <c r="E81" s="157"/>
      <c r="F81" s="160"/>
      <c r="G81" s="160"/>
      <c r="H81" s="212"/>
      <c r="I81" s="90">
        <v>1651.4</v>
      </c>
    </row>
    <row r="82" spans="1:9" x14ac:dyDescent="0.2">
      <c r="A82" s="106">
        <v>16407</v>
      </c>
      <c r="B82" s="238" t="s">
        <v>444</v>
      </c>
      <c r="C82" s="38" t="s">
        <v>151</v>
      </c>
      <c r="D82" s="38" t="s">
        <v>152</v>
      </c>
      <c r="E82" s="157">
        <f t="shared" ref="E82:E118" si="9">IFERROR(VLOOKUP(B82,Base01,7,FALSE),"SIN DATOS")</f>
        <v>1338.47</v>
      </c>
      <c r="F82" s="160">
        <f t="shared" ref="F82:F118" si="10">(H82/I82)-1</f>
        <v>-4.3676735376960707E-3</v>
      </c>
      <c r="G82" s="160">
        <f t="shared" ref="G82:G118" si="11">IFERROR(ABS(F82),"")</f>
        <v>4.3676735376960707E-3</v>
      </c>
      <c r="H82" s="212">
        <v>1332.624</v>
      </c>
      <c r="I82" s="90">
        <v>1338.47</v>
      </c>
    </row>
    <row r="83" spans="1:9" x14ac:dyDescent="0.2">
      <c r="A83" s="106">
        <v>16254</v>
      </c>
      <c r="B83" s="238" t="s">
        <v>541</v>
      </c>
      <c r="C83" s="38" t="s">
        <v>175</v>
      </c>
      <c r="D83" s="38" t="s">
        <v>158</v>
      </c>
      <c r="E83" s="157">
        <f t="shared" si="9"/>
        <v>246.98</v>
      </c>
      <c r="F83" s="160">
        <f t="shared" si="10"/>
        <v>-1.0689124625475666E-2</v>
      </c>
      <c r="G83" s="160">
        <f t="shared" si="11"/>
        <v>1.0689124625475666E-2</v>
      </c>
      <c r="H83" s="212">
        <v>244.34</v>
      </c>
      <c r="I83" s="90">
        <v>246.98</v>
      </c>
    </row>
    <row r="84" spans="1:9" x14ac:dyDescent="0.2">
      <c r="A84" s="106">
        <v>16720</v>
      </c>
      <c r="B84" s="238" t="s">
        <v>542</v>
      </c>
      <c r="C84" s="38" t="s">
        <v>22</v>
      </c>
      <c r="D84" s="38" t="s">
        <v>71</v>
      </c>
      <c r="E84" s="157">
        <f t="shared" si="9"/>
        <v>12805.8</v>
      </c>
      <c r="F84" s="160">
        <f t="shared" si="10"/>
        <v>-4.5323212919144984E-3</v>
      </c>
      <c r="G84" s="160">
        <f t="shared" si="11"/>
        <v>4.5323212919144984E-3</v>
      </c>
      <c r="H84" s="212">
        <v>12747.76</v>
      </c>
      <c r="I84" s="90">
        <v>12805.8</v>
      </c>
    </row>
    <row r="85" spans="1:9" x14ac:dyDescent="0.2">
      <c r="A85" s="12" t="s">
        <v>163</v>
      </c>
      <c r="B85" s="13"/>
      <c r="C85" s="343"/>
      <c r="D85" s="343"/>
      <c r="E85" s="157" t="str">
        <f t="shared" si="9"/>
        <v>SIN DATOS</v>
      </c>
      <c r="F85" s="160" t="e">
        <f t="shared" si="10"/>
        <v>#DIV/0!</v>
      </c>
      <c r="G85" s="160" t="str">
        <f t="shared" si="11"/>
        <v/>
      </c>
      <c r="H85" s="343"/>
      <c r="I85" s="61"/>
    </row>
    <row r="86" spans="1:9" x14ac:dyDescent="0.2">
      <c r="A86" s="106">
        <v>16409</v>
      </c>
      <c r="B86" s="238" t="s">
        <v>445</v>
      </c>
      <c r="C86" s="38" t="s">
        <v>151</v>
      </c>
      <c r="D86" s="38" t="s">
        <v>152</v>
      </c>
      <c r="E86" s="157">
        <f t="shared" si="9"/>
        <v>1422.74</v>
      </c>
      <c r="F86" s="160">
        <f t="shared" si="10"/>
        <v>2.8114764467623843E-6</v>
      </c>
      <c r="G86" s="160">
        <f t="shared" si="11"/>
        <v>2.8114764467623843E-6</v>
      </c>
      <c r="H86" s="212">
        <v>1422.7439999999999</v>
      </c>
      <c r="I86" s="90">
        <v>1422.74</v>
      </c>
    </row>
    <row r="87" spans="1:9" x14ac:dyDescent="0.2">
      <c r="A87" s="106">
        <v>16719</v>
      </c>
      <c r="B87" s="238" t="s">
        <v>543</v>
      </c>
      <c r="C87" s="38" t="s">
        <v>22</v>
      </c>
      <c r="D87" s="38" t="s">
        <v>71</v>
      </c>
      <c r="E87" s="157">
        <f t="shared" si="9"/>
        <v>13358.48</v>
      </c>
      <c r="F87" s="160">
        <f t="shared" si="10"/>
        <v>0</v>
      </c>
      <c r="G87" s="160">
        <f t="shared" si="11"/>
        <v>0</v>
      </c>
      <c r="H87" s="212">
        <v>13358.48</v>
      </c>
      <c r="I87" s="90">
        <v>13358.48</v>
      </c>
    </row>
    <row r="88" spans="1:9" x14ac:dyDescent="0.2">
      <c r="A88" s="110" t="s">
        <v>209</v>
      </c>
      <c r="B88" s="111"/>
      <c r="C88" s="112"/>
      <c r="D88" s="113"/>
      <c r="E88" s="157" t="str">
        <f t="shared" si="9"/>
        <v>SIN DATOS</v>
      </c>
      <c r="F88" s="160" t="e">
        <f t="shared" si="10"/>
        <v>#DIV/0!</v>
      </c>
      <c r="G88" s="160" t="str">
        <f t="shared" si="11"/>
        <v/>
      </c>
      <c r="H88" s="225"/>
      <c r="I88" s="114"/>
    </row>
    <row r="89" spans="1:9" x14ac:dyDescent="0.2">
      <c r="A89" s="106">
        <v>39</v>
      </c>
      <c r="B89" s="238" t="s">
        <v>449</v>
      </c>
      <c r="C89" s="38" t="s">
        <v>13</v>
      </c>
      <c r="D89" s="38" t="s">
        <v>210</v>
      </c>
      <c r="E89" s="157">
        <f t="shared" si="9"/>
        <v>2102.5500000000002</v>
      </c>
      <c r="F89" s="160">
        <f t="shared" si="10"/>
        <v>-6.5073553542127516E-2</v>
      </c>
      <c r="G89" s="160">
        <f t="shared" si="11"/>
        <v>6.5073553542127516E-2</v>
      </c>
      <c r="H89" s="212">
        <v>1965.7295999999999</v>
      </c>
      <c r="I89" s="90">
        <v>2102.5500000000002</v>
      </c>
    </row>
    <row r="90" spans="1:9" x14ac:dyDescent="0.2">
      <c r="A90" s="106">
        <v>1213</v>
      </c>
      <c r="B90" s="238" t="s">
        <v>446</v>
      </c>
      <c r="C90" s="38" t="s">
        <v>22</v>
      </c>
      <c r="D90" s="38" t="s">
        <v>210</v>
      </c>
      <c r="E90" s="157">
        <f t="shared" si="9"/>
        <v>22412.39</v>
      </c>
      <c r="F90" s="160">
        <f t="shared" si="10"/>
        <v>-6.6256209177156022E-2</v>
      </c>
      <c r="G90" s="160">
        <f t="shared" si="11"/>
        <v>6.6256209177156022E-2</v>
      </c>
      <c r="H90" s="212">
        <v>20927.43</v>
      </c>
      <c r="I90" s="90">
        <v>22412.39</v>
      </c>
    </row>
    <row r="91" spans="1:9" x14ac:dyDescent="0.2">
      <c r="A91" s="106">
        <v>1217</v>
      </c>
      <c r="B91" s="238" t="s">
        <v>448</v>
      </c>
      <c r="C91" s="38" t="s">
        <v>13</v>
      </c>
      <c r="D91" s="38" t="s">
        <v>211</v>
      </c>
      <c r="E91" s="157">
        <f t="shared" si="9"/>
        <v>2200.54</v>
      </c>
      <c r="F91" s="160">
        <f t="shared" si="10"/>
        <v>-7.3533405436847388E-2</v>
      </c>
      <c r="G91" s="160">
        <f t="shared" si="11"/>
        <v>7.3533405436847388E-2</v>
      </c>
      <c r="H91" s="212">
        <v>2038.7267999999999</v>
      </c>
      <c r="I91" s="90">
        <v>2200.54</v>
      </c>
    </row>
    <row r="92" spans="1:9" x14ac:dyDescent="0.2">
      <c r="A92" s="106">
        <v>1214</v>
      </c>
      <c r="B92" s="238" t="s">
        <v>447</v>
      </c>
      <c r="C92" s="38" t="s">
        <v>22</v>
      </c>
      <c r="D92" s="38" t="s">
        <v>211</v>
      </c>
      <c r="E92" s="157">
        <f t="shared" si="9"/>
        <v>23068.240000000002</v>
      </c>
      <c r="F92" s="160">
        <f t="shared" si="10"/>
        <v>-7.3967688909080231E-2</v>
      </c>
      <c r="G92" s="160">
        <f t="shared" si="11"/>
        <v>7.3967688909080231E-2</v>
      </c>
      <c r="H92" s="212">
        <v>21361.935600000001</v>
      </c>
      <c r="I92" s="90">
        <v>23068.240000000002</v>
      </c>
    </row>
    <row r="93" spans="1:9" x14ac:dyDescent="0.2">
      <c r="A93" s="106">
        <v>40</v>
      </c>
      <c r="B93" s="238" t="s">
        <v>450</v>
      </c>
      <c r="C93" s="38" t="s">
        <v>13</v>
      </c>
      <c r="D93" s="38" t="s">
        <v>212</v>
      </c>
      <c r="E93" s="157">
        <f t="shared" si="9"/>
        <v>2216.89</v>
      </c>
      <c r="F93" s="160">
        <f t="shared" si="10"/>
        <v>-7.3755396072876844E-2</v>
      </c>
      <c r="G93" s="160">
        <f t="shared" si="11"/>
        <v>7.3755396072876844E-2</v>
      </c>
      <c r="H93" s="212">
        <v>2053.3824</v>
      </c>
      <c r="I93" s="90">
        <v>2216.89</v>
      </c>
    </row>
    <row r="94" spans="1:9" x14ac:dyDescent="0.2">
      <c r="A94" s="106">
        <v>1215</v>
      </c>
      <c r="B94" s="238" t="s">
        <v>451</v>
      </c>
      <c r="C94" s="38" t="s">
        <v>22</v>
      </c>
      <c r="D94" s="38" t="s">
        <v>212</v>
      </c>
      <c r="E94" s="157">
        <f t="shared" si="9"/>
        <v>23178.99</v>
      </c>
      <c r="F94" s="160">
        <f t="shared" si="10"/>
        <v>-7.4078171654588854E-2</v>
      </c>
      <c r="G94" s="160">
        <f t="shared" si="11"/>
        <v>7.4078171654588854E-2</v>
      </c>
      <c r="H94" s="212">
        <v>21461.932800000002</v>
      </c>
      <c r="I94" s="90">
        <v>23178.99</v>
      </c>
    </row>
    <row r="95" spans="1:9" x14ac:dyDescent="0.2">
      <c r="A95" s="348" t="s">
        <v>213</v>
      </c>
      <c r="B95" s="349"/>
      <c r="C95" s="350"/>
      <c r="D95" s="350" t="s">
        <v>202</v>
      </c>
      <c r="E95" s="157" t="str">
        <f t="shared" si="9"/>
        <v>SIN DATOS</v>
      </c>
      <c r="F95" s="160" t="e">
        <f t="shared" si="10"/>
        <v>#DIV/0!</v>
      </c>
      <c r="G95" s="160" t="str">
        <f t="shared" si="11"/>
        <v/>
      </c>
      <c r="H95" s="350"/>
      <c r="I95" s="351"/>
    </row>
    <row r="96" spans="1:9" x14ac:dyDescent="0.2">
      <c r="A96" s="352">
        <v>432</v>
      </c>
      <c r="B96" s="237" t="s">
        <v>544</v>
      </c>
      <c r="C96" s="109" t="s">
        <v>214</v>
      </c>
      <c r="D96" s="109" t="s">
        <v>473</v>
      </c>
      <c r="E96" s="157">
        <f t="shared" si="9"/>
        <v>209.98</v>
      </c>
      <c r="F96" s="160">
        <f t="shared" si="10"/>
        <v>-7.8655110010477203E-2</v>
      </c>
      <c r="G96" s="160">
        <f t="shared" si="11"/>
        <v>7.8655110010477203E-2</v>
      </c>
      <c r="H96" s="226">
        <v>193.464</v>
      </c>
      <c r="I96" s="353">
        <v>209.98</v>
      </c>
    </row>
    <row r="97" spans="1:9" x14ac:dyDescent="0.2">
      <c r="A97" s="352">
        <v>16800</v>
      </c>
      <c r="B97" s="237" t="s">
        <v>545</v>
      </c>
      <c r="C97" s="109" t="s">
        <v>214</v>
      </c>
      <c r="D97" s="109" t="s">
        <v>474</v>
      </c>
      <c r="E97" s="157">
        <f t="shared" si="9"/>
        <v>185.57</v>
      </c>
      <c r="F97" s="160">
        <f t="shared" si="10"/>
        <v>-0.10033949453036572</v>
      </c>
      <c r="G97" s="160">
        <f t="shared" si="11"/>
        <v>0.10033949453036572</v>
      </c>
      <c r="H97" s="226">
        <v>166.95000000000002</v>
      </c>
      <c r="I97" s="353">
        <v>185.57</v>
      </c>
    </row>
    <row r="98" spans="1:9" x14ac:dyDescent="0.2">
      <c r="A98" s="106">
        <v>16801</v>
      </c>
      <c r="B98" s="238" t="s">
        <v>546</v>
      </c>
      <c r="C98" s="109" t="s">
        <v>214</v>
      </c>
      <c r="D98" s="82" t="s">
        <v>482</v>
      </c>
      <c r="E98" s="157">
        <f t="shared" si="9"/>
        <v>115.26</v>
      </c>
      <c r="F98" s="160">
        <f t="shared" si="10"/>
        <v>-8.5788651743883393E-2</v>
      </c>
      <c r="G98" s="160">
        <f t="shared" si="11"/>
        <v>8.5788651743883393E-2</v>
      </c>
      <c r="H98" s="211">
        <v>105.372</v>
      </c>
      <c r="I98" s="354">
        <v>115.26</v>
      </c>
    </row>
    <row r="99" spans="1:9" x14ac:dyDescent="0.2">
      <c r="A99" s="106">
        <v>10185</v>
      </c>
      <c r="B99" s="238" t="s">
        <v>547</v>
      </c>
      <c r="C99" s="109" t="s">
        <v>214</v>
      </c>
      <c r="D99" s="82" t="s">
        <v>475</v>
      </c>
      <c r="E99" s="157">
        <f t="shared" si="9"/>
        <v>93.46</v>
      </c>
      <c r="F99" s="160">
        <f t="shared" si="10"/>
        <v>-1</v>
      </c>
      <c r="G99" s="160">
        <f t="shared" si="11"/>
        <v>1</v>
      </c>
      <c r="H99" s="211"/>
      <c r="I99" s="354">
        <v>93.46</v>
      </c>
    </row>
    <row r="100" spans="1:9" x14ac:dyDescent="0.2">
      <c r="A100" s="106">
        <v>10186</v>
      </c>
      <c r="B100" s="238" t="s">
        <v>515</v>
      </c>
      <c r="C100" s="109" t="s">
        <v>214</v>
      </c>
      <c r="D100" s="82" t="s">
        <v>481</v>
      </c>
      <c r="E100" s="157">
        <f t="shared" si="9"/>
        <v>86.18</v>
      </c>
      <c r="F100" s="160">
        <f t="shared" si="10"/>
        <v>-1</v>
      </c>
      <c r="G100" s="160">
        <f t="shared" si="11"/>
        <v>1</v>
      </c>
      <c r="H100" s="211"/>
      <c r="I100" s="354">
        <v>86.18</v>
      </c>
    </row>
    <row r="101" spans="1:9" x14ac:dyDescent="0.2">
      <c r="A101" s="106">
        <v>16170</v>
      </c>
      <c r="B101" s="238" t="s">
        <v>550</v>
      </c>
      <c r="C101" s="109" t="s">
        <v>214</v>
      </c>
      <c r="D101" s="82" t="s">
        <v>480</v>
      </c>
      <c r="E101" s="157">
        <f t="shared" si="9"/>
        <v>111.04</v>
      </c>
      <c r="F101" s="160">
        <f t="shared" si="10"/>
        <v>-9.4812680115273662E-2</v>
      </c>
      <c r="G101" s="160">
        <f t="shared" si="11"/>
        <v>9.4812680115273662E-2</v>
      </c>
      <c r="H101" s="211">
        <v>100.51200000000001</v>
      </c>
      <c r="I101" s="354">
        <v>111.04</v>
      </c>
    </row>
    <row r="102" spans="1:9" x14ac:dyDescent="0.2">
      <c r="A102" s="106">
        <v>1167</v>
      </c>
      <c r="B102" s="238" t="s">
        <v>549</v>
      </c>
      <c r="C102" s="109" t="s">
        <v>214</v>
      </c>
      <c r="D102" s="82" t="s">
        <v>488</v>
      </c>
      <c r="E102" s="157">
        <f t="shared" si="9"/>
        <v>106.94</v>
      </c>
      <c r="F102" s="160">
        <f t="shared" si="10"/>
        <v>-9.27622966149243E-2</v>
      </c>
      <c r="G102" s="160">
        <f t="shared" si="11"/>
        <v>9.27622966149243E-2</v>
      </c>
      <c r="H102" s="211">
        <v>97.02</v>
      </c>
      <c r="I102" s="354">
        <v>106.94</v>
      </c>
    </row>
    <row r="103" spans="1:9" x14ac:dyDescent="0.2">
      <c r="A103" s="106">
        <v>16802</v>
      </c>
      <c r="B103" s="238" t="s">
        <v>513</v>
      </c>
      <c r="C103" s="109" t="s">
        <v>214</v>
      </c>
      <c r="D103" s="82" t="s">
        <v>479</v>
      </c>
      <c r="E103" s="157">
        <f t="shared" si="9"/>
        <v>86.36</v>
      </c>
      <c r="F103" s="160">
        <f t="shared" si="10"/>
        <v>-1</v>
      </c>
      <c r="G103" s="160">
        <f t="shared" si="11"/>
        <v>1</v>
      </c>
      <c r="H103" s="211"/>
      <c r="I103" s="354">
        <v>86.36</v>
      </c>
    </row>
    <row r="104" spans="1:9" x14ac:dyDescent="0.2">
      <c r="A104" s="106">
        <v>16803</v>
      </c>
      <c r="B104" s="238" t="s">
        <v>468</v>
      </c>
      <c r="C104" s="109" t="s">
        <v>214</v>
      </c>
      <c r="D104" s="82" t="s">
        <v>483</v>
      </c>
      <c r="E104" s="157">
        <f t="shared" si="9"/>
        <v>91.35</v>
      </c>
      <c r="F104" s="160">
        <f t="shared" si="10"/>
        <v>3.2216748768472803E-2</v>
      </c>
      <c r="G104" s="160">
        <f t="shared" si="11"/>
        <v>3.2216748768472803E-2</v>
      </c>
      <c r="H104" s="211">
        <v>94.292999999999992</v>
      </c>
      <c r="I104" s="354">
        <v>91.35</v>
      </c>
    </row>
    <row r="105" spans="1:9" x14ac:dyDescent="0.2">
      <c r="A105" s="106">
        <v>16843</v>
      </c>
      <c r="B105" s="238" t="s">
        <v>512</v>
      </c>
      <c r="C105" s="109" t="s">
        <v>214</v>
      </c>
      <c r="D105" s="82" t="s">
        <v>484</v>
      </c>
      <c r="E105" s="157">
        <f t="shared" si="9"/>
        <v>107.85</v>
      </c>
      <c r="F105" s="160">
        <f t="shared" si="10"/>
        <v>-6.4534075104311528E-2</v>
      </c>
      <c r="G105" s="160">
        <f t="shared" si="11"/>
        <v>6.4534075104311528E-2</v>
      </c>
      <c r="H105" s="211">
        <v>100.89</v>
      </c>
      <c r="I105" s="354">
        <v>107.85</v>
      </c>
    </row>
    <row r="106" spans="1:9" x14ac:dyDescent="0.2">
      <c r="A106" s="352">
        <v>1135</v>
      </c>
      <c r="B106" s="237" t="s">
        <v>452</v>
      </c>
      <c r="C106" s="109" t="s">
        <v>214</v>
      </c>
      <c r="D106" s="109" t="s">
        <v>215</v>
      </c>
      <c r="E106" s="157">
        <f t="shared" si="9"/>
        <v>81.92</v>
      </c>
      <c r="F106" s="160">
        <f t="shared" si="10"/>
        <v>-7.3588867187500018E-2</v>
      </c>
      <c r="G106" s="160">
        <f t="shared" si="11"/>
        <v>7.3588867187500018E-2</v>
      </c>
      <c r="H106" s="226">
        <v>75.891599999999997</v>
      </c>
      <c r="I106" s="355">
        <v>81.92</v>
      </c>
    </row>
    <row r="107" spans="1:9" x14ac:dyDescent="0.2">
      <c r="A107" s="352">
        <v>1140</v>
      </c>
      <c r="B107" s="237" t="s">
        <v>453</v>
      </c>
      <c r="C107" s="109" t="s">
        <v>214</v>
      </c>
      <c r="D107" s="109" t="s">
        <v>216</v>
      </c>
      <c r="E107" s="157">
        <f t="shared" si="9"/>
        <v>82.07</v>
      </c>
      <c r="F107" s="160">
        <f t="shared" si="10"/>
        <v>-7.0149872060435992E-2</v>
      </c>
      <c r="G107" s="160">
        <f t="shared" si="11"/>
        <v>7.0149872060435992E-2</v>
      </c>
      <c r="H107" s="226">
        <v>76.31280000000001</v>
      </c>
      <c r="I107" s="355">
        <v>82.07</v>
      </c>
    </row>
    <row r="108" spans="1:9" x14ac:dyDescent="0.2">
      <c r="A108" s="352">
        <v>1139</v>
      </c>
      <c r="B108" s="237" t="s">
        <v>454</v>
      </c>
      <c r="C108" s="109" t="s">
        <v>214</v>
      </c>
      <c r="D108" s="109" t="s">
        <v>548</v>
      </c>
      <c r="E108" s="157">
        <f t="shared" si="9"/>
        <v>99.11</v>
      </c>
      <c r="F108" s="160">
        <f t="shared" si="10"/>
        <v>-8.4762385228533965E-2</v>
      </c>
      <c r="G108" s="160">
        <f t="shared" si="11"/>
        <v>8.4762385228533965E-2</v>
      </c>
      <c r="H108" s="226">
        <v>90.709199999999996</v>
      </c>
      <c r="I108" s="355">
        <v>99.11</v>
      </c>
    </row>
    <row r="109" spans="1:9" x14ac:dyDescent="0.2">
      <c r="A109" s="352">
        <v>1208</v>
      </c>
      <c r="B109" s="237" t="s">
        <v>455</v>
      </c>
      <c r="C109" s="109" t="s">
        <v>214</v>
      </c>
      <c r="D109" s="109" t="s">
        <v>217</v>
      </c>
      <c r="E109" s="157">
        <f t="shared" si="9"/>
        <v>82.85</v>
      </c>
      <c r="F109" s="160">
        <f t="shared" si="10"/>
        <v>-7.6166566083282872E-2</v>
      </c>
      <c r="G109" s="160">
        <f t="shared" si="11"/>
        <v>7.6166566083282872E-2</v>
      </c>
      <c r="H109" s="226">
        <v>76.539600000000007</v>
      </c>
      <c r="I109" s="355">
        <v>82.85</v>
      </c>
    </row>
    <row r="110" spans="1:9" x14ac:dyDescent="0.2">
      <c r="A110" s="352">
        <v>1169</v>
      </c>
      <c r="B110" s="237" t="s">
        <v>551</v>
      </c>
      <c r="C110" s="109" t="s">
        <v>214</v>
      </c>
      <c r="D110" s="109" t="s">
        <v>492</v>
      </c>
      <c r="E110" s="157">
        <f t="shared" si="9"/>
        <v>89.83</v>
      </c>
      <c r="F110" s="160">
        <f t="shared" si="10"/>
        <v>-6.1126572414560876E-2</v>
      </c>
      <c r="G110" s="160">
        <f t="shared" si="11"/>
        <v>6.1126572414560876E-2</v>
      </c>
      <c r="H110" s="226">
        <v>84.338999999999999</v>
      </c>
      <c r="I110" s="355">
        <v>89.83</v>
      </c>
    </row>
    <row r="111" spans="1:9" x14ac:dyDescent="0.2">
      <c r="A111" s="352">
        <v>1221</v>
      </c>
      <c r="B111" s="237" t="s">
        <v>456</v>
      </c>
      <c r="C111" s="109" t="s">
        <v>214</v>
      </c>
      <c r="D111" s="109" t="s">
        <v>218</v>
      </c>
      <c r="E111" s="157">
        <f t="shared" si="9"/>
        <v>98.52</v>
      </c>
      <c r="F111" s="160">
        <f t="shared" si="10"/>
        <v>-6.1303288672350686E-2</v>
      </c>
      <c r="G111" s="160">
        <f t="shared" si="11"/>
        <v>6.1303288672350686E-2</v>
      </c>
      <c r="H111" s="226">
        <v>92.480400000000003</v>
      </c>
      <c r="I111" s="355">
        <v>98.52</v>
      </c>
    </row>
    <row r="112" spans="1:9" x14ac:dyDescent="0.2">
      <c r="A112" s="352">
        <v>1202</v>
      </c>
      <c r="B112" s="237" t="s">
        <v>457</v>
      </c>
      <c r="C112" s="109" t="s">
        <v>214</v>
      </c>
      <c r="D112" s="109" t="s">
        <v>219</v>
      </c>
      <c r="E112" s="157">
        <f t="shared" si="9"/>
        <v>84.59</v>
      </c>
      <c r="F112" s="160">
        <f t="shared" si="10"/>
        <v>-5.2653978011585223E-2</v>
      </c>
      <c r="G112" s="160">
        <f t="shared" si="11"/>
        <v>5.2653978011585223E-2</v>
      </c>
      <c r="H112" s="226">
        <v>80.13600000000001</v>
      </c>
      <c r="I112" s="355">
        <v>84.59</v>
      </c>
    </row>
    <row r="113" spans="1:9" x14ac:dyDescent="0.2">
      <c r="A113" s="352">
        <v>1099</v>
      </c>
      <c r="B113" s="237" t="s">
        <v>458</v>
      </c>
      <c r="C113" s="109" t="s">
        <v>214</v>
      </c>
      <c r="D113" s="109" t="s">
        <v>220</v>
      </c>
      <c r="E113" s="157">
        <f t="shared" si="9"/>
        <v>40.200000000000003</v>
      </c>
      <c r="F113" s="160">
        <f t="shared" si="10"/>
        <v>-3.1343283582089487E-2</v>
      </c>
      <c r="G113" s="160">
        <f t="shared" si="11"/>
        <v>3.1343283582089487E-2</v>
      </c>
      <c r="H113" s="226">
        <v>38.940000000000005</v>
      </c>
      <c r="I113" s="355">
        <v>40.200000000000003</v>
      </c>
    </row>
    <row r="114" spans="1:9" x14ac:dyDescent="0.2">
      <c r="A114" s="352">
        <v>429</v>
      </c>
      <c r="B114" s="237" t="s">
        <v>459</v>
      </c>
      <c r="C114" s="109" t="s">
        <v>214</v>
      </c>
      <c r="D114" s="109" t="s">
        <v>177</v>
      </c>
      <c r="E114" s="157">
        <f t="shared" si="9"/>
        <v>50.91</v>
      </c>
      <c r="F114" s="160">
        <f t="shared" si="10"/>
        <v>-3.9245727754861459E-2</v>
      </c>
      <c r="G114" s="160">
        <f t="shared" si="11"/>
        <v>3.9245727754861459E-2</v>
      </c>
      <c r="H114" s="226">
        <v>48.911999999999999</v>
      </c>
      <c r="I114" s="355">
        <v>50.91</v>
      </c>
    </row>
    <row r="115" spans="1:9" x14ac:dyDescent="0.2">
      <c r="A115" s="352">
        <v>10003</v>
      </c>
      <c r="B115" s="237" t="s">
        <v>460</v>
      </c>
      <c r="C115" s="109" t="s">
        <v>214</v>
      </c>
      <c r="D115" s="109" t="s">
        <v>221</v>
      </c>
      <c r="E115" s="157">
        <f t="shared" si="9"/>
        <v>91.91</v>
      </c>
      <c r="F115" s="160">
        <f t="shared" si="10"/>
        <v>6.4867805461864991E-2</v>
      </c>
      <c r="G115" s="160">
        <f t="shared" si="11"/>
        <v>6.4867805461864991E-2</v>
      </c>
      <c r="H115" s="226">
        <v>97.872</v>
      </c>
      <c r="I115" s="355">
        <v>91.91</v>
      </c>
    </row>
    <row r="116" spans="1:9" x14ac:dyDescent="0.2">
      <c r="A116" s="352">
        <v>10111</v>
      </c>
      <c r="B116" s="237" t="s">
        <v>461</v>
      </c>
      <c r="C116" s="109" t="s">
        <v>214</v>
      </c>
      <c r="D116" s="109" t="s">
        <v>222</v>
      </c>
      <c r="E116" s="157">
        <f t="shared" si="9"/>
        <v>177.65</v>
      </c>
      <c r="F116" s="160">
        <f t="shared" si="10"/>
        <v>5.5175907683647551E-2</v>
      </c>
      <c r="G116" s="160">
        <f t="shared" si="11"/>
        <v>5.5175907683647551E-2</v>
      </c>
      <c r="H116" s="226">
        <v>187.452</v>
      </c>
      <c r="I116" s="355">
        <v>177.65</v>
      </c>
    </row>
    <row r="117" spans="1:9" x14ac:dyDescent="0.2">
      <c r="A117" s="352">
        <v>10052</v>
      </c>
      <c r="B117" s="237" t="s">
        <v>462</v>
      </c>
      <c r="C117" s="109" t="s">
        <v>214</v>
      </c>
      <c r="D117" s="109" t="s">
        <v>223</v>
      </c>
      <c r="E117" s="157">
        <f t="shared" si="9"/>
        <v>96.62</v>
      </c>
      <c r="F117" s="160">
        <f t="shared" si="10"/>
        <v>5.1583523080107607E-2</v>
      </c>
      <c r="G117" s="160">
        <f t="shared" si="11"/>
        <v>5.1583523080107607E-2</v>
      </c>
      <c r="H117" s="226">
        <v>101.604</v>
      </c>
      <c r="I117" s="355">
        <v>96.62</v>
      </c>
    </row>
    <row r="118" spans="1:9" ht="12" thickBot="1" x14ac:dyDescent="0.25">
      <c r="A118" s="356">
        <v>10053</v>
      </c>
      <c r="B118" s="357" t="s">
        <v>463</v>
      </c>
      <c r="C118" s="358" t="s">
        <v>214</v>
      </c>
      <c r="D118" s="358" t="s">
        <v>224</v>
      </c>
      <c r="E118" s="334">
        <f t="shared" si="9"/>
        <v>96.67</v>
      </c>
      <c r="F118" s="335">
        <f t="shared" si="10"/>
        <v>5.2405089479673039E-2</v>
      </c>
      <c r="G118" s="335">
        <f t="shared" si="11"/>
        <v>5.2405089479673039E-2</v>
      </c>
      <c r="H118" s="359">
        <v>101.736</v>
      </c>
      <c r="I118" s="360">
        <v>96.67</v>
      </c>
    </row>
    <row r="120" spans="1:9" ht="12.75" x14ac:dyDescent="0.2">
      <c r="B120" s="120" t="s">
        <v>3976</v>
      </c>
      <c r="D120" s="120" t="s">
        <v>238</v>
      </c>
      <c r="E120" s="120"/>
      <c r="F120" s="120"/>
      <c r="G120" s="120"/>
      <c r="H120" s="120"/>
    </row>
  </sheetData>
  <printOptions horizontalCentered="1"/>
  <pageMargins left="0.70866141732283472" right="0.31496062992125984" top="0.15748031496062992" bottom="0.98425196850393704" header="0.31496062992125984" footer="0.31496062992125984"/>
  <pageSetup scale="90" orientation="portrait" r:id="rId1"/>
  <rowBreaks count="1" manualBreakCount="1">
    <brk id="6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61"/>
  <sheetViews>
    <sheetView tabSelected="1" workbookViewId="0">
      <selection activeCell="A2" sqref="A2"/>
    </sheetView>
  </sheetViews>
  <sheetFormatPr baseColWidth="10" defaultRowHeight="15" x14ac:dyDescent="0.25"/>
  <cols>
    <col min="1" max="1" width="7.7109375" style="245" customWidth="1"/>
    <col min="2" max="2" width="12.140625" customWidth="1"/>
    <col min="3" max="3" width="5.85546875" style="243" bestFit="1" customWidth="1"/>
    <col min="4" max="4" width="12.7109375" style="243" customWidth="1"/>
    <col min="5" max="5" width="8.7109375" style="243" bestFit="1" customWidth="1"/>
    <col min="6" max="6" width="11.85546875" style="273" hidden="1" customWidth="1"/>
    <col min="7" max="7" width="6.85546875" style="287" hidden="1" customWidth="1"/>
    <col min="8" max="8" width="11.5703125" style="273" hidden="1" customWidth="1"/>
    <col min="9" max="9" width="12.5703125" style="243" bestFit="1" customWidth="1"/>
    <col min="10" max="10" width="4.7109375" style="245" customWidth="1"/>
    <col min="11" max="11" width="6.85546875" style="245" customWidth="1"/>
    <col min="12" max="12" width="11.42578125" customWidth="1"/>
    <col min="13" max="13" width="5.85546875" style="243" bestFit="1" customWidth="1"/>
    <col min="14" max="14" width="12.85546875" style="243" customWidth="1"/>
    <col min="15" max="15" width="10.5703125" style="243" customWidth="1"/>
    <col min="16" max="16" width="11.5703125" style="273" hidden="1" customWidth="1"/>
    <col min="17" max="17" width="6.85546875" style="295" hidden="1" customWidth="1"/>
    <col min="18" max="18" width="11.5703125" style="273" hidden="1" customWidth="1"/>
    <col min="19" max="19" width="11.7109375" style="243" customWidth="1"/>
    <col min="20" max="262" width="11.42578125" style="245"/>
    <col min="263" max="263" width="7.7109375" style="245" customWidth="1"/>
    <col min="264" max="264" width="12.140625" style="245" customWidth="1"/>
    <col min="265" max="265" width="5.85546875" style="245" bestFit="1" customWidth="1"/>
    <col min="266" max="266" width="12.7109375" style="245" customWidth="1"/>
    <col min="267" max="267" width="10.7109375" style="245" customWidth="1"/>
    <col min="268" max="268" width="12.5703125" style="245" customWidth="1"/>
    <col min="269" max="269" width="4.7109375" style="245" customWidth="1"/>
    <col min="270" max="270" width="6.85546875" style="245" customWidth="1"/>
    <col min="271" max="271" width="11.42578125" style="245" customWidth="1"/>
    <col min="272" max="272" width="5.85546875" style="245" bestFit="1" customWidth="1"/>
    <col min="273" max="273" width="12.85546875" style="245" customWidth="1"/>
    <col min="274" max="274" width="10.5703125" style="245" customWidth="1"/>
    <col min="275" max="275" width="11.7109375" style="245" customWidth="1"/>
    <col min="276" max="518" width="11.42578125" style="245"/>
    <col min="519" max="519" width="7.7109375" style="245" customWidth="1"/>
    <col min="520" max="520" width="12.140625" style="245" customWidth="1"/>
    <col min="521" max="521" width="5.85546875" style="245" bestFit="1" customWidth="1"/>
    <col min="522" max="522" width="12.7109375" style="245" customWidth="1"/>
    <col min="523" max="523" width="10.7109375" style="245" customWidth="1"/>
    <col min="524" max="524" width="12.5703125" style="245" customWidth="1"/>
    <col min="525" max="525" width="4.7109375" style="245" customWidth="1"/>
    <col min="526" max="526" width="6.85546875" style="245" customWidth="1"/>
    <col min="527" max="527" width="11.42578125" style="245" customWidth="1"/>
    <col min="528" max="528" width="5.85546875" style="245" bestFit="1" customWidth="1"/>
    <col min="529" max="529" width="12.85546875" style="245" customWidth="1"/>
    <col min="530" max="530" width="10.5703125" style="245" customWidth="1"/>
    <col min="531" max="531" width="11.7109375" style="245" customWidth="1"/>
    <col min="532" max="774" width="11.42578125" style="245"/>
    <col min="775" max="775" width="7.7109375" style="245" customWidth="1"/>
    <col min="776" max="776" width="12.140625" style="245" customWidth="1"/>
    <col min="777" max="777" width="5.85546875" style="245" bestFit="1" customWidth="1"/>
    <col min="778" max="778" width="12.7109375" style="245" customWidth="1"/>
    <col min="779" max="779" width="10.7109375" style="245" customWidth="1"/>
    <col min="780" max="780" width="12.5703125" style="245" customWidth="1"/>
    <col min="781" max="781" width="4.7109375" style="245" customWidth="1"/>
    <col min="782" max="782" width="6.85546875" style="245" customWidth="1"/>
    <col min="783" max="783" width="11.42578125" style="245" customWidth="1"/>
    <col min="784" max="784" width="5.85546875" style="245" bestFit="1" customWidth="1"/>
    <col min="785" max="785" width="12.85546875" style="245" customWidth="1"/>
    <col min="786" max="786" width="10.5703125" style="245" customWidth="1"/>
    <col min="787" max="787" width="11.7109375" style="245" customWidth="1"/>
    <col min="788" max="1030" width="11.42578125" style="245"/>
    <col min="1031" max="1031" width="7.7109375" style="245" customWidth="1"/>
    <col min="1032" max="1032" width="12.140625" style="245" customWidth="1"/>
    <col min="1033" max="1033" width="5.85546875" style="245" bestFit="1" customWidth="1"/>
    <col min="1034" max="1034" width="12.7109375" style="245" customWidth="1"/>
    <col min="1035" max="1035" width="10.7109375" style="245" customWidth="1"/>
    <col min="1036" max="1036" width="12.5703125" style="245" customWidth="1"/>
    <col min="1037" max="1037" width="4.7109375" style="245" customWidth="1"/>
    <col min="1038" max="1038" width="6.85546875" style="245" customWidth="1"/>
    <col min="1039" max="1039" width="11.42578125" style="245" customWidth="1"/>
    <col min="1040" max="1040" width="5.85546875" style="245" bestFit="1" customWidth="1"/>
    <col min="1041" max="1041" width="12.85546875" style="245" customWidth="1"/>
    <col min="1042" max="1042" width="10.5703125" style="245" customWidth="1"/>
    <col min="1043" max="1043" width="11.7109375" style="245" customWidth="1"/>
    <col min="1044" max="1286" width="11.42578125" style="245"/>
    <col min="1287" max="1287" width="7.7109375" style="245" customWidth="1"/>
    <col min="1288" max="1288" width="12.140625" style="245" customWidth="1"/>
    <col min="1289" max="1289" width="5.85546875" style="245" bestFit="1" customWidth="1"/>
    <col min="1290" max="1290" width="12.7109375" style="245" customWidth="1"/>
    <col min="1291" max="1291" width="10.7109375" style="245" customWidth="1"/>
    <col min="1292" max="1292" width="12.5703125" style="245" customWidth="1"/>
    <col min="1293" max="1293" width="4.7109375" style="245" customWidth="1"/>
    <col min="1294" max="1294" width="6.85546875" style="245" customWidth="1"/>
    <col min="1295" max="1295" width="11.42578125" style="245" customWidth="1"/>
    <col min="1296" max="1296" width="5.85546875" style="245" bestFit="1" customWidth="1"/>
    <col min="1297" max="1297" width="12.85546875" style="245" customWidth="1"/>
    <col min="1298" max="1298" width="10.5703125" style="245" customWidth="1"/>
    <col min="1299" max="1299" width="11.7109375" style="245" customWidth="1"/>
    <col min="1300" max="1542" width="11.42578125" style="245"/>
    <col min="1543" max="1543" width="7.7109375" style="245" customWidth="1"/>
    <col min="1544" max="1544" width="12.140625" style="245" customWidth="1"/>
    <col min="1545" max="1545" width="5.85546875" style="245" bestFit="1" customWidth="1"/>
    <col min="1546" max="1546" width="12.7109375" style="245" customWidth="1"/>
    <col min="1547" max="1547" width="10.7109375" style="245" customWidth="1"/>
    <col min="1548" max="1548" width="12.5703125" style="245" customWidth="1"/>
    <col min="1549" max="1549" width="4.7109375" style="245" customWidth="1"/>
    <col min="1550" max="1550" width="6.85546875" style="245" customWidth="1"/>
    <col min="1551" max="1551" width="11.42578125" style="245" customWidth="1"/>
    <col min="1552" max="1552" width="5.85546875" style="245" bestFit="1" customWidth="1"/>
    <col min="1553" max="1553" width="12.85546875" style="245" customWidth="1"/>
    <col min="1554" max="1554" width="10.5703125" style="245" customWidth="1"/>
    <col min="1555" max="1555" width="11.7109375" style="245" customWidth="1"/>
    <col min="1556" max="1798" width="11.42578125" style="245"/>
    <col min="1799" max="1799" width="7.7109375" style="245" customWidth="1"/>
    <col min="1800" max="1800" width="12.140625" style="245" customWidth="1"/>
    <col min="1801" max="1801" width="5.85546875" style="245" bestFit="1" customWidth="1"/>
    <col min="1802" max="1802" width="12.7109375" style="245" customWidth="1"/>
    <col min="1803" max="1803" width="10.7109375" style="245" customWidth="1"/>
    <col min="1804" max="1804" width="12.5703125" style="245" customWidth="1"/>
    <col min="1805" max="1805" width="4.7109375" style="245" customWidth="1"/>
    <col min="1806" max="1806" width="6.85546875" style="245" customWidth="1"/>
    <col min="1807" max="1807" width="11.42578125" style="245" customWidth="1"/>
    <col min="1808" max="1808" width="5.85546875" style="245" bestFit="1" customWidth="1"/>
    <col min="1809" max="1809" width="12.85546875" style="245" customWidth="1"/>
    <col min="1810" max="1810" width="10.5703125" style="245" customWidth="1"/>
    <col min="1811" max="1811" width="11.7109375" style="245" customWidth="1"/>
    <col min="1812" max="2054" width="11.42578125" style="245"/>
    <col min="2055" max="2055" width="7.7109375" style="245" customWidth="1"/>
    <col min="2056" max="2056" width="12.140625" style="245" customWidth="1"/>
    <col min="2057" max="2057" width="5.85546875" style="245" bestFit="1" customWidth="1"/>
    <col min="2058" max="2058" width="12.7109375" style="245" customWidth="1"/>
    <col min="2059" max="2059" width="10.7109375" style="245" customWidth="1"/>
    <col min="2060" max="2060" width="12.5703125" style="245" customWidth="1"/>
    <col min="2061" max="2061" width="4.7109375" style="245" customWidth="1"/>
    <col min="2062" max="2062" width="6.85546875" style="245" customWidth="1"/>
    <col min="2063" max="2063" width="11.42578125" style="245" customWidth="1"/>
    <col min="2064" max="2064" width="5.85546875" style="245" bestFit="1" customWidth="1"/>
    <col min="2065" max="2065" width="12.85546875" style="245" customWidth="1"/>
    <col min="2066" max="2066" width="10.5703125" style="245" customWidth="1"/>
    <col min="2067" max="2067" width="11.7109375" style="245" customWidth="1"/>
    <col min="2068" max="2310" width="11.42578125" style="245"/>
    <col min="2311" max="2311" width="7.7109375" style="245" customWidth="1"/>
    <col min="2312" max="2312" width="12.140625" style="245" customWidth="1"/>
    <col min="2313" max="2313" width="5.85546875" style="245" bestFit="1" customWidth="1"/>
    <col min="2314" max="2314" width="12.7109375" style="245" customWidth="1"/>
    <col min="2315" max="2315" width="10.7109375" style="245" customWidth="1"/>
    <col min="2316" max="2316" width="12.5703125" style="245" customWidth="1"/>
    <col min="2317" max="2317" width="4.7109375" style="245" customWidth="1"/>
    <col min="2318" max="2318" width="6.85546875" style="245" customWidth="1"/>
    <col min="2319" max="2319" width="11.42578125" style="245" customWidth="1"/>
    <col min="2320" max="2320" width="5.85546875" style="245" bestFit="1" customWidth="1"/>
    <col min="2321" max="2321" width="12.85546875" style="245" customWidth="1"/>
    <col min="2322" max="2322" width="10.5703125" style="245" customWidth="1"/>
    <col min="2323" max="2323" width="11.7109375" style="245" customWidth="1"/>
    <col min="2324" max="2566" width="11.42578125" style="245"/>
    <col min="2567" max="2567" width="7.7109375" style="245" customWidth="1"/>
    <col min="2568" max="2568" width="12.140625" style="245" customWidth="1"/>
    <col min="2569" max="2569" width="5.85546875" style="245" bestFit="1" customWidth="1"/>
    <col min="2570" max="2570" width="12.7109375" style="245" customWidth="1"/>
    <col min="2571" max="2571" width="10.7109375" style="245" customWidth="1"/>
    <col min="2572" max="2572" width="12.5703125" style="245" customWidth="1"/>
    <col min="2573" max="2573" width="4.7109375" style="245" customWidth="1"/>
    <col min="2574" max="2574" width="6.85546875" style="245" customWidth="1"/>
    <col min="2575" max="2575" width="11.42578125" style="245" customWidth="1"/>
    <col min="2576" max="2576" width="5.85546875" style="245" bestFit="1" customWidth="1"/>
    <col min="2577" max="2577" width="12.85546875" style="245" customWidth="1"/>
    <col min="2578" max="2578" width="10.5703125" style="245" customWidth="1"/>
    <col min="2579" max="2579" width="11.7109375" style="245" customWidth="1"/>
    <col min="2580" max="2822" width="11.42578125" style="245"/>
    <col min="2823" max="2823" width="7.7109375" style="245" customWidth="1"/>
    <col min="2824" max="2824" width="12.140625" style="245" customWidth="1"/>
    <col min="2825" max="2825" width="5.85546875" style="245" bestFit="1" customWidth="1"/>
    <col min="2826" max="2826" width="12.7109375" style="245" customWidth="1"/>
    <col min="2827" max="2827" width="10.7109375" style="245" customWidth="1"/>
    <col min="2828" max="2828" width="12.5703125" style="245" customWidth="1"/>
    <col min="2829" max="2829" width="4.7109375" style="245" customWidth="1"/>
    <col min="2830" max="2830" width="6.85546875" style="245" customWidth="1"/>
    <col min="2831" max="2831" width="11.42578125" style="245" customWidth="1"/>
    <col min="2832" max="2832" width="5.85546875" style="245" bestFit="1" customWidth="1"/>
    <col min="2833" max="2833" width="12.85546875" style="245" customWidth="1"/>
    <col min="2834" max="2834" width="10.5703125" style="245" customWidth="1"/>
    <col min="2835" max="2835" width="11.7109375" style="245" customWidth="1"/>
    <col min="2836" max="3078" width="11.42578125" style="245"/>
    <col min="3079" max="3079" width="7.7109375" style="245" customWidth="1"/>
    <col min="3080" max="3080" width="12.140625" style="245" customWidth="1"/>
    <col min="3081" max="3081" width="5.85546875" style="245" bestFit="1" customWidth="1"/>
    <col min="3082" max="3082" width="12.7109375" style="245" customWidth="1"/>
    <col min="3083" max="3083" width="10.7109375" style="245" customWidth="1"/>
    <col min="3084" max="3084" width="12.5703125" style="245" customWidth="1"/>
    <col min="3085" max="3085" width="4.7109375" style="245" customWidth="1"/>
    <col min="3086" max="3086" width="6.85546875" style="245" customWidth="1"/>
    <col min="3087" max="3087" width="11.42578125" style="245" customWidth="1"/>
    <col min="3088" max="3088" width="5.85546875" style="245" bestFit="1" customWidth="1"/>
    <col min="3089" max="3089" width="12.85546875" style="245" customWidth="1"/>
    <col min="3090" max="3090" width="10.5703125" style="245" customWidth="1"/>
    <col min="3091" max="3091" width="11.7109375" style="245" customWidth="1"/>
    <col min="3092" max="3334" width="11.42578125" style="245"/>
    <col min="3335" max="3335" width="7.7109375" style="245" customWidth="1"/>
    <col min="3336" max="3336" width="12.140625" style="245" customWidth="1"/>
    <col min="3337" max="3337" width="5.85546875" style="245" bestFit="1" customWidth="1"/>
    <col min="3338" max="3338" width="12.7109375" style="245" customWidth="1"/>
    <col min="3339" max="3339" width="10.7109375" style="245" customWidth="1"/>
    <col min="3340" max="3340" width="12.5703125" style="245" customWidth="1"/>
    <col min="3341" max="3341" width="4.7109375" style="245" customWidth="1"/>
    <col min="3342" max="3342" width="6.85546875" style="245" customWidth="1"/>
    <col min="3343" max="3343" width="11.42578125" style="245" customWidth="1"/>
    <col min="3344" max="3344" width="5.85546875" style="245" bestFit="1" customWidth="1"/>
    <col min="3345" max="3345" width="12.85546875" style="245" customWidth="1"/>
    <col min="3346" max="3346" width="10.5703125" style="245" customWidth="1"/>
    <col min="3347" max="3347" width="11.7109375" style="245" customWidth="1"/>
    <col min="3348" max="3590" width="11.42578125" style="245"/>
    <col min="3591" max="3591" width="7.7109375" style="245" customWidth="1"/>
    <col min="3592" max="3592" width="12.140625" style="245" customWidth="1"/>
    <col min="3593" max="3593" width="5.85546875" style="245" bestFit="1" customWidth="1"/>
    <col min="3594" max="3594" width="12.7109375" style="245" customWidth="1"/>
    <col min="3595" max="3595" width="10.7109375" style="245" customWidth="1"/>
    <col min="3596" max="3596" width="12.5703125" style="245" customWidth="1"/>
    <col min="3597" max="3597" width="4.7109375" style="245" customWidth="1"/>
    <col min="3598" max="3598" width="6.85546875" style="245" customWidth="1"/>
    <col min="3599" max="3599" width="11.42578125" style="245" customWidth="1"/>
    <col min="3600" max="3600" width="5.85546875" style="245" bestFit="1" customWidth="1"/>
    <col min="3601" max="3601" width="12.85546875" style="245" customWidth="1"/>
    <col min="3602" max="3602" width="10.5703125" style="245" customWidth="1"/>
    <col min="3603" max="3603" width="11.7109375" style="245" customWidth="1"/>
    <col min="3604" max="3846" width="11.42578125" style="245"/>
    <col min="3847" max="3847" width="7.7109375" style="245" customWidth="1"/>
    <col min="3848" max="3848" width="12.140625" style="245" customWidth="1"/>
    <col min="3849" max="3849" width="5.85546875" style="245" bestFit="1" customWidth="1"/>
    <col min="3850" max="3850" width="12.7109375" style="245" customWidth="1"/>
    <col min="3851" max="3851" width="10.7109375" style="245" customWidth="1"/>
    <col min="3852" max="3852" width="12.5703125" style="245" customWidth="1"/>
    <col min="3853" max="3853" width="4.7109375" style="245" customWidth="1"/>
    <col min="3854" max="3854" width="6.85546875" style="245" customWidth="1"/>
    <col min="3855" max="3855" width="11.42578125" style="245" customWidth="1"/>
    <col min="3856" max="3856" width="5.85546875" style="245" bestFit="1" customWidth="1"/>
    <col min="3857" max="3857" width="12.85546875" style="245" customWidth="1"/>
    <col min="3858" max="3858" width="10.5703125" style="245" customWidth="1"/>
    <col min="3859" max="3859" width="11.7109375" style="245" customWidth="1"/>
    <col min="3860" max="4102" width="11.42578125" style="245"/>
    <col min="4103" max="4103" width="7.7109375" style="245" customWidth="1"/>
    <col min="4104" max="4104" width="12.140625" style="245" customWidth="1"/>
    <col min="4105" max="4105" width="5.85546875" style="245" bestFit="1" customWidth="1"/>
    <col min="4106" max="4106" width="12.7109375" style="245" customWidth="1"/>
    <col min="4107" max="4107" width="10.7109375" style="245" customWidth="1"/>
    <col min="4108" max="4108" width="12.5703125" style="245" customWidth="1"/>
    <col min="4109" max="4109" width="4.7109375" style="245" customWidth="1"/>
    <col min="4110" max="4110" width="6.85546875" style="245" customWidth="1"/>
    <col min="4111" max="4111" width="11.42578125" style="245" customWidth="1"/>
    <col min="4112" max="4112" width="5.85546875" style="245" bestFit="1" customWidth="1"/>
    <col min="4113" max="4113" width="12.85546875" style="245" customWidth="1"/>
    <col min="4114" max="4114" width="10.5703125" style="245" customWidth="1"/>
    <col min="4115" max="4115" width="11.7109375" style="245" customWidth="1"/>
    <col min="4116" max="4358" width="11.42578125" style="245"/>
    <col min="4359" max="4359" width="7.7109375" style="245" customWidth="1"/>
    <col min="4360" max="4360" width="12.140625" style="245" customWidth="1"/>
    <col min="4361" max="4361" width="5.85546875" style="245" bestFit="1" customWidth="1"/>
    <col min="4362" max="4362" width="12.7109375" style="245" customWidth="1"/>
    <col min="4363" max="4363" width="10.7109375" style="245" customWidth="1"/>
    <col min="4364" max="4364" width="12.5703125" style="245" customWidth="1"/>
    <col min="4365" max="4365" width="4.7109375" style="245" customWidth="1"/>
    <col min="4366" max="4366" width="6.85546875" style="245" customWidth="1"/>
    <col min="4367" max="4367" width="11.42578125" style="245" customWidth="1"/>
    <col min="4368" max="4368" width="5.85546875" style="245" bestFit="1" customWidth="1"/>
    <col min="4369" max="4369" width="12.85546875" style="245" customWidth="1"/>
    <col min="4370" max="4370" width="10.5703125" style="245" customWidth="1"/>
    <col min="4371" max="4371" width="11.7109375" style="245" customWidth="1"/>
    <col min="4372" max="4614" width="11.42578125" style="245"/>
    <col min="4615" max="4615" width="7.7109375" style="245" customWidth="1"/>
    <col min="4616" max="4616" width="12.140625" style="245" customWidth="1"/>
    <col min="4617" max="4617" width="5.85546875" style="245" bestFit="1" customWidth="1"/>
    <col min="4618" max="4618" width="12.7109375" style="245" customWidth="1"/>
    <col min="4619" max="4619" width="10.7109375" style="245" customWidth="1"/>
    <col min="4620" max="4620" width="12.5703125" style="245" customWidth="1"/>
    <col min="4621" max="4621" width="4.7109375" style="245" customWidth="1"/>
    <col min="4622" max="4622" width="6.85546875" style="245" customWidth="1"/>
    <col min="4623" max="4623" width="11.42578125" style="245" customWidth="1"/>
    <col min="4624" max="4624" width="5.85546875" style="245" bestFit="1" customWidth="1"/>
    <col min="4625" max="4625" width="12.85546875" style="245" customWidth="1"/>
    <col min="4626" max="4626" width="10.5703125" style="245" customWidth="1"/>
    <col min="4627" max="4627" width="11.7109375" style="245" customWidth="1"/>
    <col min="4628" max="4870" width="11.42578125" style="245"/>
    <col min="4871" max="4871" width="7.7109375" style="245" customWidth="1"/>
    <col min="4872" max="4872" width="12.140625" style="245" customWidth="1"/>
    <col min="4873" max="4873" width="5.85546875" style="245" bestFit="1" customWidth="1"/>
    <col min="4874" max="4874" width="12.7109375" style="245" customWidth="1"/>
    <col min="4875" max="4875" width="10.7109375" style="245" customWidth="1"/>
    <col min="4876" max="4876" width="12.5703125" style="245" customWidth="1"/>
    <col min="4877" max="4877" width="4.7109375" style="245" customWidth="1"/>
    <col min="4878" max="4878" width="6.85546875" style="245" customWidth="1"/>
    <col min="4879" max="4879" width="11.42578125" style="245" customWidth="1"/>
    <col min="4880" max="4880" width="5.85546875" style="245" bestFit="1" customWidth="1"/>
    <col min="4881" max="4881" width="12.85546875" style="245" customWidth="1"/>
    <col min="4882" max="4882" width="10.5703125" style="245" customWidth="1"/>
    <col min="4883" max="4883" width="11.7109375" style="245" customWidth="1"/>
    <col min="4884" max="5126" width="11.42578125" style="245"/>
    <col min="5127" max="5127" width="7.7109375" style="245" customWidth="1"/>
    <col min="5128" max="5128" width="12.140625" style="245" customWidth="1"/>
    <col min="5129" max="5129" width="5.85546875" style="245" bestFit="1" customWidth="1"/>
    <col min="5130" max="5130" width="12.7109375" style="245" customWidth="1"/>
    <col min="5131" max="5131" width="10.7109375" style="245" customWidth="1"/>
    <col min="5132" max="5132" width="12.5703125" style="245" customWidth="1"/>
    <col min="5133" max="5133" width="4.7109375" style="245" customWidth="1"/>
    <col min="5134" max="5134" width="6.85546875" style="245" customWidth="1"/>
    <col min="5135" max="5135" width="11.42578125" style="245" customWidth="1"/>
    <col min="5136" max="5136" width="5.85546875" style="245" bestFit="1" customWidth="1"/>
    <col min="5137" max="5137" width="12.85546875" style="245" customWidth="1"/>
    <col min="5138" max="5138" width="10.5703125" style="245" customWidth="1"/>
    <col min="5139" max="5139" width="11.7109375" style="245" customWidth="1"/>
    <col min="5140" max="5382" width="11.42578125" style="245"/>
    <col min="5383" max="5383" width="7.7109375" style="245" customWidth="1"/>
    <col min="5384" max="5384" width="12.140625" style="245" customWidth="1"/>
    <col min="5385" max="5385" width="5.85546875" style="245" bestFit="1" customWidth="1"/>
    <col min="5386" max="5386" width="12.7109375" style="245" customWidth="1"/>
    <col min="5387" max="5387" width="10.7109375" style="245" customWidth="1"/>
    <col min="5388" max="5388" width="12.5703125" style="245" customWidth="1"/>
    <col min="5389" max="5389" width="4.7109375" style="245" customWidth="1"/>
    <col min="5390" max="5390" width="6.85546875" style="245" customWidth="1"/>
    <col min="5391" max="5391" width="11.42578125" style="245" customWidth="1"/>
    <col min="5392" max="5392" width="5.85546875" style="245" bestFit="1" customWidth="1"/>
    <col min="5393" max="5393" width="12.85546875" style="245" customWidth="1"/>
    <col min="5394" max="5394" width="10.5703125" style="245" customWidth="1"/>
    <col min="5395" max="5395" width="11.7109375" style="245" customWidth="1"/>
    <col min="5396" max="5638" width="11.42578125" style="245"/>
    <col min="5639" max="5639" width="7.7109375" style="245" customWidth="1"/>
    <col min="5640" max="5640" width="12.140625" style="245" customWidth="1"/>
    <col min="5641" max="5641" width="5.85546875" style="245" bestFit="1" customWidth="1"/>
    <col min="5642" max="5642" width="12.7109375" style="245" customWidth="1"/>
    <col min="5643" max="5643" width="10.7109375" style="245" customWidth="1"/>
    <col min="5644" max="5644" width="12.5703125" style="245" customWidth="1"/>
    <col min="5645" max="5645" width="4.7109375" style="245" customWidth="1"/>
    <col min="5646" max="5646" width="6.85546875" style="245" customWidth="1"/>
    <col min="5647" max="5647" width="11.42578125" style="245" customWidth="1"/>
    <col min="5648" max="5648" width="5.85546875" style="245" bestFit="1" customWidth="1"/>
    <col min="5649" max="5649" width="12.85546875" style="245" customWidth="1"/>
    <col min="5650" max="5650" width="10.5703125" style="245" customWidth="1"/>
    <col min="5651" max="5651" width="11.7109375" style="245" customWidth="1"/>
    <col min="5652" max="5894" width="11.42578125" style="245"/>
    <col min="5895" max="5895" width="7.7109375" style="245" customWidth="1"/>
    <col min="5896" max="5896" width="12.140625" style="245" customWidth="1"/>
    <col min="5897" max="5897" width="5.85546875" style="245" bestFit="1" customWidth="1"/>
    <col min="5898" max="5898" width="12.7109375" style="245" customWidth="1"/>
    <col min="5899" max="5899" width="10.7109375" style="245" customWidth="1"/>
    <col min="5900" max="5900" width="12.5703125" style="245" customWidth="1"/>
    <col min="5901" max="5901" width="4.7109375" style="245" customWidth="1"/>
    <col min="5902" max="5902" width="6.85546875" style="245" customWidth="1"/>
    <col min="5903" max="5903" width="11.42578125" style="245" customWidth="1"/>
    <col min="5904" max="5904" width="5.85546875" style="245" bestFit="1" customWidth="1"/>
    <col min="5905" max="5905" width="12.85546875" style="245" customWidth="1"/>
    <col min="5906" max="5906" width="10.5703125" style="245" customWidth="1"/>
    <col min="5907" max="5907" width="11.7109375" style="245" customWidth="1"/>
    <col min="5908" max="6150" width="11.42578125" style="245"/>
    <col min="6151" max="6151" width="7.7109375" style="245" customWidth="1"/>
    <col min="6152" max="6152" width="12.140625" style="245" customWidth="1"/>
    <col min="6153" max="6153" width="5.85546875" style="245" bestFit="1" customWidth="1"/>
    <col min="6154" max="6154" width="12.7109375" style="245" customWidth="1"/>
    <col min="6155" max="6155" width="10.7109375" style="245" customWidth="1"/>
    <col min="6156" max="6156" width="12.5703125" style="245" customWidth="1"/>
    <col min="6157" max="6157" width="4.7109375" style="245" customWidth="1"/>
    <col min="6158" max="6158" width="6.85546875" style="245" customWidth="1"/>
    <col min="6159" max="6159" width="11.42578125" style="245" customWidth="1"/>
    <col min="6160" max="6160" width="5.85546875" style="245" bestFit="1" customWidth="1"/>
    <col min="6161" max="6161" width="12.85546875" style="245" customWidth="1"/>
    <col min="6162" max="6162" width="10.5703125" style="245" customWidth="1"/>
    <col min="6163" max="6163" width="11.7109375" style="245" customWidth="1"/>
    <col min="6164" max="6406" width="11.42578125" style="245"/>
    <col min="6407" max="6407" width="7.7109375" style="245" customWidth="1"/>
    <col min="6408" max="6408" width="12.140625" style="245" customWidth="1"/>
    <col min="6409" max="6409" width="5.85546875" style="245" bestFit="1" customWidth="1"/>
    <col min="6410" max="6410" width="12.7109375" style="245" customWidth="1"/>
    <col min="6411" max="6411" width="10.7109375" style="245" customWidth="1"/>
    <col min="6412" max="6412" width="12.5703125" style="245" customWidth="1"/>
    <col min="6413" max="6413" width="4.7109375" style="245" customWidth="1"/>
    <col min="6414" max="6414" width="6.85546875" style="245" customWidth="1"/>
    <col min="6415" max="6415" width="11.42578125" style="245" customWidth="1"/>
    <col min="6416" max="6416" width="5.85546875" style="245" bestFit="1" customWidth="1"/>
    <col min="6417" max="6417" width="12.85546875" style="245" customWidth="1"/>
    <col min="6418" max="6418" width="10.5703125" style="245" customWidth="1"/>
    <col min="6419" max="6419" width="11.7109375" style="245" customWidth="1"/>
    <col min="6420" max="6662" width="11.42578125" style="245"/>
    <col min="6663" max="6663" width="7.7109375" style="245" customWidth="1"/>
    <col min="6664" max="6664" width="12.140625" style="245" customWidth="1"/>
    <col min="6665" max="6665" width="5.85546875" style="245" bestFit="1" customWidth="1"/>
    <col min="6666" max="6666" width="12.7109375" style="245" customWidth="1"/>
    <col min="6667" max="6667" width="10.7109375" style="245" customWidth="1"/>
    <col min="6668" max="6668" width="12.5703125" style="245" customWidth="1"/>
    <col min="6669" max="6669" width="4.7109375" style="245" customWidth="1"/>
    <col min="6670" max="6670" width="6.85546875" style="245" customWidth="1"/>
    <col min="6671" max="6671" width="11.42578125" style="245" customWidth="1"/>
    <col min="6672" max="6672" width="5.85546875" style="245" bestFit="1" customWidth="1"/>
    <col min="6673" max="6673" width="12.85546875" style="245" customWidth="1"/>
    <col min="6674" max="6674" width="10.5703125" style="245" customWidth="1"/>
    <col min="6675" max="6675" width="11.7109375" style="245" customWidth="1"/>
    <col min="6676" max="6918" width="11.42578125" style="245"/>
    <col min="6919" max="6919" width="7.7109375" style="245" customWidth="1"/>
    <col min="6920" max="6920" width="12.140625" style="245" customWidth="1"/>
    <col min="6921" max="6921" width="5.85546875" style="245" bestFit="1" customWidth="1"/>
    <col min="6922" max="6922" width="12.7109375" style="245" customWidth="1"/>
    <col min="6923" max="6923" width="10.7109375" style="245" customWidth="1"/>
    <col min="6924" max="6924" width="12.5703125" style="245" customWidth="1"/>
    <col min="6925" max="6925" width="4.7109375" style="245" customWidth="1"/>
    <col min="6926" max="6926" width="6.85546875" style="245" customWidth="1"/>
    <col min="6927" max="6927" width="11.42578125" style="245" customWidth="1"/>
    <col min="6928" max="6928" width="5.85546875" style="245" bestFit="1" customWidth="1"/>
    <col min="6929" max="6929" width="12.85546875" style="245" customWidth="1"/>
    <col min="6930" max="6930" width="10.5703125" style="245" customWidth="1"/>
    <col min="6931" max="6931" width="11.7109375" style="245" customWidth="1"/>
    <col min="6932" max="7174" width="11.42578125" style="245"/>
    <col min="7175" max="7175" width="7.7109375" style="245" customWidth="1"/>
    <col min="7176" max="7176" width="12.140625" style="245" customWidth="1"/>
    <col min="7177" max="7177" width="5.85546875" style="245" bestFit="1" customWidth="1"/>
    <col min="7178" max="7178" width="12.7109375" style="245" customWidth="1"/>
    <col min="7179" max="7179" width="10.7109375" style="245" customWidth="1"/>
    <col min="7180" max="7180" width="12.5703125" style="245" customWidth="1"/>
    <col min="7181" max="7181" width="4.7109375" style="245" customWidth="1"/>
    <col min="7182" max="7182" width="6.85546875" style="245" customWidth="1"/>
    <col min="7183" max="7183" width="11.42578125" style="245" customWidth="1"/>
    <col min="7184" max="7184" width="5.85546875" style="245" bestFit="1" customWidth="1"/>
    <col min="7185" max="7185" width="12.85546875" style="245" customWidth="1"/>
    <col min="7186" max="7186" width="10.5703125" style="245" customWidth="1"/>
    <col min="7187" max="7187" width="11.7109375" style="245" customWidth="1"/>
    <col min="7188" max="7430" width="11.42578125" style="245"/>
    <col min="7431" max="7431" width="7.7109375" style="245" customWidth="1"/>
    <col min="7432" max="7432" width="12.140625" style="245" customWidth="1"/>
    <col min="7433" max="7433" width="5.85546875" style="245" bestFit="1" customWidth="1"/>
    <col min="7434" max="7434" width="12.7109375" style="245" customWidth="1"/>
    <col min="7435" max="7435" width="10.7109375" style="245" customWidth="1"/>
    <col min="7436" max="7436" width="12.5703125" style="245" customWidth="1"/>
    <col min="7437" max="7437" width="4.7109375" style="245" customWidth="1"/>
    <col min="7438" max="7438" width="6.85546875" style="245" customWidth="1"/>
    <col min="7439" max="7439" width="11.42578125" style="245" customWidth="1"/>
    <col min="7440" max="7440" width="5.85546875" style="245" bestFit="1" customWidth="1"/>
    <col min="7441" max="7441" width="12.85546875" style="245" customWidth="1"/>
    <col min="7442" max="7442" width="10.5703125" style="245" customWidth="1"/>
    <col min="7443" max="7443" width="11.7109375" style="245" customWidth="1"/>
    <col min="7444" max="7686" width="11.42578125" style="245"/>
    <col min="7687" max="7687" width="7.7109375" style="245" customWidth="1"/>
    <col min="7688" max="7688" width="12.140625" style="245" customWidth="1"/>
    <col min="7689" max="7689" width="5.85546875" style="245" bestFit="1" customWidth="1"/>
    <col min="7690" max="7690" width="12.7109375" style="245" customWidth="1"/>
    <col min="7691" max="7691" width="10.7109375" style="245" customWidth="1"/>
    <col min="7692" max="7692" width="12.5703125" style="245" customWidth="1"/>
    <col min="7693" max="7693" width="4.7109375" style="245" customWidth="1"/>
    <col min="7694" max="7694" width="6.85546875" style="245" customWidth="1"/>
    <col min="7695" max="7695" width="11.42578125" style="245" customWidth="1"/>
    <col min="7696" max="7696" width="5.85546875" style="245" bestFit="1" customWidth="1"/>
    <col min="7697" max="7697" width="12.85546875" style="245" customWidth="1"/>
    <col min="7698" max="7698" width="10.5703125" style="245" customWidth="1"/>
    <col min="7699" max="7699" width="11.7109375" style="245" customWidth="1"/>
    <col min="7700" max="7942" width="11.42578125" style="245"/>
    <col min="7943" max="7943" width="7.7109375" style="245" customWidth="1"/>
    <col min="7944" max="7944" width="12.140625" style="245" customWidth="1"/>
    <col min="7945" max="7945" width="5.85546875" style="245" bestFit="1" customWidth="1"/>
    <col min="7946" max="7946" width="12.7109375" style="245" customWidth="1"/>
    <col min="7947" max="7947" width="10.7109375" style="245" customWidth="1"/>
    <col min="7948" max="7948" width="12.5703125" style="245" customWidth="1"/>
    <col min="7949" max="7949" width="4.7109375" style="245" customWidth="1"/>
    <col min="7950" max="7950" width="6.85546875" style="245" customWidth="1"/>
    <col min="7951" max="7951" width="11.42578125" style="245" customWidth="1"/>
    <col min="7952" max="7952" width="5.85546875" style="245" bestFit="1" customWidth="1"/>
    <col min="7953" max="7953" width="12.85546875" style="245" customWidth="1"/>
    <col min="7954" max="7954" width="10.5703125" style="245" customWidth="1"/>
    <col min="7955" max="7955" width="11.7109375" style="245" customWidth="1"/>
    <col min="7956" max="8198" width="11.42578125" style="245"/>
    <col min="8199" max="8199" width="7.7109375" style="245" customWidth="1"/>
    <col min="8200" max="8200" width="12.140625" style="245" customWidth="1"/>
    <col min="8201" max="8201" width="5.85546875" style="245" bestFit="1" customWidth="1"/>
    <col min="8202" max="8202" width="12.7109375" style="245" customWidth="1"/>
    <col min="8203" max="8203" width="10.7109375" style="245" customWidth="1"/>
    <col min="8204" max="8204" width="12.5703125" style="245" customWidth="1"/>
    <col min="8205" max="8205" width="4.7109375" style="245" customWidth="1"/>
    <col min="8206" max="8206" width="6.85546875" style="245" customWidth="1"/>
    <col min="8207" max="8207" width="11.42578125" style="245" customWidth="1"/>
    <col min="8208" max="8208" width="5.85546875" style="245" bestFit="1" customWidth="1"/>
    <col min="8209" max="8209" width="12.85546875" style="245" customWidth="1"/>
    <col min="8210" max="8210" width="10.5703125" style="245" customWidth="1"/>
    <col min="8211" max="8211" width="11.7109375" style="245" customWidth="1"/>
    <col min="8212" max="8454" width="11.42578125" style="245"/>
    <col min="8455" max="8455" width="7.7109375" style="245" customWidth="1"/>
    <col min="8456" max="8456" width="12.140625" style="245" customWidth="1"/>
    <col min="8457" max="8457" width="5.85546875" style="245" bestFit="1" customWidth="1"/>
    <col min="8458" max="8458" width="12.7109375" style="245" customWidth="1"/>
    <col min="8459" max="8459" width="10.7109375" style="245" customWidth="1"/>
    <col min="8460" max="8460" width="12.5703125" style="245" customWidth="1"/>
    <col min="8461" max="8461" width="4.7109375" style="245" customWidth="1"/>
    <col min="8462" max="8462" width="6.85546875" style="245" customWidth="1"/>
    <col min="8463" max="8463" width="11.42578125" style="245" customWidth="1"/>
    <col min="8464" max="8464" width="5.85546875" style="245" bestFit="1" customWidth="1"/>
    <col min="8465" max="8465" width="12.85546875" style="245" customWidth="1"/>
    <col min="8466" max="8466" width="10.5703125" style="245" customWidth="1"/>
    <col min="8467" max="8467" width="11.7109375" style="245" customWidth="1"/>
    <col min="8468" max="8710" width="11.42578125" style="245"/>
    <col min="8711" max="8711" width="7.7109375" style="245" customWidth="1"/>
    <col min="8712" max="8712" width="12.140625" style="245" customWidth="1"/>
    <col min="8713" max="8713" width="5.85546875" style="245" bestFit="1" customWidth="1"/>
    <col min="8714" max="8714" width="12.7109375" style="245" customWidth="1"/>
    <col min="8715" max="8715" width="10.7109375" style="245" customWidth="1"/>
    <col min="8716" max="8716" width="12.5703125" style="245" customWidth="1"/>
    <col min="8717" max="8717" width="4.7109375" style="245" customWidth="1"/>
    <col min="8718" max="8718" width="6.85546875" style="245" customWidth="1"/>
    <col min="8719" max="8719" width="11.42578125" style="245" customWidth="1"/>
    <col min="8720" max="8720" width="5.85546875" style="245" bestFit="1" customWidth="1"/>
    <col min="8721" max="8721" width="12.85546875" style="245" customWidth="1"/>
    <col min="8722" max="8722" width="10.5703125" style="245" customWidth="1"/>
    <col min="8723" max="8723" width="11.7109375" style="245" customWidth="1"/>
    <col min="8724" max="8966" width="11.42578125" style="245"/>
    <col min="8967" max="8967" width="7.7109375" style="245" customWidth="1"/>
    <col min="8968" max="8968" width="12.140625" style="245" customWidth="1"/>
    <col min="8969" max="8969" width="5.85546875" style="245" bestFit="1" customWidth="1"/>
    <col min="8970" max="8970" width="12.7109375" style="245" customWidth="1"/>
    <col min="8971" max="8971" width="10.7109375" style="245" customWidth="1"/>
    <col min="8972" max="8972" width="12.5703125" style="245" customWidth="1"/>
    <col min="8973" max="8973" width="4.7109375" style="245" customWidth="1"/>
    <col min="8974" max="8974" width="6.85546875" style="245" customWidth="1"/>
    <col min="8975" max="8975" width="11.42578125" style="245" customWidth="1"/>
    <col min="8976" max="8976" width="5.85546875" style="245" bestFit="1" customWidth="1"/>
    <col min="8977" max="8977" width="12.85546875" style="245" customWidth="1"/>
    <col min="8978" max="8978" width="10.5703125" style="245" customWidth="1"/>
    <col min="8979" max="8979" width="11.7109375" style="245" customWidth="1"/>
    <col min="8980" max="9222" width="11.42578125" style="245"/>
    <col min="9223" max="9223" width="7.7109375" style="245" customWidth="1"/>
    <col min="9224" max="9224" width="12.140625" style="245" customWidth="1"/>
    <col min="9225" max="9225" width="5.85546875" style="245" bestFit="1" customWidth="1"/>
    <col min="9226" max="9226" width="12.7109375" style="245" customWidth="1"/>
    <col min="9227" max="9227" width="10.7109375" style="245" customWidth="1"/>
    <col min="9228" max="9228" width="12.5703125" style="245" customWidth="1"/>
    <col min="9229" max="9229" width="4.7109375" style="245" customWidth="1"/>
    <col min="9230" max="9230" width="6.85546875" style="245" customWidth="1"/>
    <col min="9231" max="9231" width="11.42578125" style="245" customWidth="1"/>
    <col min="9232" max="9232" width="5.85546875" style="245" bestFit="1" customWidth="1"/>
    <col min="9233" max="9233" width="12.85546875" style="245" customWidth="1"/>
    <col min="9234" max="9234" width="10.5703125" style="245" customWidth="1"/>
    <col min="9235" max="9235" width="11.7109375" style="245" customWidth="1"/>
    <col min="9236" max="9478" width="11.42578125" style="245"/>
    <col min="9479" max="9479" width="7.7109375" style="245" customWidth="1"/>
    <col min="9480" max="9480" width="12.140625" style="245" customWidth="1"/>
    <col min="9481" max="9481" width="5.85546875" style="245" bestFit="1" customWidth="1"/>
    <col min="9482" max="9482" width="12.7109375" style="245" customWidth="1"/>
    <col min="9483" max="9483" width="10.7109375" style="245" customWidth="1"/>
    <col min="9484" max="9484" width="12.5703125" style="245" customWidth="1"/>
    <col min="9485" max="9485" width="4.7109375" style="245" customWidth="1"/>
    <col min="9486" max="9486" width="6.85546875" style="245" customWidth="1"/>
    <col min="9487" max="9487" width="11.42578125" style="245" customWidth="1"/>
    <col min="9488" max="9488" width="5.85546875" style="245" bestFit="1" customWidth="1"/>
    <col min="9489" max="9489" width="12.85546875" style="245" customWidth="1"/>
    <col min="9490" max="9490" width="10.5703125" style="245" customWidth="1"/>
    <col min="9491" max="9491" width="11.7109375" style="245" customWidth="1"/>
    <col min="9492" max="9734" width="11.42578125" style="245"/>
    <col min="9735" max="9735" width="7.7109375" style="245" customWidth="1"/>
    <col min="9736" max="9736" width="12.140625" style="245" customWidth="1"/>
    <col min="9737" max="9737" width="5.85546875" style="245" bestFit="1" customWidth="1"/>
    <col min="9738" max="9738" width="12.7109375" style="245" customWidth="1"/>
    <col min="9739" max="9739" width="10.7109375" style="245" customWidth="1"/>
    <col min="9740" max="9740" width="12.5703125" style="245" customWidth="1"/>
    <col min="9741" max="9741" width="4.7109375" style="245" customWidth="1"/>
    <col min="9742" max="9742" width="6.85546875" style="245" customWidth="1"/>
    <col min="9743" max="9743" width="11.42578125" style="245" customWidth="1"/>
    <col min="9744" max="9744" width="5.85546875" style="245" bestFit="1" customWidth="1"/>
    <col min="9745" max="9745" width="12.85546875" style="245" customWidth="1"/>
    <col min="9746" max="9746" width="10.5703125" style="245" customWidth="1"/>
    <col min="9747" max="9747" width="11.7109375" style="245" customWidth="1"/>
    <col min="9748" max="9990" width="11.42578125" style="245"/>
    <col min="9991" max="9991" width="7.7109375" style="245" customWidth="1"/>
    <col min="9992" max="9992" width="12.140625" style="245" customWidth="1"/>
    <col min="9993" max="9993" width="5.85546875" style="245" bestFit="1" customWidth="1"/>
    <col min="9994" max="9994" width="12.7109375" style="245" customWidth="1"/>
    <col min="9995" max="9995" width="10.7109375" style="245" customWidth="1"/>
    <col min="9996" max="9996" width="12.5703125" style="245" customWidth="1"/>
    <col min="9997" max="9997" width="4.7109375" style="245" customWidth="1"/>
    <col min="9998" max="9998" width="6.85546875" style="245" customWidth="1"/>
    <col min="9999" max="9999" width="11.42578125" style="245" customWidth="1"/>
    <col min="10000" max="10000" width="5.85546875" style="245" bestFit="1" customWidth="1"/>
    <col min="10001" max="10001" width="12.85546875" style="245" customWidth="1"/>
    <col min="10002" max="10002" width="10.5703125" style="245" customWidth="1"/>
    <col min="10003" max="10003" width="11.7109375" style="245" customWidth="1"/>
    <col min="10004" max="10246" width="11.42578125" style="245"/>
    <col min="10247" max="10247" width="7.7109375" style="245" customWidth="1"/>
    <col min="10248" max="10248" width="12.140625" style="245" customWidth="1"/>
    <col min="10249" max="10249" width="5.85546875" style="245" bestFit="1" customWidth="1"/>
    <col min="10250" max="10250" width="12.7109375" style="245" customWidth="1"/>
    <col min="10251" max="10251" width="10.7109375" style="245" customWidth="1"/>
    <col min="10252" max="10252" width="12.5703125" style="245" customWidth="1"/>
    <col min="10253" max="10253" width="4.7109375" style="245" customWidth="1"/>
    <col min="10254" max="10254" width="6.85546875" style="245" customWidth="1"/>
    <col min="10255" max="10255" width="11.42578125" style="245" customWidth="1"/>
    <col min="10256" max="10256" width="5.85546875" style="245" bestFit="1" customWidth="1"/>
    <col min="10257" max="10257" width="12.85546875" style="245" customWidth="1"/>
    <col min="10258" max="10258" width="10.5703125" style="245" customWidth="1"/>
    <col min="10259" max="10259" width="11.7109375" style="245" customWidth="1"/>
    <col min="10260" max="10502" width="11.42578125" style="245"/>
    <col min="10503" max="10503" width="7.7109375" style="245" customWidth="1"/>
    <col min="10504" max="10504" width="12.140625" style="245" customWidth="1"/>
    <col min="10505" max="10505" width="5.85546875" style="245" bestFit="1" customWidth="1"/>
    <col min="10506" max="10506" width="12.7109375" style="245" customWidth="1"/>
    <col min="10507" max="10507" width="10.7109375" style="245" customWidth="1"/>
    <col min="10508" max="10508" width="12.5703125" style="245" customWidth="1"/>
    <col min="10509" max="10509" width="4.7109375" style="245" customWidth="1"/>
    <col min="10510" max="10510" width="6.85546875" style="245" customWidth="1"/>
    <col min="10511" max="10511" width="11.42578125" style="245" customWidth="1"/>
    <col min="10512" max="10512" width="5.85546875" style="245" bestFit="1" customWidth="1"/>
    <col min="10513" max="10513" width="12.85546875" style="245" customWidth="1"/>
    <col min="10514" max="10514" width="10.5703125" style="245" customWidth="1"/>
    <col min="10515" max="10515" width="11.7109375" style="245" customWidth="1"/>
    <col min="10516" max="10758" width="11.42578125" style="245"/>
    <col min="10759" max="10759" width="7.7109375" style="245" customWidth="1"/>
    <col min="10760" max="10760" width="12.140625" style="245" customWidth="1"/>
    <col min="10761" max="10761" width="5.85546875" style="245" bestFit="1" customWidth="1"/>
    <col min="10762" max="10762" width="12.7109375" style="245" customWidth="1"/>
    <col min="10763" max="10763" width="10.7109375" style="245" customWidth="1"/>
    <col min="10764" max="10764" width="12.5703125" style="245" customWidth="1"/>
    <col min="10765" max="10765" width="4.7109375" style="245" customWidth="1"/>
    <col min="10766" max="10766" width="6.85546875" style="245" customWidth="1"/>
    <col min="10767" max="10767" width="11.42578125" style="245" customWidth="1"/>
    <col min="10768" max="10768" width="5.85546875" style="245" bestFit="1" customWidth="1"/>
    <col min="10769" max="10769" width="12.85546875" style="245" customWidth="1"/>
    <col min="10770" max="10770" width="10.5703125" style="245" customWidth="1"/>
    <col min="10771" max="10771" width="11.7109375" style="245" customWidth="1"/>
    <col min="10772" max="11014" width="11.42578125" style="245"/>
    <col min="11015" max="11015" width="7.7109375" style="245" customWidth="1"/>
    <col min="11016" max="11016" width="12.140625" style="245" customWidth="1"/>
    <col min="11017" max="11017" width="5.85546875" style="245" bestFit="1" customWidth="1"/>
    <col min="11018" max="11018" width="12.7109375" style="245" customWidth="1"/>
    <col min="11019" max="11019" width="10.7109375" style="245" customWidth="1"/>
    <col min="11020" max="11020" width="12.5703125" style="245" customWidth="1"/>
    <col min="11021" max="11021" width="4.7109375" style="245" customWidth="1"/>
    <col min="11022" max="11022" width="6.85546875" style="245" customWidth="1"/>
    <col min="11023" max="11023" width="11.42578125" style="245" customWidth="1"/>
    <col min="11024" max="11024" width="5.85546875" style="245" bestFit="1" customWidth="1"/>
    <col min="11025" max="11025" width="12.85546875" style="245" customWidth="1"/>
    <col min="11026" max="11026" width="10.5703125" style="245" customWidth="1"/>
    <col min="11027" max="11027" width="11.7109375" style="245" customWidth="1"/>
    <col min="11028" max="11270" width="11.42578125" style="245"/>
    <col min="11271" max="11271" width="7.7109375" style="245" customWidth="1"/>
    <col min="11272" max="11272" width="12.140625" style="245" customWidth="1"/>
    <col min="11273" max="11273" width="5.85546875" style="245" bestFit="1" customWidth="1"/>
    <col min="11274" max="11274" width="12.7109375" style="245" customWidth="1"/>
    <col min="11275" max="11275" width="10.7109375" style="245" customWidth="1"/>
    <col min="11276" max="11276" width="12.5703125" style="245" customWidth="1"/>
    <col min="11277" max="11277" width="4.7109375" style="245" customWidth="1"/>
    <col min="11278" max="11278" width="6.85546875" style="245" customWidth="1"/>
    <col min="11279" max="11279" width="11.42578125" style="245" customWidth="1"/>
    <col min="11280" max="11280" width="5.85546875" style="245" bestFit="1" customWidth="1"/>
    <col min="11281" max="11281" width="12.85546875" style="245" customWidth="1"/>
    <col min="11282" max="11282" width="10.5703125" style="245" customWidth="1"/>
    <col min="11283" max="11283" width="11.7109375" style="245" customWidth="1"/>
    <col min="11284" max="11526" width="11.42578125" style="245"/>
    <col min="11527" max="11527" width="7.7109375" style="245" customWidth="1"/>
    <col min="11528" max="11528" width="12.140625" style="245" customWidth="1"/>
    <col min="11529" max="11529" width="5.85546875" style="245" bestFit="1" customWidth="1"/>
    <col min="11530" max="11530" width="12.7109375" style="245" customWidth="1"/>
    <col min="11531" max="11531" width="10.7109375" style="245" customWidth="1"/>
    <col min="11532" max="11532" width="12.5703125" style="245" customWidth="1"/>
    <col min="11533" max="11533" width="4.7109375" style="245" customWidth="1"/>
    <col min="11534" max="11534" width="6.85546875" style="245" customWidth="1"/>
    <col min="11535" max="11535" width="11.42578125" style="245" customWidth="1"/>
    <col min="11536" max="11536" width="5.85546875" style="245" bestFit="1" customWidth="1"/>
    <col min="11537" max="11537" width="12.85546875" style="245" customWidth="1"/>
    <col min="11538" max="11538" width="10.5703125" style="245" customWidth="1"/>
    <col min="11539" max="11539" width="11.7109375" style="245" customWidth="1"/>
    <col min="11540" max="11782" width="11.42578125" style="245"/>
    <col min="11783" max="11783" width="7.7109375" style="245" customWidth="1"/>
    <col min="11784" max="11784" width="12.140625" style="245" customWidth="1"/>
    <col min="11785" max="11785" width="5.85546875" style="245" bestFit="1" customWidth="1"/>
    <col min="11786" max="11786" width="12.7109375" style="245" customWidth="1"/>
    <col min="11787" max="11787" width="10.7109375" style="245" customWidth="1"/>
    <col min="11788" max="11788" width="12.5703125" style="245" customWidth="1"/>
    <col min="11789" max="11789" width="4.7109375" style="245" customWidth="1"/>
    <col min="11790" max="11790" width="6.85546875" style="245" customWidth="1"/>
    <col min="11791" max="11791" width="11.42578125" style="245" customWidth="1"/>
    <col min="11792" max="11792" width="5.85546875" style="245" bestFit="1" customWidth="1"/>
    <col min="11793" max="11793" width="12.85546875" style="245" customWidth="1"/>
    <col min="11794" max="11794" width="10.5703125" style="245" customWidth="1"/>
    <col min="11795" max="11795" width="11.7109375" style="245" customWidth="1"/>
    <col min="11796" max="12038" width="11.42578125" style="245"/>
    <col min="12039" max="12039" width="7.7109375" style="245" customWidth="1"/>
    <col min="12040" max="12040" width="12.140625" style="245" customWidth="1"/>
    <col min="12041" max="12041" width="5.85546875" style="245" bestFit="1" customWidth="1"/>
    <col min="12042" max="12042" width="12.7109375" style="245" customWidth="1"/>
    <col min="12043" max="12043" width="10.7109375" style="245" customWidth="1"/>
    <col min="12044" max="12044" width="12.5703125" style="245" customWidth="1"/>
    <col min="12045" max="12045" width="4.7109375" style="245" customWidth="1"/>
    <col min="12046" max="12046" width="6.85546875" style="245" customWidth="1"/>
    <col min="12047" max="12047" width="11.42578125" style="245" customWidth="1"/>
    <col min="12048" max="12048" width="5.85546875" style="245" bestFit="1" customWidth="1"/>
    <col min="12049" max="12049" width="12.85546875" style="245" customWidth="1"/>
    <col min="12050" max="12050" width="10.5703125" style="245" customWidth="1"/>
    <col min="12051" max="12051" width="11.7109375" style="245" customWidth="1"/>
    <col min="12052" max="12294" width="11.42578125" style="245"/>
    <col min="12295" max="12295" width="7.7109375" style="245" customWidth="1"/>
    <col min="12296" max="12296" width="12.140625" style="245" customWidth="1"/>
    <col min="12297" max="12297" width="5.85546875" style="245" bestFit="1" customWidth="1"/>
    <col min="12298" max="12298" width="12.7109375" style="245" customWidth="1"/>
    <col min="12299" max="12299" width="10.7109375" style="245" customWidth="1"/>
    <col min="12300" max="12300" width="12.5703125" style="245" customWidth="1"/>
    <col min="12301" max="12301" width="4.7109375" style="245" customWidth="1"/>
    <col min="12302" max="12302" width="6.85546875" style="245" customWidth="1"/>
    <col min="12303" max="12303" width="11.42578125" style="245" customWidth="1"/>
    <col min="12304" max="12304" width="5.85546875" style="245" bestFit="1" customWidth="1"/>
    <col min="12305" max="12305" width="12.85546875" style="245" customWidth="1"/>
    <col min="12306" max="12306" width="10.5703125" style="245" customWidth="1"/>
    <col min="12307" max="12307" width="11.7109375" style="245" customWidth="1"/>
    <col min="12308" max="12550" width="11.42578125" style="245"/>
    <col min="12551" max="12551" width="7.7109375" style="245" customWidth="1"/>
    <col min="12552" max="12552" width="12.140625" style="245" customWidth="1"/>
    <col min="12553" max="12553" width="5.85546875" style="245" bestFit="1" customWidth="1"/>
    <col min="12554" max="12554" width="12.7109375" style="245" customWidth="1"/>
    <col min="12555" max="12555" width="10.7109375" style="245" customWidth="1"/>
    <col min="12556" max="12556" width="12.5703125" style="245" customWidth="1"/>
    <col min="12557" max="12557" width="4.7109375" style="245" customWidth="1"/>
    <col min="12558" max="12558" width="6.85546875" style="245" customWidth="1"/>
    <col min="12559" max="12559" width="11.42578125" style="245" customWidth="1"/>
    <col min="12560" max="12560" width="5.85546875" style="245" bestFit="1" customWidth="1"/>
    <col min="12561" max="12561" width="12.85546875" style="245" customWidth="1"/>
    <col min="12562" max="12562" width="10.5703125" style="245" customWidth="1"/>
    <col min="12563" max="12563" width="11.7109375" style="245" customWidth="1"/>
    <col min="12564" max="12806" width="11.42578125" style="245"/>
    <col min="12807" max="12807" width="7.7109375" style="245" customWidth="1"/>
    <col min="12808" max="12808" width="12.140625" style="245" customWidth="1"/>
    <col min="12809" max="12809" width="5.85546875" style="245" bestFit="1" customWidth="1"/>
    <col min="12810" max="12810" width="12.7109375" style="245" customWidth="1"/>
    <col min="12811" max="12811" width="10.7109375" style="245" customWidth="1"/>
    <col min="12812" max="12812" width="12.5703125" style="245" customWidth="1"/>
    <col min="12813" max="12813" width="4.7109375" style="245" customWidth="1"/>
    <col min="12814" max="12814" width="6.85546875" style="245" customWidth="1"/>
    <col min="12815" max="12815" width="11.42578125" style="245" customWidth="1"/>
    <col min="12816" max="12816" width="5.85546875" style="245" bestFit="1" customWidth="1"/>
    <col min="12817" max="12817" width="12.85546875" style="245" customWidth="1"/>
    <col min="12818" max="12818" width="10.5703125" style="245" customWidth="1"/>
    <col min="12819" max="12819" width="11.7109375" style="245" customWidth="1"/>
    <col min="12820" max="13062" width="11.42578125" style="245"/>
    <col min="13063" max="13063" width="7.7109375" style="245" customWidth="1"/>
    <col min="13064" max="13064" width="12.140625" style="245" customWidth="1"/>
    <col min="13065" max="13065" width="5.85546875" style="245" bestFit="1" customWidth="1"/>
    <col min="13066" max="13066" width="12.7109375" style="245" customWidth="1"/>
    <col min="13067" max="13067" width="10.7109375" style="245" customWidth="1"/>
    <col min="13068" max="13068" width="12.5703125" style="245" customWidth="1"/>
    <col min="13069" max="13069" width="4.7109375" style="245" customWidth="1"/>
    <col min="13070" max="13070" width="6.85546875" style="245" customWidth="1"/>
    <col min="13071" max="13071" width="11.42578125" style="245" customWidth="1"/>
    <col min="13072" max="13072" width="5.85546875" style="245" bestFit="1" customWidth="1"/>
    <col min="13073" max="13073" width="12.85546875" style="245" customWidth="1"/>
    <col min="13074" max="13074" width="10.5703125" style="245" customWidth="1"/>
    <col min="13075" max="13075" width="11.7109375" style="245" customWidth="1"/>
    <col min="13076" max="13318" width="11.42578125" style="245"/>
    <col min="13319" max="13319" width="7.7109375" style="245" customWidth="1"/>
    <col min="13320" max="13320" width="12.140625" style="245" customWidth="1"/>
    <col min="13321" max="13321" width="5.85546875" style="245" bestFit="1" customWidth="1"/>
    <col min="13322" max="13322" width="12.7109375" style="245" customWidth="1"/>
    <col min="13323" max="13323" width="10.7109375" style="245" customWidth="1"/>
    <col min="13324" max="13324" width="12.5703125" style="245" customWidth="1"/>
    <col min="13325" max="13325" width="4.7109375" style="245" customWidth="1"/>
    <col min="13326" max="13326" width="6.85546875" style="245" customWidth="1"/>
    <col min="13327" max="13327" width="11.42578125" style="245" customWidth="1"/>
    <col min="13328" max="13328" width="5.85546875" style="245" bestFit="1" customWidth="1"/>
    <col min="13329" max="13329" width="12.85546875" style="245" customWidth="1"/>
    <col min="13330" max="13330" width="10.5703125" style="245" customWidth="1"/>
    <col min="13331" max="13331" width="11.7109375" style="245" customWidth="1"/>
    <col min="13332" max="13574" width="11.42578125" style="245"/>
    <col min="13575" max="13575" width="7.7109375" style="245" customWidth="1"/>
    <col min="13576" max="13576" width="12.140625" style="245" customWidth="1"/>
    <col min="13577" max="13577" width="5.85546875" style="245" bestFit="1" customWidth="1"/>
    <col min="13578" max="13578" width="12.7109375" style="245" customWidth="1"/>
    <col min="13579" max="13579" width="10.7109375" style="245" customWidth="1"/>
    <col min="13580" max="13580" width="12.5703125" style="245" customWidth="1"/>
    <col min="13581" max="13581" width="4.7109375" style="245" customWidth="1"/>
    <col min="13582" max="13582" width="6.85546875" style="245" customWidth="1"/>
    <col min="13583" max="13583" width="11.42578125" style="245" customWidth="1"/>
    <col min="13584" max="13584" width="5.85546875" style="245" bestFit="1" customWidth="1"/>
    <col min="13585" max="13585" width="12.85546875" style="245" customWidth="1"/>
    <col min="13586" max="13586" width="10.5703125" style="245" customWidth="1"/>
    <col min="13587" max="13587" width="11.7109375" style="245" customWidth="1"/>
    <col min="13588" max="13830" width="11.42578125" style="245"/>
    <col min="13831" max="13831" width="7.7109375" style="245" customWidth="1"/>
    <col min="13832" max="13832" width="12.140625" style="245" customWidth="1"/>
    <col min="13833" max="13833" width="5.85546875" style="245" bestFit="1" customWidth="1"/>
    <col min="13834" max="13834" width="12.7109375" style="245" customWidth="1"/>
    <col min="13835" max="13835" width="10.7109375" style="245" customWidth="1"/>
    <col min="13836" max="13836" width="12.5703125" style="245" customWidth="1"/>
    <col min="13837" max="13837" width="4.7109375" style="245" customWidth="1"/>
    <col min="13838" max="13838" width="6.85546875" style="245" customWidth="1"/>
    <col min="13839" max="13839" width="11.42578125" style="245" customWidth="1"/>
    <col min="13840" max="13840" width="5.85546875" style="245" bestFit="1" customWidth="1"/>
    <col min="13841" max="13841" width="12.85546875" style="245" customWidth="1"/>
    <col min="13842" max="13842" width="10.5703125" style="245" customWidth="1"/>
    <col min="13843" max="13843" width="11.7109375" style="245" customWidth="1"/>
    <col min="13844" max="14086" width="11.42578125" style="245"/>
    <col min="14087" max="14087" width="7.7109375" style="245" customWidth="1"/>
    <col min="14088" max="14088" width="12.140625" style="245" customWidth="1"/>
    <col min="14089" max="14089" width="5.85546875" style="245" bestFit="1" customWidth="1"/>
    <col min="14090" max="14090" width="12.7109375" style="245" customWidth="1"/>
    <col min="14091" max="14091" width="10.7109375" style="245" customWidth="1"/>
    <col min="14092" max="14092" width="12.5703125" style="245" customWidth="1"/>
    <col min="14093" max="14093" width="4.7109375" style="245" customWidth="1"/>
    <col min="14094" max="14094" width="6.85546875" style="245" customWidth="1"/>
    <col min="14095" max="14095" width="11.42578125" style="245" customWidth="1"/>
    <col min="14096" max="14096" width="5.85546875" style="245" bestFit="1" customWidth="1"/>
    <col min="14097" max="14097" width="12.85546875" style="245" customWidth="1"/>
    <col min="14098" max="14098" width="10.5703125" style="245" customWidth="1"/>
    <col min="14099" max="14099" width="11.7109375" style="245" customWidth="1"/>
    <col min="14100" max="14342" width="11.42578125" style="245"/>
    <col min="14343" max="14343" width="7.7109375" style="245" customWidth="1"/>
    <col min="14344" max="14344" width="12.140625" style="245" customWidth="1"/>
    <col min="14345" max="14345" width="5.85546875" style="245" bestFit="1" customWidth="1"/>
    <col min="14346" max="14346" width="12.7109375" style="245" customWidth="1"/>
    <col min="14347" max="14347" width="10.7109375" style="245" customWidth="1"/>
    <col min="14348" max="14348" width="12.5703125" style="245" customWidth="1"/>
    <col min="14349" max="14349" width="4.7109375" style="245" customWidth="1"/>
    <col min="14350" max="14350" width="6.85546875" style="245" customWidth="1"/>
    <col min="14351" max="14351" width="11.42578125" style="245" customWidth="1"/>
    <col min="14352" max="14352" width="5.85546875" style="245" bestFit="1" customWidth="1"/>
    <col min="14353" max="14353" width="12.85546875" style="245" customWidth="1"/>
    <col min="14354" max="14354" width="10.5703125" style="245" customWidth="1"/>
    <col min="14355" max="14355" width="11.7109375" style="245" customWidth="1"/>
    <col min="14356" max="14598" width="11.42578125" style="245"/>
    <col min="14599" max="14599" width="7.7109375" style="245" customWidth="1"/>
    <col min="14600" max="14600" width="12.140625" style="245" customWidth="1"/>
    <col min="14601" max="14601" width="5.85546875" style="245" bestFit="1" customWidth="1"/>
    <col min="14602" max="14602" width="12.7109375" style="245" customWidth="1"/>
    <col min="14603" max="14603" width="10.7109375" style="245" customWidth="1"/>
    <col min="14604" max="14604" width="12.5703125" style="245" customWidth="1"/>
    <col min="14605" max="14605" width="4.7109375" style="245" customWidth="1"/>
    <col min="14606" max="14606" width="6.85546875" style="245" customWidth="1"/>
    <col min="14607" max="14607" width="11.42578125" style="245" customWidth="1"/>
    <col min="14608" max="14608" width="5.85546875" style="245" bestFit="1" customWidth="1"/>
    <col min="14609" max="14609" width="12.85546875" style="245" customWidth="1"/>
    <col min="14610" max="14610" width="10.5703125" style="245" customWidth="1"/>
    <col min="14611" max="14611" width="11.7109375" style="245" customWidth="1"/>
    <col min="14612" max="14854" width="11.42578125" style="245"/>
    <col min="14855" max="14855" width="7.7109375" style="245" customWidth="1"/>
    <col min="14856" max="14856" width="12.140625" style="245" customWidth="1"/>
    <col min="14857" max="14857" width="5.85546875" style="245" bestFit="1" customWidth="1"/>
    <col min="14858" max="14858" width="12.7109375" style="245" customWidth="1"/>
    <col min="14859" max="14859" width="10.7109375" style="245" customWidth="1"/>
    <col min="14860" max="14860" width="12.5703125" style="245" customWidth="1"/>
    <col min="14861" max="14861" width="4.7109375" style="245" customWidth="1"/>
    <col min="14862" max="14862" width="6.85546875" style="245" customWidth="1"/>
    <col min="14863" max="14863" width="11.42578125" style="245" customWidth="1"/>
    <col min="14864" max="14864" width="5.85546875" style="245" bestFit="1" customWidth="1"/>
    <col min="14865" max="14865" width="12.85546875" style="245" customWidth="1"/>
    <col min="14866" max="14866" width="10.5703125" style="245" customWidth="1"/>
    <col min="14867" max="14867" width="11.7109375" style="245" customWidth="1"/>
    <col min="14868" max="15110" width="11.42578125" style="245"/>
    <col min="15111" max="15111" width="7.7109375" style="245" customWidth="1"/>
    <col min="15112" max="15112" width="12.140625" style="245" customWidth="1"/>
    <col min="15113" max="15113" width="5.85546875" style="245" bestFit="1" customWidth="1"/>
    <col min="15114" max="15114" width="12.7109375" style="245" customWidth="1"/>
    <col min="15115" max="15115" width="10.7109375" style="245" customWidth="1"/>
    <col min="15116" max="15116" width="12.5703125" style="245" customWidth="1"/>
    <col min="15117" max="15117" width="4.7109375" style="245" customWidth="1"/>
    <col min="15118" max="15118" width="6.85546875" style="245" customWidth="1"/>
    <col min="15119" max="15119" width="11.42578125" style="245" customWidth="1"/>
    <col min="15120" max="15120" width="5.85546875" style="245" bestFit="1" customWidth="1"/>
    <col min="15121" max="15121" width="12.85546875" style="245" customWidth="1"/>
    <col min="15122" max="15122" width="10.5703125" style="245" customWidth="1"/>
    <col min="15123" max="15123" width="11.7109375" style="245" customWidth="1"/>
    <col min="15124" max="15366" width="11.42578125" style="245"/>
    <col min="15367" max="15367" width="7.7109375" style="245" customWidth="1"/>
    <col min="15368" max="15368" width="12.140625" style="245" customWidth="1"/>
    <col min="15369" max="15369" width="5.85546875" style="245" bestFit="1" customWidth="1"/>
    <col min="15370" max="15370" width="12.7109375" style="245" customWidth="1"/>
    <col min="15371" max="15371" width="10.7109375" style="245" customWidth="1"/>
    <col min="15372" max="15372" width="12.5703125" style="245" customWidth="1"/>
    <col min="15373" max="15373" width="4.7109375" style="245" customWidth="1"/>
    <col min="15374" max="15374" width="6.85546875" style="245" customWidth="1"/>
    <col min="15375" max="15375" width="11.42578125" style="245" customWidth="1"/>
    <col min="15376" max="15376" width="5.85546875" style="245" bestFit="1" customWidth="1"/>
    <col min="15377" max="15377" width="12.85546875" style="245" customWidth="1"/>
    <col min="15378" max="15378" width="10.5703125" style="245" customWidth="1"/>
    <col min="15379" max="15379" width="11.7109375" style="245" customWidth="1"/>
    <col min="15380" max="15622" width="11.42578125" style="245"/>
    <col min="15623" max="15623" width="7.7109375" style="245" customWidth="1"/>
    <col min="15624" max="15624" width="12.140625" style="245" customWidth="1"/>
    <col min="15625" max="15625" width="5.85546875" style="245" bestFit="1" customWidth="1"/>
    <col min="15626" max="15626" width="12.7109375" style="245" customWidth="1"/>
    <col min="15627" max="15627" width="10.7109375" style="245" customWidth="1"/>
    <col min="15628" max="15628" width="12.5703125" style="245" customWidth="1"/>
    <col min="15629" max="15629" width="4.7109375" style="245" customWidth="1"/>
    <col min="15630" max="15630" width="6.85546875" style="245" customWidth="1"/>
    <col min="15631" max="15631" width="11.42578125" style="245" customWidth="1"/>
    <col min="15632" max="15632" width="5.85546875" style="245" bestFit="1" customWidth="1"/>
    <col min="15633" max="15633" width="12.85546875" style="245" customWidth="1"/>
    <col min="15634" max="15634" width="10.5703125" style="245" customWidth="1"/>
    <col min="15635" max="15635" width="11.7109375" style="245" customWidth="1"/>
    <col min="15636" max="15878" width="11.42578125" style="245"/>
    <col min="15879" max="15879" width="7.7109375" style="245" customWidth="1"/>
    <col min="15880" max="15880" width="12.140625" style="245" customWidth="1"/>
    <col min="15881" max="15881" width="5.85546875" style="245" bestFit="1" customWidth="1"/>
    <col min="15882" max="15882" width="12.7109375" style="245" customWidth="1"/>
    <col min="15883" max="15883" width="10.7109375" style="245" customWidth="1"/>
    <col min="15884" max="15884" width="12.5703125" style="245" customWidth="1"/>
    <col min="15885" max="15885" width="4.7109375" style="245" customWidth="1"/>
    <col min="15886" max="15886" width="6.85546875" style="245" customWidth="1"/>
    <col min="15887" max="15887" width="11.42578125" style="245" customWidth="1"/>
    <col min="15888" max="15888" width="5.85546875" style="245" bestFit="1" customWidth="1"/>
    <col min="15889" max="15889" width="12.85546875" style="245" customWidth="1"/>
    <col min="15890" max="15890" width="10.5703125" style="245" customWidth="1"/>
    <col min="15891" max="15891" width="11.7109375" style="245" customWidth="1"/>
    <col min="15892" max="16134" width="11.42578125" style="245"/>
    <col min="16135" max="16135" width="7.7109375" style="245" customWidth="1"/>
    <col min="16136" max="16136" width="12.140625" style="245" customWidth="1"/>
    <col min="16137" max="16137" width="5.85546875" style="245" bestFit="1" customWidth="1"/>
    <col min="16138" max="16138" width="12.7109375" style="245" customWidth="1"/>
    <col min="16139" max="16139" width="10.7109375" style="245" customWidth="1"/>
    <col min="16140" max="16140" width="12.5703125" style="245" customWidth="1"/>
    <col min="16141" max="16141" width="4.7109375" style="245" customWidth="1"/>
    <col min="16142" max="16142" width="6.85546875" style="245" customWidth="1"/>
    <col min="16143" max="16143" width="11.42578125" style="245" customWidth="1"/>
    <col min="16144" max="16144" width="5.85546875" style="245" bestFit="1" customWidth="1"/>
    <col min="16145" max="16145" width="12.85546875" style="245" customWidth="1"/>
    <col min="16146" max="16146" width="10.5703125" style="245" customWidth="1"/>
    <col min="16147" max="16147" width="11.7109375" style="245" customWidth="1"/>
    <col min="16148" max="16384" width="11.42578125" style="245"/>
  </cols>
  <sheetData>
    <row r="1" spans="1:19" ht="15.75" thickBot="1" x14ac:dyDescent="0.3">
      <c r="A1" s="374" t="s">
        <v>3979</v>
      </c>
      <c r="B1" s="367"/>
      <c r="I1" s="244"/>
      <c r="K1" s="374" t="s">
        <v>3978</v>
      </c>
      <c r="L1" s="367"/>
      <c r="S1" s="244"/>
    </row>
    <row r="2" spans="1:19" s="243" customFormat="1" ht="15.75" thickBot="1" x14ac:dyDescent="0.3">
      <c r="A2" s="246" t="s">
        <v>0</v>
      </c>
      <c r="B2" s="368" t="s">
        <v>2511</v>
      </c>
      <c r="C2" s="247" t="s">
        <v>1</v>
      </c>
      <c r="D2" s="247" t="s">
        <v>2512</v>
      </c>
      <c r="E2" s="247" t="s">
        <v>2513</v>
      </c>
      <c r="F2" s="281"/>
      <c r="G2" s="288"/>
      <c r="H2" s="274" t="s">
        <v>2503</v>
      </c>
      <c r="I2" s="248" t="s">
        <v>2514</v>
      </c>
      <c r="K2" s="246" t="s">
        <v>0</v>
      </c>
      <c r="L2" s="368" t="s">
        <v>2511</v>
      </c>
      <c r="M2" s="247" t="s">
        <v>1</v>
      </c>
      <c r="N2" s="247" t="s">
        <v>2512</v>
      </c>
      <c r="O2" s="247" t="s">
        <v>2513</v>
      </c>
      <c r="P2" s="281"/>
      <c r="Q2" s="296"/>
      <c r="R2" s="274" t="s">
        <v>2503</v>
      </c>
      <c r="S2" s="248" t="s">
        <v>2514</v>
      </c>
    </row>
    <row r="3" spans="1:19" ht="15.75" thickBot="1" x14ac:dyDescent="0.3">
      <c r="A3" s="392" t="s">
        <v>2515</v>
      </c>
      <c r="B3" s="387"/>
      <c r="C3" s="388"/>
      <c r="D3" s="388"/>
      <c r="E3" s="388"/>
      <c r="F3" s="389"/>
      <c r="G3" s="390"/>
      <c r="H3" s="389"/>
      <c r="I3" s="391"/>
      <c r="K3" s="249">
        <v>10378</v>
      </c>
      <c r="L3" s="369" t="s">
        <v>1392</v>
      </c>
      <c r="M3" s="250" t="s">
        <v>13</v>
      </c>
      <c r="N3" s="250" t="s">
        <v>2516</v>
      </c>
      <c r="O3" s="250" t="s">
        <v>70</v>
      </c>
      <c r="P3" s="285">
        <f t="shared" ref="P3:P8" si="0">IFERROR(VLOOKUP(L3,Base01,7,FALSE),"SIN SATOS")</f>
        <v>2069.04</v>
      </c>
      <c r="Q3" s="297">
        <f>IFERROR(S3/R3-1,"")</f>
        <v>0.17697048136536231</v>
      </c>
      <c r="R3" s="279">
        <v>2151.0479999999998</v>
      </c>
      <c r="S3" s="251">
        <v>2531.7199999999998</v>
      </c>
    </row>
    <row r="4" spans="1:19" ht="15.75" thickBot="1" x14ac:dyDescent="0.3">
      <c r="A4" s="377" t="s">
        <v>2517</v>
      </c>
      <c r="B4" s="378"/>
      <c r="C4" s="379"/>
      <c r="D4" s="379"/>
      <c r="E4" s="379"/>
      <c r="F4" s="380"/>
      <c r="G4" s="381"/>
      <c r="H4" s="380"/>
      <c r="I4" s="383"/>
      <c r="K4" s="255">
        <v>10678</v>
      </c>
      <c r="L4" s="369" t="s">
        <v>1697</v>
      </c>
      <c r="M4" s="256" t="s">
        <v>22</v>
      </c>
      <c r="N4" s="256" t="s">
        <v>2516</v>
      </c>
      <c r="O4" s="256" t="s">
        <v>71</v>
      </c>
      <c r="P4" s="283">
        <f t="shared" si="0"/>
        <v>21683.83</v>
      </c>
      <c r="Q4" s="298">
        <f t="shared" ref="Q4:Q61" si="1">IFERROR(S4/R4-1,"")</f>
        <v>0.14295866692509174</v>
      </c>
      <c r="R4" s="277">
        <v>22536.527999999998</v>
      </c>
      <c r="S4" s="257">
        <v>25758.32</v>
      </c>
    </row>
    <row r="5" spans="1:19" ht="15.75" thickBot="1" x14ac:dyDescent="0.3">
      <c r="A5" s="252" t="s">
        <v>2518</v>
      </c>
      <c r="B5" s="370"/>
      <c r="C5" s="253"/>
      <c r="D5" s="253"/>
      <c r="E5" s="253"/>
      <c r="F5" s="275"/>
      <c r="G5" s="289"/>
      <c r="H5" s="275"/>
      <c r="I5" s="254"/>
      <c r="K5" s="255">
        <v>10379</v>
      </c>
      <c r="L5" s="369" t="s">
        <v>1394</v>
      </c>
      <c r="M5" s="256" t="s">
        <v>13</v>
      </c>
      <c r="N5" s="256" t="s">
        <v>2519</v>
      </c>
      <c r="O5" s="256" t="s">
        <v>70</v>
      </c>
      <c r="P5" s="283">
        <f t="shared" si="0"/>
        <v>2204.4499999999998</v>
      </c>
      <c r="Q5" s="298">
        <f t="shared" si="1"/>
        <v>0.18755273266569206</v>
      </c>
      <c r="R5" s="277">
        <v>2289.8519999999999</v>
      </c>
      <c r="S5" s="257">
        <v>2719.32</v>
      </c>
    </row>
    <row r="6" spans="1:19" x14ac:dyDescent="0.25">
      <c r="A6" s="258">
        <v>10345</v>
      </c>
      <c r="B6" s="372" t="s">
        <v>1326</v>
      </c>
      <c r="C6" s="259" t="s">
        <v>13</v>
      </c>
      <c r="D6" s="259" t="s">
        <v>2520</v>
      </c>
      <c r="E6" s="259" t="s">
        <v>70</v>
      </c>
      <c r="F6" s="282">
        <f t="shared" ref="F6:F29" si="2">IFERROR(VLOOKUP(B6,Base01,7,FALSE),"SIN DATOS")</f>
        <v>1813.56</v>
      </c>
      <c r="G6" s="290">
        <f t="shared" ref="G6:G29" si="3">IFERROR(I6/H6-1,"")</f>
        <v>0.24005096977031593</v>
      </c>
      <c r="H6" s="276">
        <v>1874.0520000000001</v>
      </c>
      <c r="I6" s="260">
        <v>2323.92</v>
      </c>
      <c r="J6" s="243"/>
      <c r="K6" s="255">
        <v>10679</v>
      </c>
      <c r="L6" s="369" t="s">
        <v>1699</v>
      </c>
      <c r="M6" s="256" t="s">
        <v>22</v>
      </c>
      <c r="N6" s="256" t="s">
        <v>2519</v>
      </c>
      <c r="O6" s="256" t="s">
        <v>71</v>
      </c>
      <c r="P6" s="283">
        <f t="shared" si="0"/>
        <v>23115.71</v>
      </c>
      <c r="Q6" s="298">
        <f t="shared" si="1"/>
        <v>0.17024545448789041</v>
      </c>
      <c r="R6" s="277">
        <v>24004.775999999998</v>
      </c>
      <c r="S6" s="257">
        <v>28091.48</v>
      </c>
    </row>
    <row r="7" spans="1:19" x14ac:dyDescent="0.25">
      <c r="A7" s="255">
        <v>10645</v>
      </c>
      <c r="B7" s="373" t="s">
        <v>1645</v>
      </c>
      <c r="C7" s="256" t="s">
        <v>22</v>
      </c>
      <c r="D7" s="256" t="s">
        <v>2520</v>
      </c>
      <c r="E7" s="256" t="s">
        <v>71</v>
      </c>
      <c r="F7" s="283">
        <f t="shared" si="2"/>
        <v>18995.830000000002</v>
      </c>
      <c r="G7" s="291">
        <f t="shared" si="3"/>
        <v>0.21919859995026036</v>
      </c>
      <c r="H7" s="277">
        <v>19622.16</v>
      </c>
      <c r="I7" s="261">
        <v>23923.31</v>
      </c>
      <c r="J7" s="243"/>
      <c r="K7" s="255">
        <v>10380</v>
      </c>
      <c r="L7" s="369" t="s">
        <v>1396</v>
      </c>
      <c r="M7" s="256" t="s">
        <v>13</v>
      </c>
      <c r="N7" s="256" t="s">
        <v>2521</v>
      </c>
      <c r="O7" s="256" t="s">
        <v>70</v>
      </c>
      <c r="P7" s="283">
        <f t="shared" si="0"/>
        <v>2334.14</v>
      </c>
      <c r="Q7" s="298">
        <f t="shared" si="1"/>
        <v>-0.23803662648056245</v>
      </c>
      <c r="R7" s="277">
        <v>2422.7280000000001</v>
      </c>
      <c r="S7" s="257">
        <v>1846.03</v>
      </c>
    </row>
    <row r="8" spans="1:19" ht="15.75" thickBot="1" x14ac:dyDescent="0.3">
      <c r="A8" s="255">
        <v>10346</v>
      </c>
      <c r="B8" s="373" t="s">
        <v>1328</v>
      </c>
      <c r="C8" s="256" t="s">
        <v>13</v>
      </c>
      <c r="D8" s="256" t="s">
        <v>2522</v>
      </c>
      <c r="E8" s="256" t="s">
        <v>70</v>
      </c>
      <c r="F8" s="283">
        <f t="shared" si="2"/>
        <v>1778.91</v>
      </c>
      <c r="G8" s="291">
        <f t="shared" si="3"/>
        <v>0.20211530264279642</v>
      </c>
      <c r="H8" s="277">
        <v>1876.8</v>
      </c>
      <c r="I8" s="261">
        <v>2256.13</v>
      </c>
      <c r="J8" s="243"/>
      <c r="K8" s="262">
        <v>10680</v>
      </c>
      <c r="L8" s="369" t="s">
        <v>2523</v>
      </c>
      <c r="M8" s="263" t="s">
        <v>22</v>
      </c>
      <c r="N8" s="263" t="s">
        <v>2521</v>
      </c>
      <c r="O8" s="263" t="s">
        <v>71</v>
      </c>
      <c r="P8" s="284" t="str">
        <f t="shared" si="0"/>
        <v>SIN SATOS</v>
      </c>
      <c r="Q8" s="299" t="str">
        <f t="shared" si="1"/>
        <v/>
      </c>
      <c r="R8" s="278"/>
      <c r="S8" s="264" t="s">
        <v>2548</v>
      </c>
    </row>
    <row r="9" spans="1:19" ht="15.75" thickBot="1" x14ac:dyDescent="0.3">
      <c r="A9" s="255">
        <v>10646</v>
      </c>
      <c r="B9" s="373" t="s">
        <v>1647</v>
      </c>
      <c r="C9" s="256" t="s">
        <v>22</v>
      </c>
      <c r="D9" s="256" t="s">
        <v>2522</v>
      </c>
      <c r="E9" s="256" t="s">
        <v>71</v>
      </c>
      <c r="F9" s="283">
        <f t="shared" si="2"/>
        <v>18639.5</v>
      </c>
      <c r="G9" s="291">
        <f t="shared" si="3"/>
        <v>0.18102939462059942</v>
      </c>
      <c r="H9" s="277">
        <v>19660.332000000002</v>
      </c>
      <c r="I9" s="261">
        <v>23219.43</v>
      </c>
      <c r="J9" s="243"/>
      <c r="K9" s="252" t="s">
        <v>2524</v>
      </c>
      <c r="L9" s="370"/>
      <c r="M9" s="253"/>
      <c r="N9" s="253"/>
      <c r="O9" s="253"/>
      <c r="P9" s="275"/>
      <c r="Q9" s="300" t="str">
        <f t="shared" si="1"/>
        <v/>
      </c>
      <c r="R9" s="275"/>
      <c r="S9" s="265"/>
    </row>
    <row r="10" spans="1:19" x14ac:dyDescent="0.25">
      <c r="A10" s="255">
        <v>10347</v>
      </c>
      <c r="B10" s="369" t="s">
        <v>1330</v>
      </c>
      <c r="C10" s="256" t="s">
        <v>13</v>
      </c>
      <c r="D10" s="256" t="s">
        <v>2525</v>
      </c>
      <c r="E10" s="256" t="s">
        <v>70</v>
      </c>
      <c r="F10" s="283">
        <f t="shared" si="2"/>
        <v>1803.52</v>
      </c>
      <c r="G10" s="291">
        <f t="shared" si="3"/>
        <v>0.17546289092889378</v>
      </c>
      <c r="H10" s="277">
        <v>1928.1</v>
      </c>
      <c r="I10" s="261">
        <v>2266.41</v>
      </c>
      <c r="J10" s="243"/>
      <c r="K10" s="249">
        <v>10369</v>
      </c>
      <c r="L10" s="369" t="s">
        <v>1372</v>
      </c>
      <c r="M10" s="250" t="s">
        <v>13</v>
      </c>
      <c r="N10" s="250" t="s">
        <v>2526</v>
      </c>
      <c r="O10" s="250" t="s">
        <v>70</v>
      </c>
      <c r="P10" s="285">
        <f t="shared" ref="P10:P17" si="4">IFERROR(VLOOKUP(L10,Base01,7,FALSE),"SIN SATOS")</f>
        <v>1992.84</v>
      </c>
      <c r="Q10" s="297">
        <f t="shared" si="1"/>
        <v>0.21714857151708045</v>
      </c>
      <c r="R10" s="279">
        <v>2065.9680000000003</v>
      </c>
      <c r="S10" s="251">
        <v>2514.59</v>
      </c>
    </row>
    <row r="11" spans="1:19" x14ac:dyDescent="0.25">
      <c r="A11" s="255">
        <v>10647</v>
      </c>
      <c r="B11" s="369" t="s">
        <v>1649</v>
      </c>
      <c r="C11" s="256" t="s">
        <v>22</v>
      </c>
      <c r="D11" s="256" t="s">
        <v>2525</v>
      </c>
      <c r="E11" s="256" t="s">
        <v>71</v>
      </c>
      <c r="F11" s="283">
        <f t="shared" si="2"/>
        <v>18895.45</v>
      </c>
      <c r="G11" s="291">
        <f t="shared" si="3"/>
        <v>0.1548310738749894</v>
      </c>
      <c r="H11" s="277">
        <v>20196.876</v>
      </c>
      <c r="I11" s="261">
        <v>23323.98</v>
      </c>
      <c r="J11" s="243"/>
      <c r="K11" s="255">
        <v>10669</v>
      </c>
      <c r="L11" s="369" t="s">
        <v>1681</v>
      </c>
      <c r="M11" s="256" t="s">
        <v>22</v>
      </c>
      <c r="N11" s="256" t="s">
        <v>2526</v>
      </c>
      <c r="O11" s="256" t="s">
        <v>71</v>
      </c>
      <c r="P11" s="283">
        <f t="shared" si="4"/>
        <v>20888.259999999998</v>
      </c>
      <c r="Q11" s="298">
        <f t="shared" si="1"/>
        <v>0.196111978622451</v>
      </c>
      <c r="R11" s="277">
        <v>21648.132000000001</v>
      </c>
      <c r="S11" s="257">
        <v>25893.59</v>
      </c>
    </row>
    <row r="12" spans="1:19" x14ac:dyDescent="0.25">
      <c r="A12" s="255">
        <v>10348</v>
      </c>
      <c r="B12" s="369" t="s">
        <v>1332</v>
      </c>
      <c r="C12" s="256" t="s">
        <v>13</v>
      </c>
      <c r="D12" s="256" t="s">
        <v>2526</v>
      </c>
      <c r="E12" s="256" t="s">
        <v>70</v>
      </c>
      <c r="F12" s="283">
        <f t="shared" si="2"/>
        <v>1862.75</v>
      </c>
      <c r="G12" s="291">
        <f t="shared" si="3"/>
        <v>0.17126736320568803</v>
      </c>
      <c r="H12" s="277">
        <v>1989.2640000000001</v>
      </c>
      <c r="I12" s="261">
        <v>2329.96</v>
      </c>
      <c r="J12" s="243"/>
      <c r="K12" s="255">
        <v>10370</v>
      </c>
      <c r="L12" s="369" t="s">
        <v>1375</v>
      </c>
      <c r="M12" s="256" t="s">
        <v>13</v>
      </c>
      <c r="N12" s="256" t="s">
        <v>2516</v>
      </c>
      <c r="O12" s="256" t="s">
        <v>70</v>
      </c>
      <c r="P12" s="283">
        <f t="shared" si="4"/>
        <v>2078.0300000000002</v>
      </c>
      <c r="Q12" s="298">
        <f t="shared" si="1"/>
        <v>0.17667346254765914</v>
      </c>
      <c r="R12" s="277">
        <v>2160.1320000000001</v>
      </c>
      <c r="S12" s="257">
        <v>2541.77</v>
      </c>
    </row>
    <row r="13" spans="1:19" x14ac:dyDescent="0.25">
      <c r="A13" s="255">
        <v>10648</v>
      </c>
      <c r="B13" s="369" t="s">
        <v>1651</v>
      </c>
      <c r="C13" s="256" t="s">
        <v>22</v>
      </c>
      <c r="D13" s="256" t="s">
        <v>2526</v>
      </c>
      <c r="E13" s="256" t="s">
        <v>71</v>
      </c>
      <c r="F13" s="283">
        <f t="shared" si="2"/>
        <v>19518.96</v>
      </c>
      <c r="G13" s="291">
        <f t="shared" si="3"/>
        <v>0.15125499623333183</v>
      </c>
      <c r="H13" s="277">
        <v>20840.7</v>
      </c>
      <c r="I13" s="261">
        <v>23992.959999999999</v>
      </c>
      <c r="J13" s="243"/>
      <c r="K13" s="255">
        <v>10670</v>
      </c>
      <c r="L13" s="369" t="s">
        <v>1683</v>
      </c>
      <c r="M13" s="256" t="s">
        <v>22</v>
      </c>
      <c r="N13" s="256" t="s">
        <v>2516</v>
      </c>
      <c r="O13" s="256" t="s">
        <v>71</v>
      </c>
      <c r="P13" s="283">
        <f t="shared" si="4"/>
        <v>21784.97</v>
      </c>
      <c r="Q13" s="298">
        <f t="shared" si="1"/>
        <v>0.14190438985985288</v>
      </c>
      <c r="R13" s="277">
        <v>22639.356</v>
      </c>
      <c r="S13" s="257">
        <v>25851.98</v>
      </c>
    </row>
    <row r="14" spans="1:19" x14ac:dyDescent="0.25">
      <c r="A14" s="255">
        <v>10349</v>
      </c>
      <c r="B14" s="369" t="s">
        <v>1334</v>
      </c>
      <c r="C14" s="256" t="s">
        <v>13</v>
      </c>
      <c r="D14" s="256" t="s">
        <v>2516</v>
      </c>
      <c r="E14" s="256" t="s">
        <v>70</v>
      </c>
      <c r="F14" s="283">
        <f t="shared" si="2"/>
        <v>1929.12</v>
      </c>
      <c r="G14" s="291">
        <f t="shared" si="3"/>
        <v>0.16841138391555366</v>
      </c>
      <c r="H14" s="277">
        <v>2057.6400000000003</v>
      </c>
      <c r="I14" s="261">
        <v>2404.17</v>
      </c>
      <c r="J14" s="243"/>
      <c r="K14" s="255">
        <v>10371</v>
      </c>
      <c r="L14" s="369" t="s">
        <v>1377</v>
      </c>
      <c r="M14" s="256" t="s">
        <v>13</v>
      </c>
      <c r="N14" s="256" t="s">
        <v>2519</v>
      </c>
      <c r="O14" s="256" t="s">
        <v>70</v>
      </c>
      <c r="P14" s="283">
        <f t="shared" si="4"/>
        <v>2222.61</v>
      </c>
      <c r="Q14" s="298">
        <f t="shared" si="1"/>
        <v>0.18754354404317497</v>
      </c>
      <c r="R14" s="277">
        <v>2308.0079999999998</v>
      </c>
      <c r="S14" s="257">
        <v>2740.86</v>
      </c>
    </row>
    <row r="15" spans="1:19" x14ac:dyDescent="0.25">
      <c r="A15" s="255">
        <v>10649</v>
      </c>
      <c r="B15" s="369" t="s">
        <v>2527</v>
      </c>
      <c r="C15" s="256" t="s">
        <v>22</v>
      </c>
      <c r="D15" s="256" t="s">
        <v>2516</v>
      </c>
      <c r="E15" s="256" t="s">
        <v>71</v>
      </c>
      <c r="F15" s="283" t="str">
        <f t="shared" si="2"/>
        <v>SIN DATOS</v>
      </c>
      <c r="G15" s="291" t="str">
        <f t="shared" si="3"/>
        <v/>
      </c>
      <c r="H15" s="277"/>
      <c r="I15" s="261" t="s">
        <v>2500</v>
      </c>
      <c r="J15" s="243"/>
      <c r="K15" s="255">
        <v>10671</v>
      </c>
      <c r="L15" s="369" t="s">
        <v>1685</v>
      </c>
      <c r="M15" s="256" t="s">
        <v>22</v>
      </c>
      <c r="N15" s="256" t="s">
        <v>2519</v>
      </c>
      <c r="O15" s="256" t="s">
        <v>71</v>
      </c>
      <c r="P15" s="283">
        <f t="shared" si="4"/>
        <v>23306.79</v>
      </c>
      <c r="Q15" s="298">
        <f t="shared" si="1"/>
        <v>0.17037358120379587</v>
      </c>
      <c r="R15" s="277">
        <v>24195.864000000001</v>
      </c>
      <c r="S15" s="257">
        <v>28318.2</v>
      </c>
    </row>
    <row r="16" spans="1:19" x14ac:dyDescent="0.25">
      <c r="A16" s="255">
        <v>10350</v>
      </c>
      <c r="B16" s="369" t="s">
        <v>1336</v>
      </c>
      <c r="C16" s="256" t="s">
        <v>13</v>
      </c>
      <c r="D16" s="256" t="s">
        <v>2519</v>
      </c>
      <c r="E16" s="256" t="s">
        <v>70</v>
      </c>
      <c r="F16" s="283">
        <f t="shared" si="2"/>
        <v>1959.58</v>
      </c>
      <c r="G16" s="291">
        <f t="shared" si="3"/>
        <v>0.18210682954683088</v>
      </c>
      <c r="H16" s="277">
        <v>2080.5479999999998</v>
      </c>
      <c r="I16" s="261">
        <v>2459.4299999999998</v>
      </c>
      <c r="J16" s="243"/>
      <c r="K16" s="255">
        <v>10372</v>
      </c>
      <c r="L16" s="369" t="s">
        <v>1379</v>
      </c>
      <c r="M16" s="256" t="s">
        <v>13</v>
      </c>
      <c r="N16" s="256" t="s">
        <v>2521</v>
      </c>
      <c r="O16" s="256" t="s">
        <v>70</v>
      </c>
      <c r="P16" s="283">
        <f t="shared" si="4"/>
        <v>2345.37</v>
      </c>
      <c r="Q16" s="298">
        <f t="shared" si="1"/>
        <v>0.17448313375172342</v>
      </c>
      <c r="R16" s="277">
        <v>2434.0920000000001</v>
      </c>
      <c r="S16" s="257">
        <v>2858.8</v>
      </c>
    </row>
    <row r="17" spans="1:19" ht="15.75" thickBot="1" x14ac:dyDescent="0.3">
      <c r="A17" s="255">
        <v>10650</v>
      </c>
      <c r="B17" s="369" t="s">
        <v>1653</v>
      </c>
      <c r="C17" s="256" t="s">
        <v>22</v>
      </c>
      <c r="D17" s="256" t="s">
        <v>2519</v>
      </c>
      <c r="E17" s="256" t="s">
        <v>71</v>
      </c>
      <c r="F17" s="283">
        <f t="shared" si="2"/>
        <v>20538.099999999999</v>
      </c>
      <c r="G17" s="291">
        <f t="shared" si="3"/>
        <v>0.16302528655663462</v>
      </c>
      <c r="H17" s="277">
        <v>21801.624</v>
      </c>
      <c r="I17" s="261">
        <v>25355.84</v>
      </c>
      <c r="J17" s="243"/>
      <c r="K17" s="262">
        <v>10672</v>
      </c>
      <c r="L17" s="369" t="s">
        <v>2528</v>
      </c>
      <c r="M17" s="263" t="s">
        <v>22</v>
      </c>
      <c r="N17" s="263" t="s">
        <v>2521</v>
      </c>
      <c r="O17" s="263" t="s">
        <v>71</v>
      </c>
      <c r="P17" s="284" t="str">
        <f t="shared" si="4"/>
        <v>SIN SATOS</v>
      </c>
      <c r="Q17" s="299" t="str">
        <f t="shared" si="1"/>
        <v/>
      </c>
      <c r="R17" s="278"/>
      <c r="S17" s="264" t="s">
        <v>2548</v>
      </c>
    </row>
    <row r="18" spans="1:19" ht="15.75" thickBot="1" x14ac:dyDescent="0.3">
      <c r="A18" s="255">
        <v>10351</v>
      </c>
      <c r="B18" s="369" t="s">
        <v>1338</v>
      </c>
      <c r="C18" s="256" t="s">
        <v>13</v>
      </c>
      <c r="D18" s="256" t="s">
        <v>2521</v>
      </c>
      <c r="E18" s="256" t="s">
        <v>70</v>
      </c>
      <c r="F18" s="283">
        <f t="shared" si="2"/>
        <v>1960.8</v>
      </c>
      <c r="G18" s="291">
        <f t="shared" si="3"/>
        <v>0.19722577669181507</v>
      </c>
      <c r="H18" s="277">
        <v>2072.5079999999998</v>
      </c>
      <c r="I18" s="261">
        <v>2481.2600000000002</v>
      </c>
      <c r="J18" s="243"/>
      <c r="K18" s="377" t="s">
        <v>83</v>
      </c>
      <c r="L18" s="378"/>
      <c r="M18" s="379"/>
      <c r="N18" s="379"/>
      <c r="O18" s="379"/>
      <c r="P18" s="380"/>
      <c r="Q18" s="384" t="str">
        <f t="shared" si="1"/>
        <v/>
      </c>
      <c r="R18" s="380"/>
      <c r="S18" s="385"/>
    </row>
    <row r="19" spans="1:19" ht="15.75" thickBot="1" x14ac:dyDescent="0.3">
      <c r="A19" s="255">
        <v>10651</v>
      </c>
      <c r="B19" s="369" t="s">
        <v>1655</v>
      </c>
      <c r="C19" s="256" t="s">
        <v>22</v>
      </c>
      <c r="D19" s="256" t="s">
        <v>2521</v>
      </c>
      <c r="E19" s="256" t="s">
        <v>71</v>
      </c>
      <c r="F19" s="283">
        <f t="shared" si="2"/>
        <v>20550.84</v>
      </c>
      <c r="G19" s="291">
        <f t="shared" si="3"/>
        <v>0.17813681626265865</v>
      </c>
      <c r="H19" s="277">
        <v>21716.892</v>
      </c>
      <c r="I19" s="261">
        <v>25585.47</v>
      </c>
      <c r="J19" s="243"/>
      <c r="K19" s="252" t="s">
        <v>2529</v>
      </c>
      <c r="L19" s="370"/>
      <c r="M19" s="253"/>
      <c r="N19" s="253"/>
      <c r="O19" s="253"/>
      <c r="P19" s="275"/>
      <c r="Q19" s="300" t="str">
        <f t="shared" si="1"/>
        <v/>
      </c>
      <c r="R19" s="275"/>
      <c r="S19" s="265"/>
    </row>
    <row r="20" spans="1:19" x14ac:dyDescent="0.25">
      <c r="A20" s="255">
        <v>10352</v>
      </c>
      <c r="B20" s="369" t="s">
        <v>1340</v>
      </c>
      <c r="C20" s="256" t="s">
        <v>13</v>
      </c>
      <c r="D20" s="256" t="s">
        <v>2530</v>
      </c>
      <c r="E20" s="256" t="s">
        <v>70</v>
      </c>
      <c r="F20" s="283">
        <f t="shared" si="2"/>
        <v>1974.46</v>
      </c>
      <c r="G20" s="291">
        <f t="shared" si="3"/>
        <v>0.19752688419646747</v>
      </c>
      <c r="H20" s="277">
        <v>2084.4960000000001</v>
      </c>
      <c r="I20" s="261">
        <v>2496.2399999999998</v>
      </c>
      <c r="J20" s="243"/>
      <c r="K20" s="249">
        <v>10300</v>
      </c>
      <c r="L20" s="369" t="s">
        <v>1235</v>
      </c>
      <c r="M20" s="250" t="s">
        <v>13</v>
      </c>
      <c r="N20" s="250" t="s">
        <v>2520</v>
      </c>
      <c r="O20" s="250" t="s">
        <v>70</v>
      </c>
      <c r="P20" s="285">
        <f t="shared" ref="P20:P43" si="5">IFERROR(VLOOKUP(L20,Base01,7,FALSE),"SIN SATOS")</f>
        <v>1838.79</v>
      </c>
      <c r="Q20" s="297">
        <f t="shared" si="1"/>
        <v>0.23999962083870474</v>
      </c>
      <c r="R20" s="279">
        <v>1898.9280000000001</v>
      </c>
      <c r="S20" s="251">
        <v>2354.67</v>
      </c>
    </row>
    <row r="21" spans="1:19" x14ac:dyDescent="0.25">
      <c r="A21" s="255">
        <v>10652</v>
      </c>
      <c r="B21" s="369" t="s">
        <v>1657</v>
      </c>
      <c r="C21" s="256" t="s">
        <v>22</v>
      </c>
      <c r="D21" s="256" t="s">
        <v>2530</v>
      </c>
      <c r="E21" s="256" t="s">
        <v>71</v>
      </c>
      <c r="F21" s="283">
        <f t="shared" si="2"/>
        <v>20694.59</v>
      </c>
      <c r="G21" s="291">
        <f t="shared" si="3"/>
        <v>0.17855136987367515</v>
      </c>
      <c r="H21" s="277">
        <v>21843.036</v>
      </c>
      <c r="I21" s="261">
        <v>25743.14</v>
      </c>
      <c r="J21" s="243"/>
      <c r="K21" s="255">
        <v>10600</v>
      </c>
      <c r="L21" s="369" t="s">
        <v>1559</v>
      </c>
      <c r="M21" s="256" t="s">
        <v>22</v>
      </c>
      <c r="N21" s="256" t="s">
        <v>2520</v>
      </c>
      <c r="O21" s="256" t="s">
        <v>71</v>
      </c>
      <c r="P21" s="283">
        <f t="shared" si="5"/>
        <v>19266.52</v>
      </c>
      <c r="Q21" s="298">
        <f t="shared" si="1"/>
        <v>0.21936537355827723</v>
      </c>
      <c r="R21" s="277">
        <v>19889.748</v>
      </c>
      <c r="S21" s="257">
        <v>24252.87</v>
      </c>
    </row>
    <row r="22" spans="1:19" x14ac:dyDescent="0.25">
      <c r="A22" s="255">
        <v>10353</v>
      </c>
      <c r="B22" s="369" t="s">
        <v>1342</v>
      </c>
      <c r="C22" s="256" t="s">
        <v>13</v>
      </c>
      <c r="D22" s="256" t="s">
        <v>2531</v>
      </c>
      <c r="E22" s="256" t="s">
        <v>70</v>
      </c>
      <c r="F22" s="283">
        <f t="shared" si="2"/>
        <v>1975.26</v>
      </c>
      <c r="G22" s="291">
        <f t="shared" si="3"/>
        <v>0.19063977477658778</v>
      </c>
      <c r="H22" s="277">
        <v>2087.172</v>
      </c>
      <c r="I22" s="261">
        <v>2485.0700000000002</v>
      </c>
      <c r="J22" s="243"/>
      <c r="K22" s="255">
        <v>10301</v>
      </c>
      <c r="L22" s="369" t="s">
        <v>1237</v>
      </c>
      <c r="M22" s="256" t="s">
        <v>13</v>
      </c>
      <c r="N22" s="256" t="s">
        <v>2522</v>
      </c>
      <c r="O22" s="256" t="s">
        <v>70</v>
      </c>
      <c r="P22" s="283">
        <f t="shared" si="5"/>
        <v>1794.67</v>
      </c>
      <c r="Q22" s="298">
        <f t="shared" si="1"/>
        <v>0.19788931284024214</v>
      </c>
      <c r="R22" s="277">
        <v>1896.444</v>
      </c>
      <c r="S22" s="257">
        <v>2271.73</v>
      </c>
    </row>
    <row r="23" spans="1:19" x14ac:dyDescent="0.25">
      <c r="A23" s="255">
        <v>10653</v>
      </c>
      <c r="B23" s="369" t="s">
        <v>1659</v>
      </c>
      <c r="C23" s="256" t="s">
        <v>22</v>
      </c>
      <c r="D23" s="256" t="s">
        <v>2531</v>
      </c>
      <c r="E23" s="256" t="s">
        <v>71</v>
      </c>
      <c r="F23" s="283">
        <f t="shared" si="2"/>
        <v>20703.240000000002</v>
      </c>
      <c r="G23" s="291">
        <f t="shared" si="3"/>
        <v>0.17165603447219535</v>
      </c>
      <c r="H23" s="277">
        <v>21871.308000000001</v>
      </c>
      <c r="I23" s="261">
        <v>25625.65</v>
      </c>
      <c r="J23" s="243"/>
      <c r="K23" s="255">
        <v>10601</v>
      </c>
      <c r="L23" s="369" t="s">
        <v>1561</v>
      </c>
      <c r="M23" s="256" t="s">
        <v>22</v>
      </c>
      <c r="N23" s="256" t="s">
        <v>2522</v>
      </c>
      <c r="O23" s="256" t="s">
        <v>71</v>
      </c>
      <c r="P23" s="283">
        <f t="shared" si="5"/>
        <v>18802.23</v>
      </c>
      <c r="Q23" s="298">
        <f t="shared" si="1"/>
        <v>0.17702963589905019</v>
      </c>
      <c r="R23" s="277">
        <v>19863.611999999997</v>
      </c>
      <c r="S23" s="257">
        <v>23380.06</v>
      </c>
    </row>
    <row r="24" spans="1:19" x14ac:dyDescent="0.25">
      <c r="A24" s="255">
        <v>10354</v>
      </c>
      <c r="B24" s="369" t="s">
        <v>1344</v>
      </c>
      <c r="C24" s="256" t="s">
        <v>13</v>
      </c>
      <c r="D24" s="256" t="s">
        <v>2532</v>
      </c>
      <c r="E24" s="256" t="s">
        <v>70</v>
      </c>
      <c r="F24" s="283">
        <f t="shared" si="2"/>
        <v>1976.44</v>
      </c>
      <c r="G24" s="291">
        <f t="shared" si="3"/>
        <v>0.18436086167696275</v>
      </c>
      <c r="H24" s="277">
        <v>2090.0640000000003</v>
      </c>
      <c r="I24" s="261">
        <v>2475.39</v>
      </c>
      <c r="J24" s="243"/>
      <c r="K24" s="255">
        <v>10302</v>
      </c>
      <c r="L24" s="369" t="s">
        <v>1239</v>
      </c>
      <c r="M24" s="256" t="s">
        <v>13</v>
      </c>
      <c r="N24" s="256" t="s">
        <v>2525</v>
      </c>
      <c r="O24" s="256" t="s">
        <v>70</v>
      </c>
      <c r="P24" s="283">
        <f t="shared" si="5"/>
        <v>1814.3</v>
      </c>
      <c r="Q24" s="298">
        <f t="shared" si="1"/>
        <v>0.17527915523940996</v>
      </c>
      <c r="R24" s="277">
        <v>1938.348</v>
      </c>
      <c r="S24" s="257">
        <v>2278.1</v>
      </c>
    </row>
    <row r="25" spans="1:19" x14ac:dyDescent="0.25">
      <c r="A25" s="255">
        <v>10654</v>
      </c>
      <c r="B25" s="369" t="s">
        <v>2533</v>
      </c>
      <c r="C25" s="256" t="s">
        <v>22</v>
      </c>
      <c r="D25" s="256" t="s">
        <v>2532</v>
      </c>
      <c r="E25" s="256" t="s">
        <v>71</v>
      </c>
      <c r="F25" s="283" t="str">
        <f t="shared" si="2"/>
        <v>SIN DATOS</v>
      </c>
      <c r="G25" s="291" t="str">
        <f t="shared" si="3"/>
        <v/>
      </c>
      <c r="H25" s="277"/>
      <c r="I25" s="261" t="s">
        <v>2500</v>
      </c>
      <c r="J25" s="243"/>
      <c r="K25" s="255">
        <v>10602</v>
      </c>
      <c r="L25" s="369" t="s">
        <v>1563</v>
      </c>
      <c r="M25" s="256" t="s">
        <v>22</v>
      </c>
      <c r="N25" s="256" t="s">
        <v>2525</v>
      </c>
      <c r="O25" s="256" t="s">
        <v>71</v>
      </c>
      <c r="P25" s="283">
        <f t="shared" si="5"/>
        <v>19008.73</v>
      </c>
      <c r="Q25" s="298">
        <f t="shared" si="1"/>
        <v>0.1547542429126203</v>
      </c>
      <c r="R25" s="277">
        <v>20304.684000000001</v>
      </c>
      <c r="S25" s="257">
        <v>23446.92</v>
      </c>
    </row>
    <row r="26" spans="1:19" x14ac:dyDescent="0.25">
      <c r="A26" s="255">
        <v>10355</v>
      </c>
      <c r="B26" s="369" t="s">
        <v>2534</v>
      </c>
      <c r="C26" s="256" t="s">
        <v>13</v>
      </c>
      <c r="D26" s="256" t="s">
        <v>2535</v>
      </c>
      <c r="E26" s="256" t="s">
        <v>70</v>
      </c>
      <c r="F26" s="283" t="str">
        <f t="shared" si="2"/>
        <v>SIN DATOS</v>
      </c>
      <c r="G26" s="291" t="str">
        <f t="shared" si="3"/>
        <v/>
      </c>
      <c r="H26" s="277"/>
      <c r="I26" s="261" t="s">
        <v>2500</v>
      </c>
      <c r="J26" s="243"/>
      <c r="K26" s="255">
        <v>10303</v>
      </c>
      <c r="L26" s="369" t="s">
        <v>1241</v>
      </c>
      <c r="M26" s="256" t="s">
        <v>13</v>
      </c>
      <c r="N26" s="256" t="s">
        <v>2526</v>
      </c>
      <c r="O26" s="256" t="s">
        <v>70</v>
      </c>
      <c r="P26" s="283">
        <f t="shared" si="5"/>
        <v>1885.11</v>
      </c>
      <c r="Q26" s="298">
        <f t="shared" si="1"/>
        <v>0.17472206828469883</v>
      </c>
      <c r="R26" s="277">
        <v>2013.8040000000001</v>
      </c>
      <c r="S26" s="257">
        <v>2365.66</v>
      </c>
    </row>
    <row r="27" spans="1:19" x14ac:dyDescent="0.25">
      <c r="A27" s="255">
        <v>10655</v>
      </c>
      <c r="B27" s="369" t="s">
        <v>2536</v>
      </c>
      <c r="C27" s="256" t="s">
        <v>22</v>
      </c>
      <c r="D27" s="256" t="s">
        <v>2535</v>
      </c>
      <c r="E27" s="256" t="s">
        <v>71</v>
      </c>
      <c r="F27" s="283" t="str">
        <f t="shared" si="2"/>
        <v>SIN DATOS</v>
      </c>
      <c r="G27" s="291" t="str">
        <f t="shared" si="3"/>
        <v/>
      </c>
      <c r="H27" s="277"/>
      <c r="I27" s="261" t="s">
        <v>2500</v>
      </c>
      <c r="J27" s="243"/>
      <c r="K27" s="255">
        <v>10603</v>
      </c>
      <c r="L27" s="369" t="s">
        <v>1565</v>
      </c>
      <c r="M27" s="256" t="s">
        <v>22</v>
      </c>
      <c r="N27" s="256" t="s">
        <v>2526</v>
      </c>
      <c r="O27" s="256" t="s">
        <v>71</v>
      </c>
      <c r="P27" s="283">
        <f t="shared" si="5"/>
        <v>19754.259999999998</v>
      </c>
      <c r="Q27" s="298">
        <f t="shared" si="1"/>
        <v>0.15496640316617682</v>
      </c>
      <c r="R27" s="277">
        <v>21099.011999999999</v>
      </c>
      <c r="S27" s="257">
        <v>24368.65</v>
      </c>
    </row>
    <row r="28" spans="1:19" x14ac:dyDescent="0.25">
      <c r="A28" s="255">
        <v>10356</v>
      </c>
      <c r="B28" s="369" t="s">
        <v>1346</v>
      </c>
      <c r="C28" s="256" t="s">
        <v>13</v>
      </c>
      <c r="D28" s="256" t="s">
        <v>2537</v>
      </c>
      <c r="E28" s="256" t="s">
        <v>70</v>
      </c>
      <c r="F28" s="283">
        <f t="shared" si="2"/>
        <v>2021.12</v>
      </c>
      <c r="G28" s="291">
        <f t="shared" si="3"/>
        <v>0.18503892759106133</v>
      </c>
      <c r="H28" s="277">
        <v>2099.7959999999998</v>
      </c>
      <c r="I28" s="261">
        <v>2488.34</v>
      </c>
      <c r="J28" s="243"/>
      <c r="K28" s="255">
        <v>10304</v>
      </c>
      <c r="L28" s="369" t="s">
        <v>1243</v>
      </c>
      <c r="M28" s="256" t="s">
        <v>13</v>
      </c>
      <c r="N28" s="256" t="s">
        <v>2516</v>
      </c>
      <c r="O28" s="256" t="s">
        <v>70</v>
      </c>
      <c r="P28" s="283">
        <f t="shared" si="5"/>
        <v>1952.65</v>
      </c>
      <c r="Q28" s="298">
        <f t="shared" si="1"/>
        <v>0.16936569086561004</v>
      </c>
      <c r="R28" s="277">
        <v>2080.752</v>
      </c>
      <c r="S28" s="257">
        <v>2433.16</v>
      </c>
    </row>
    <row r="29" spans="1:19" ht="15.75" thickBot="1" x14ac:dyDescent="0.3">
      <c r="A29" s="262">
        <v>10656</v>
      </c>
      <c r="B29" s="369" t="s">
        <v>2538</v>
      </c>
      <c r="C29" s="263" t="s">
        <v>22</v>
      </c>
      <c r="D29" s="263" t="s">
        <v>2537</v>
      </c>
      <c r="E29" s="263" t="s">
        <v>71</v>
      </c>
      <c r="F29" s="284" t="str">
        <f t="shared" si="2"/>
        <v>SIN DATOS</v>
      </c>
      <c r="G29" s="292" t="str">
        <f t="shared" si="3"/>
        <v/>
      </c>
      <c r="H29" s="278"/>
      <c r="I29" s="266" t="s">
        <v>2500</v>
      </c>
      <c r="J29" s="243"/>
      <c r="K29" s="255">
        <v>10604</v>
      </c>
      <c r="L29" s="369" t="s">
        <v>1567</v>
      </c>
      <c r="M29" s="256" t="s">
        <v>22</v>
      </c>
      <c r="N29" s="256" t="s">
        <v>2516</v>
      </c>
      <c r="O29" s="256" t="s">
        <v>71</v>
      </c>
      <c r="P29" s="283">
        <f t="shared" si="5"/>
        <v>20465.2</v>
      </c>
      <c r="Q29" s="298">
        <f t="shared" si="1"/>
        <v>0.15022087933457362</v>
      </c>
      <c r="R29" s="277">
        <v>21803.759999999998</v>
      </c>
      <c r="S29" s="257">
        <v>25079.14</v>
      </c>
    </row>
    <row r="30" spans="1:19" ht="15.75" thickBot="1" x14ac:dyDescent="0.3">
      <c r="A30" s="252" t="s">
        <v>2539</v>
      </c>
      <c r="B30" s="370"/>
      <c r="C30" s="253"/>
      <c r="D30" s="253"/>
      <c r="E30" s="253"/>
      <c r="F30" s="275"/>
      <c r="G30" s="289"/>
      <c r="H30" s="275"/>
      <c r="I30" s="267"/>
      <c r="J30" s="243"/>
      <c r="K30" s="255">
        <v>10305</v>
      </c>
      <c r="L30" s="369" t="s">
        <v>1245</v>
      </c>
      <c r="M30" s="256" t="s">
        <v>13</v>
      </c>
      <c r="N30" s="256" t="s">
        <v>2519</v>
      </c>
      <c r="O30" s="256" t="s">
        <v>70</v>
      </c>
      <c r="P30" s="283">
        <f t="shared" si="5"/>
        <v>1970.8</v>
      </c>
      <c r="Q30" s="298">
        <f t="shared" si="1"/>
        <v>0.17166954835705472</v>
      </c>
      <c r="R30" s="277">
        <v>2095.9920000000002</v>
      </c>
      <c r="S30" s="257">
        <v>2455.81</v>
      </c>
    </row>
    <row r="31" spans="1:19" x14ac:dyDescent="0.25">
      <c r="A31" s="249">
        <v>10358</v>
      </c>
      <c r="B31" s="369" t="s">
        <v>1348</v>
      </c>
      <c r="C31" s="250" t="s">
        <v>13</v>
      </c>
      <c r="D31" s="250" t="s">
        <v>2525</v>
      </c>
      <c r="E31" s="250" t="s">
        <v>70</v>
      </c>
      <c r="F31" s="285">
        <f>IFERROR(VLOOKUP(B31,Base01,7,FALSE),"SIN DATOS")</f>
        <v>1636.7</v>
      </c>
      <c r="G31" s="293">
        <f t="shared" ref="G31:G32" si="6">IFERROR(I31/H31-1,"")</f>
        <v>4.3593670239918447E-2</v>
      </c>
      <c r="H31" s="279">
        <v>1763.1</v>
      </c>
      <c r="I31" s="386">
        <v>1839.96</v>
      </c>
      <c r="J31" s="243"/>
      <c r="K31" s="255">
        <v>10605</v>
      </c>
      <c r="L31" s="369" t="s">
        <v>1569</v>
      </c>
      <c r="M31" s="256" t="s">
        <v>22</v>
      </c>
      <c r="N31" s="256" t="s">
        <v>2519</v>
      </c>
      <c r="O31" s="256" t="s">
        <v>71</v>
      </c>
      <c r="P31" s="283">
        <f t="shared" si="5"/>
        <v>20656.3</v>
      </c>
      <c r="Q31" s="298">
        <f t="shared" si="1"/>
        <v>0.15268163648118294</v>
      </c>
      <c r="R31" s="277">
        <v>21964.2</v>
      </c>
      <c r="S31" s="257">
        <v>25317.73</v>
      </c>
    </row>
    <row r="32" spans="1:19" ht="15.75" thickBot="1" x14ac:dyDescent="0.3">
      <c r="A32" s="262">
        <v>10658</v>
      </c>
      <c r="B32" s="369" t="s">
        <v>1661</v>
      </c>
      <c r="C32" s="263" t="s">
        <v>22</v>
      </c>
      <c r="D32" s="263" t="s">
        <v>2525</v>
      </c>
      <c r="E32" s="263" t="s">
        <v>71</v>
      </c>
      <c r="F32" s="284">
        <f>IFERROR(VLOOKUP(B32,Base01,7,FALSE),"SIN DATOS")</f>
        <v>17139.39</v>
      </c>
      <c r="G32" s="292">
        <f t="shared" si="6"/>
        <v>4.2111519633336592E-3</v>
      </c>
      <c r="H32" s="278">
        <v>18460.031999999999</v>
      </c>
      <c r="I32" s="266">
        <v>18537.77</v>
      </c>
      <c r="J32" s="243"/>
      <c r="K32" s="255">
        <v>10306</v>
      </c>
      <c r="L32" s="369" t="s">
        <v>1247</v>
      </c>
      <c r="M32" s="256" t="s">
        <v>13</v>
      </c>
      <c r="N32" s="256" t="s">
        <v>2521</v>
      </c>
      <c r="O32" s="256" t="s">
        <v>70</v>
      </c>
      <c r="P32" s="283">
        <f t="shared" si="5"/>
        <v>1984.7</v>
      </c>
      <c r="Q32" s="298">
        <f t="shared" si="1"/>
        <v>0.1989580171398353</v>
      </c>
      <c r="R32" s="277">
        <v>2095.2359999999999</v>
      </c>
      <c r="S32" s="257">
        <v>2512.1</v>
      </c>
    </row>
    <row r="33" spans="1:19" ht="15.75" thickBot="1" x14ac:dyDescent="0.3">
      <c r="A33" s="377" t="s">
        <v>2540</v>
      </c>
      <c r="B33" s="378"/>
      <c r="C33" s="379"/>
      <c r="D33" s="379"/>
      <c r="E33" s="379"/>
      <c r="F33" s="380"/>
      <c r="G33" s="381"/>
      <c r="H33" s="380"/>
      <c r="I33" s="382"/>
      <c r="J33" s="243"/>
      <c r="K33" s="255">
        <v>10606</v>
      </c>
      <c r="L33" s="369" t="s">
        <v>1571</v>
      </c>
      <c r="M33" s="256" t="s">
        <v>22</v>
      </c>
      <c r="N33" s="256" t="s">
        <v>2521</v>
      </c>
      <c r="O33" s="256" t="s">
        <v>71</v>
      </c>
      <c r="P33" s="283">
        <f t="shared" si="5"/>
        <v>20802.5</v>
      </c>
      <c r="Q33" s="298">
        <f t="shared" si="1"/>
        <v>0.18008017773551188</v>
      </c>
      <c r="R33" s="277">
        <v>21956.219999999998</v>
      </c>
      <c r="S33" s="257">
        <v>25910.1</v>
      </c>
    </row>
    <row r="34" spans="1:19" ht="15.75" thickBot="1" x14ac:dyDescent="0.3">
      <c r="A34" s="252" t="s">
        <v>2541</v>
      </c>
      <c r="B34" s="370"/>
      <c r="C34" s="253"/>
      <c r="D34" s="253"/>
      <c r="E34" s="253"/>
      <c r="F34" s="275"/>
      <c r="G34" s="289"/>
      <c r="H34" s="275"/>
      <c r="I34" s="267"/>
      <c r="J34" s="243"/>
      <c r="K34" s="255">
        <v>10307</v>
      </c>
      <c r="L34" s="369" t="s">
        <v>1249</v>
      </c>
      <c r="M34" s="256" t="s">
        <v>13</v>
      </c>
      <c r="N34" s="256" t="s">
        <v>2530</v>
      </c>
      <c r="O34" s="256" t="s">
        <v>70</v>
      </c>
      <c r="P34" s="283">
        <f t="shared" si="5"/>
        <v>1991.42</v>
      </c>
      <c r="Q34" s="298">
        <f t="shared" si="1"/>
        <v>0.19729678279078633</v>
      </c>
      <c r="R34" s="277">
        <v>2101.1999999999998</v>
      </c>
      <c r="S34" s="257">
        <v>2515.7600000000002</v>
      </c>
    </row>
    <row r="35" spans="1:19" x14ac:dyDescent="0.25">
      <c r="A35" s="249">
        <v>10362</v>
      </c>
      <c r="B35" s="369" t="s">
        <v>1358</v>
      </c>
      <c r="C35" s="250" t="s">
        <v>13</v>
      </c>
      <c r="D35" s="250" t="s">
        <v>2526</v>
      </c>
      <c r="E35" s="250" t="s">
        <v>70</v>
      </c>
      <c r="F35" s="285">
        <f t="shared" ref="F35:F48" si="7">IFERROR(VLOOKUP(B35,Base01,7,FALSE),"SIN DATOS")</f>
        <v>1899.12</v>
      </c>
      <c r="G35" s="293">
        <f t="shared" ref="G35:G48" si="8">IFERROR(I35/H35-1,"")</f>
        <v>0.17059202173556764</v>
      </c>
      <c r="H35" s="279">
        <v>2025.8040000000001</v>
      </c>
      <c r="I35" s="268">
        <v>2371.39</v>
      </c>
      <c r="J35" s="243"/>
      <c r="K35" s="255">
        <v>10607</v>
      </c>
      <c r="L35" s="369" t="s">
        <v>1573</v>
      </c>
      <c r="M35" s="256" t="s">
        <v>22</v>
      </c>
      <c r="N35" s="256" t="s">
        <v>2530</v>
      </c>
      <c r="O35" s="256" t="s">
        <v>71</v>
      </c>
      <c r="P35" s="283">
        <f t="shared" si="5"/>
        <v>20873.25</v>
      </c>
      <c r="Q35" s="298">
        <f t="shared" si="1"/>
        <v>0.17847030796357033</v>
      </c>
      <c r="R35" s="277">
        <v>22018.968000000001</v>
      </c>
      <c r="S35" s="257">
        <v>25948.7</v>
      </c>
    </row>
    <row r="36" spans="1:19" x14ac:dyDescent="0.25">
      <c r="A36" s="255">
        <v>10662</v>
      </c>
      <c r="B36" s="369" t="s">
        <v>1667</v>
      </c>
      <c r="C36" s="256" t="s">
        <v>22</v>
      </c>
      <c r="D36" s="256" t="s">
        <v>2526</v>
      </c>
      <c r="E36" s="256" t="s">
        <v>71</v>
      </c>
      <c r="F36" s="283">
        <f t="shared" si="7"/>
        <v>19899.52</v>
      </c>
      <c r="G36" s="291">
        <f t="shared" si="8"/>
        <v>0.15095098326918555</v>
      </c>
      <c r="H36" s="277">
        <v>21222.876</v>
      </c>
      <c r="I36" s="261">
        <v>24426.49</v>
      </c>
      <c r="J36" s="243"/>
      <c r="K36" s="255">
        <v>10308</v>
      </c>
      <c r="L36" s="369" t="s">
        <v>1251</v>
      </c>
      <c r="M36" s="256" t="s">
        <v>13</v>
      </c>
      <c r="N36" s="256" t="s">
        <v>2531</v>
      </c>
      <c r="O36" s="256" t="s">
        <v>70</v>
      </c>
      <c r="P36" s="283">
        <f t="shared" si="5"/>
        <v>1990.23</v>
      </c>
      <c r="Q36" s="298">
        <f t="shared" si="1"/>
        <v>0.19040006698866896</v>
      </c>
      <c r="R36" s="277">
        <v>2101.848</v>
      </c>
      <c r="S36" s="257">
        <v>2502.04</v>
      </c>
    </row>
    <row r="37" spans="1:19" x14ac:dyDescent="0.25">
      <c r="A37" s="255">
        <v>10363</v>
      </c>
      <c r="B37" s="369" t="s">
        <v>1360</v>
      </c>
      <c r="C37" s="256" t="s">
        <v>13</v>
      </c>
      <c r="D37" s="256" t="s">
        <v>2516</v>
      </c>
      <c r="E37" s="256" t="s">
        <v>70</v>
      </c>
      <c r="F37" s="283">
        <f t="shared" si="7"/>
        <v>1965.9</v>
      </c>
      <c r="G37" s="291">
        <f t="shared" si="8"/>
        <v>0.16779337343645562</v>
      </c>
      <c r="H37" s="277">
        <v>2094.6</v>
      </c>
      <c r="I37" s="261">
        <v>2446.06</v>
      </c>
      <c r="J37" s="243"/>
      <c r="K37" s="255">
        <v>10608</v>
      </c>
      <c r="L37" s="369" t="s">
        <v>1575</v>
      </c>
      <c r="M37" s="256" t="s">
        <v>22</v>
      </c>
      <c r="N37" s="256" t="s">
        <v>2531</v>
      </c>
      <c r="O37" s="256" t="s">
        <v>71</v>
      </c>
      <c r="P37" s="283">
        <f t="shared" si="5"/>
        <v>20860.72</v>
      </c>
      <c r="Q37" s="298">
        <f t="shared" si="1"/>
        <v>0.17154049202254451</v>
      </c>
      <c r="R37" s="277">
        <v>22025.82</v>
      </c>
      <c r="S37" s="257">
        <v>25804.14</v>
      </c>
    </row>
    <row r="38" spans="1:19" x14ac:dyDescent="0.25">
      <c r="A38" s="255">
        <v>10663</v>
      </c>
      <c r="B38" s="369" t="s">
        <v>1669</v>
      </c>
      <c r="C38" s="256" t="s">
        <v>22</v>
      </c>
      <c r="D38" s="256" t="s">
        <v>2516</v>
      </c>
      <c r="E38" s="256" t="s">
        <v>71</v>
      </c>
      <c r="F38" s="283">
        <f t="shared" si="7"/>
        <v>20604.580000000002</v>
      </c>
      <c r="G38" s="291">
        <f t="shared" si="8"/>
        <v>0.14877509403428957</v>
      </c>
      <c r="H38" s="277">
        <v>21949.440000000002</v>
      </c>
      <c r="I38" s="261">
        <v>25214.97</v>
      </c>
      <c r="J38" s="243"/>
      <c r="K38" s="255">
        <v>10309</v>
      </c>
      <c r="L38" s="369" t="s">
        <v>1253</v>
      </c>
      <c r="M38" s="256" t="s">
        <v>13</v>
      </c>
      <c r="N38" s="256" t="s">
        <v>2532</v>
      </c>
      <c r="O38" s="256" t="s">
        <v>70</v>
      </c>
      <c r="P38" s="283">
        <f t="shared" si="5"/>
        <v>1861.85</v>
      </c>
      <c r="Q38" s="298">
        <f t="shared" si="1"/>
        <v>0.17351965632037603</v>
      </c>
      <c r="R38" s="277">
        <v>1960.896</v>
      </c>
      <c r="S38" s="257">
        <v>2301.15</v>
      </c>
    </row>
    <row r="39" spans="1:19" x14ac:dyDescent="0.25">
      <c r="A39" s="255">
        <v>10364</v>
      </c>
      <c r="B39" s="369" t="s">
        <v>1362</v>
      </c>
      <c r="C39" s="256" t="s">
        <v>13</v>
      </c>
      <c r="D39" s="256" t="s">
        <v>2519</v>
      </c>
      <c r="E39" s="256" t="s">
        <v>70</v>
      </c>
      <c r="F39" s="283">
        <f t="shared" si="7"/>
        <v>2000.82</v>
      </c>
      <c r="G39" s="291">
        <f t="shared" si="8"/>
        <v>0.17738389356059758</v>
      </c>
      <c r="H39" s="277">
        <v>2117.712</v>
      </c>
      <c r="I39" s="261">
        <v>2493.36</v>
      </c>
      <c r="J39" s="243"/>
      <c r="K39" s="255">
        <v>10609</v>
      </c>
      <c r="L39" s="369" t="s">
        <v>1577</v>
      </c>
      <c r="M39" s="256" t="s">
        <v>22</v>
      </c>
      <c r="N39" s="256" t="s">
        <v>2532</v>
      </c>
      <c r="O39" s="256" t="s">
        <v>71</v>
      </c>
      <c r="P39" s="283">
        <f t="shared" si="5"/>
        <v>20861.060000000001</v>
      </c>
      <c r="Q39" s="298">
        <f t="shared" si="1"/>
        <v>0.16528170553902788</v>
      </c>
      <c r="R39" s="277">
        <v>22043.940000000002</v>
      </c>
      <c r="S39" s="257">
        <v>25687.4</v>
      </c>
    </row>
    <row r="40" spans="1:19" x14ac:dyDescent="0.25">
      <c r="A40" s="255">
        <v>10664</v>
      </c>
      <c r="B40" s="369" t="s">
        <v>1671</v>
      </c>
      <c r="C40" s="256" t="s">
        <v>22</v>
      </c>
      <c r="D40" s="256" t="s">
        <v>2519</v>
      </c>
      <c r="E40" s="256" t="s">
        <v>71</v>
      </c>
      <c r="F40" s="283">
        <f t="shared" si="7"/>
        <v>20972.17</v>
      </c>
      <c r="G40" s="291">
        <f t="shared" si="8"/>
        <v>0.15861716566002837</v>
      </c>
      <c r="H40" s="277">
        <v>22192.68</v>
      </c>
      <c r="I40" s="261">
        <v>25712.82</v>
      </c>
      <c r="J40" s="243"/>
      <c r="K40" s="255">
        <v>10310</v>
      </c>
      <c r="L40" s="369" t="s">
        <v>1255</v>
      </c>
      <c r="M40" s="256" t="s">
        <v>13</v>
      </c>
      <c r="N40" s="256" t="s">
        <v>2535</v>
      </c>
      <c r="O40" s="256" t="s">
        <v>70</v>
      </c>
      <c r="P40" s="283">
        <f t="shared" si="5"/>
        <v>1994.92</v>
      </c>
      <c r="Q40" s="298">
        <f t="shared" si="1"/>
        <v>0.17883843468731109</v>
      </c>
      <c r="R40" s="277">
        <v>2109.636</v>
      </c>
      <c r="S40" s="257">
        <v>2486.92</v>
      </c>
    </row>
    <row r="41" spans="1:19" x14ac:dyDescent="0.25">
      <c r="A41" s="255">
        <v>10365</v>
      </c>
      <c r="B41" s="369" t="s">
        <v>1364</v>
      </c>
      <c r="C41" s="256" t="s">
        <v>13</v>
      </c>
      <c r="D41" s="256" t="s">
        <v>2521</v>
      </c>
      <c r="E41" s="256" t="s">
        <v>70</v>
      </c>
      <c r="F41" s="283">
        <f t="shared" si="7"/>
        <v>2015.68</v>
      </c>
      <c r="G41" s="291">
        <f t="shared" si="8"/>
        <v>0.18880735851016617</v>
      </c>
      <c r="H41" s="277">
        <v>2117.8199999999997</v>
      </c>
      <c r="I41" s="261">
        <v>2517.6799999999998</v>
      </c>
      <c r="J41" s="243"/>
      <c r="K41" s="255">
        <v>10610</v>
      </c>
      <c r="L41" s="369" t="s">
        <v>1579</v>
      </c>
      <c r="M41" s="256" t="s">
        <v>22</v>
      </c>
      <c r="N41" s="256" t="s">
        <v>2535</v>
      </c>
      <c r="O41" s="256" t="s">
        <v>71</v>
      </c>
      <c r="P41" s="283">
        <f t="shared" si="5"/>
        <v>20910.060000000001</v>
      </c>
      <c r="Q41" s="298">
        <f t="shared" si="1"/>
        <v>0.16000159219966892</v>
      </c>
      <c r="R41" s="277">
        <v>22107.780000000002</v>
      </c>
      <c r="S41" s="257">
        <v>25645.06</v>
      </c>
    </row>
    <row r="42" spans="1:19" x14ac:dyDescent="0.25">
      <c r="A42" s="255">
        <v>10665</v>
      </c>
      <c r="B42" s="369" t="s">
        <v>1673</v>
      </c>
      <c r="C42" s="256" t="s">
        <v>22</v>
      </c>
      <c r="D42" s="256" t="s">
        <v>2521</v>
      </c>
      <c r="E42" s="256" t="s">
        <v>71</v>
      </c>
      <c r="F42" s="283">
        <f t="shared" si="7"/>
        <v>21107.74</v>
      </c>
      <c r="G42" s="291">
        <f t="shared" si="8"/>
        <v>0.17022208438246689</v>
      </c>
      <c r="H42" s="277">
        <v>22170.672000000002</v>
      </c>
      <c r="I42" s="261">
        <v>25944.61</v>
      </c>
      <c r="J42" s="243"/>
      <c r="K42" s="255">
        <v>10311</v>
      </c>
      <c r="L42" s="369" t="s">
        <v>1257</v>
      </c>
      <c r="M42" s="256" t="s">
        <v>13</v>
      </c>
      <c r="N42" s="256" t="s">
        <v>2537</v>
      </c>
      <c r="O42" s="256" t="s">
        <v>70</v>
      </c>
      <c r="P42" s="283">
        <f t="shared" si="5"/>
        <v>1991.66</v>
      </c>
      <c r="Q42" s="298">
        <f t="shared" si="1"/>
        <v>0.18634702882880849</v>
      </c>
      <c r="R42" s="277">
        <v>2097.6239999999998</v>
      </c>
      <c r="S42" s="257">
        <v>2488.5100000000002</v>
      </c>
    </row>
    <row r="43" spans="1:19" ht="15.75" thickBot="1" x14ac:dyDescent="0.3">
      <c r="A43" s="255">
        <v>10366</v>
      </c>
      <c r="B43" s="369" t="s">
        <v>1366</v>
      </c>
      <c r="C43" s="256" t="s">
        <v>13</v>
      </c>
      <c r="D43" s="256" t="s">
        <v>2530</v>
      </c>
      <c r="E43" s="256" t="s">
        <v>70</v>
      </c>
      <c r="F43" s="283">
        <f t="shared" si="7"/>
        <v>2008.24</v>
      </c>
      <c r="G43" s="291">
        <f t="shared" si="8"/>
        <v>0.1959023419504422</v>
      </c>
      <c r="H43" s="277">
        <v>2118.576</v>
      </c>
      <c r="I43" s="261">
        <v>2533.61</v>
      </c>
      <c r="J43" s="243"/>
      <c r="K43" s="262">
        <v>10611</v>
      </c>
      <c r="L43" s="369" t="s">
        <v>1581</v>
      </c>
      <c r="M43" s="263" t="s">
        <v>22</v>
      </c>
      <c r="N43" s="263" t="s">
        <v>2537</v>
      </c>
      <c r="O43" s="263" t="s">
        <v>71</v>
      </c>
      <c r="P43" s="284">
        <f t="shared" si="5"/>
        <v>20875.78</v>
      </c>
      <c r="Q43" s="299">
        <f t="shared" si="1"/>
        <v>0.16743923370375779</v>
      </c>
      <c r="R43" s="278">
        <v>21981.264000000003</v>
      </c>
      <c r="S43" s="264">
        <v>25661.79</v>
      </c>
    </row>
    <row r="44" spans="1:19" ht="15.75" thickBot="1" x14ac:dyDescent="0.3">
      <c r="A44" s="255">
        <v>10666</v>
      </c>
      <c r="B44" s="369" t="s">
        <v>1675</v>
      </c>
      <c r="C44" s="256" t="s">
        <v>22</v>
      </c>
      <c r="D44" s="256" t="s">
        <v>2530</v>
      </c>
      <c r="E44" s="256" t="s">
        <v>71</v>
      </c>
      <c r="F44" s="283">
        <f t="shared" si="7"/>
        <v>21050.3</v>
      </c>
      <c r="G44" s="291">
        <f t="shared" si="8"/>
        <v>0.17723022457638571</v>
      </c>
      <c r="H44" s="277">
        <v>22201.8</v>
      </c>
      <c r="I44" s="261">
        <v>26136.63</v>
      </c>
      <c r="J44" s="243"/>
      <c r="K44" s="252" t="s">
        <v>2542</v>
      </c>
      <c r="L44" s="370"/>
      <c r="M44" s="253"/>
      <c r="N44" s="253"/>
      <c r="O44" s="253"/>
      <c r="P44" s="275"/>
      <c r="Q44" s="300" t="str">
        <f t="shared" si="1"/>
        <v/>
      </c>
      <c r="R44" s="275"/>
      <c r="S44" s="265"/>
    </row>
    <row r="45" spans="1:19" x14ac:dyDescent="0.25">
      <c r="A45" s="255">
        <v>10367</v>
      </c>
      <c r="B45" s="369" t="s">
        <v>1368</v>
      </c>
      <c r="C45" s="256" t="s">
        <v>13</v>
      </c>
      <c r="D45" s="256" t="s">
        <v>2531</v>
      </c>
      <c r="E45" s="256" t="s">
        <v>70</v>
      </c>
      <c r="F45" s="283">
        <f t="shared" si="7"/>
        <v>2026.1</v>
      </c>
      <c r="G45" s="291">
        <f t="shared" si="8"/>
        <v>0.19019359159263649</v>
      </c>
      <c r="H45" s="277">
        <v>2138.3160000000003</v>
      </c>
      <c r="I45" s="261">
        <v>2545.0100000000002</v>
      </c>
      <c r="J45" s="243"/>
      <c r="K45" s="249">
        <v>10318</v>
      </c>
      <c r="L45" s="369" t="s">
        <v>1271</v>
      </c>
      <c r="M45" s="250" t="s">
        <v>13</v>
      </c>
      <c r="N45" s="250" t="s">
        <v>2526</v>
      </c>
      <c r="O45" s="250" t="s">
        <v>70</v>
      </c>
      <c r="P45" s="285">
        <f t="shared" ref="P45:P52" si="9">IFERROR(VLOOKUP(L45,Base01,7,FALSE),"SIN SATOS")</f>
        <v>1985.19</v>
      </c>
      <c r="Q45" s="297">
        <f t="shared" si="1"/>
        <v>0.16989957431330294</v>
      </c>
      <c r="R45" s="279">
        <v>2111.4120000000003</v>
      </c>
      <c r="S45" s="251">
        <v>2470.14</v>
      </c>
    </row>
    <row r="46" spans="1:19" x14ac:dyDescent="0.25">
      <c r="A46" s="255">
        <v>10667</v>
      </c>
      <c r="B46" s="369" t="s">
        <v>1677</v>
      </c>
      <c r="C46" s="256" t="s">
        <v>22</v>
      </c>
      <c r="D46" s="256" t="s">
        <v>2531</v>
      </c>
      <c r="E46" s="256" t="s">
        <v>71</v>
      </c>
      <c r="F46" s="283">
        <f t="shared" si="7"/>
        <v>21238.34</v>
      </c>
      <c r="G46" s="291">
        <f t="shared" si="8"/>
        <v>0.17166101644089848</v>
      </c>
      <c r="H46" s="277">
        <v>22409.724000000002</v>
      </c>
      <c r="I46" s="261">
        <v>26256.6</v>
      </c>
      <c r="J46" s="243"/>
      <c r="K46" s="255">
        <v>10618</v>
      </c>
      <c r="L46" s="369" t="s">
        <v>1595</v>
      </c>
      <c r="M46" s="256" t="s">
        <v>22</v>
      </c>
      <c r="N46" s="256" t="s">
        <v>2526</v>
      </c>
      <c r="O46" s="256" t="s">
        <v>71</v>
      </c>
      <c r="P46" s="283">
        <f t="shared" si="9"/>
        <v>20807.38</v>
      </c>
      <c r="Q46" s="298">
        <f t="shared" si="1"/>
        <v>0.15104302253268531</v>
      </c>
      <c r="R46" s="277">
        <v>22126.080000000002</v>
      </c>
      <c r="S46" s="257">
        <v>25468.07</v>
      </c>
    </row>
    <row r="47" spans="1:19" x14ac:dyDescent="0.25">
      <c r="A47" s="255">
        <v>10368</v>
      </c>
      <c r="B47" s="369" t="s">
        <v>1370</v>
      </c>
      <c r="C47" s="256" t="s">
        <v>13</v>
      </c>
      <c r="D47" s="256" t="s">
        <v>2532</v>
      </c>
      <c r="E47" s="256" t="s">
        <v>70</v>
      </c>
      <c r="F47" s="283">
        <f t="shared" si="7"/>
        <v>2014.2</v>
      </c>
      <c r="G47" s="291">
        <f t="shared" si="8"/>
        <v>0.18333822042277093</v>
      </c>
      <c r="H47" s="277">
        <v>2128.056</v>
      </c>
      <c r="I47" s="261">
        <v>2518.21</v>
      </c>
      <c r="J47" s="243"/>
      <c r="K47" s="255">
        <v>10319</v>
      </c>
      <c r="L47" s="369" t="s">
        <v>1273</v>
      </c>
      <c r="M47" s="256" t="s">
        <v>13</v>
      </c>
      <c r="N47" s="256" t="s">
        <v>2516</v>
      </c>
      <c r="O47" s="256" t="s">
        <v>70</v>
      </c>
      <c r="P47" s="283">
        <f t="shared" si="9"/>
        <v>2060.83</v>
      </c>
      <c r="Q47" s="298">
        <f t="shared" si="1"/>
        <v>0.16755739487123278</v>
      </c>
      <c r="R47" s="277">
        <v>2189.2199999999998</v>
      </c>
      <c r="S47" s="257">
        <v>2556.04</v>
      </c>
    </row>
    <row r="48" spans="1:19" ht="15.75" thickBot="1" x14ac:dyDescent="0.3">
      <c r="A48" s="262">
        <v>10668</v>
      </c>
      <c r="B48" s="369" t="s">
        <v>1679</v>
      </c>
      <c r="C48" s="263" t="s">
        <v>22</v>
      </c>
      <c r="D48" s="263" t="s">
        <v>2532</v>
      </c>
      <c r="E48" s="263" t="s">
        <v>71</v>
      </c>
      <c r="F48" s="284">
        <f t="shared" si="7"/>
        <v>21116.17</v>
      </c>
      <c r="G48" s="292">
        <f t="shared" si="8"/>
        <v>0.16467052874790089</v>
      </c>
      <c r="H48" s="278">
        <v>22305.072</v>
      </c>
      <c r="I48" s="266">
        <v>25978.06</v>
      </c>
      <c r="J48" s="243"/>
      <c r="K48" s="255">
        <v>10619</v>
      </c>
      <c r="L48" s="369" t="s">
        <v>1597</v>
      </c>
      <c r="M48" s="256" t="s">
        <v>22</v>
      </c>
      <c r="N48" s="256" t="s">
        <v>2516</v>
      </c>
      <c r="O48" s="256" t="s">
        <v>71</v>
      </c>
      <c r="P48" s="283">
        <f t="shared" si="9"/>
        <v>21603.83</v>
      </c>
      <c r="Q48" s="298">
        <f t="shared" si="1"/>
        <v>0.14935919360793926</v>
      </c>
      <c r="R48" s="277">
        <v>22945.464</v>
      </c>
      <c r="S48" s="257">
        <v>26372.58</v>
      </c>
    </row>
    <row r="49" spans="1:19" ht="15.75" thickBot="1" x14ac:dyDescent="0.3">
      <c r="A49" s="252" t="s">
        <v>2543</v>
      </c>
      <c r="B49" s="370"/>
      <c r="C49" s="253"/>
      <c r="D49" s="253"/>
      <c r="E49" s="253"/>
      <c r="F49" s="275"/>
      <c r="G49" s="289"/>
      <c r="H49" s="275"/>
      <c r="I49" s="267"/>
      <c r="J49" s="243"/>
      <c r="K49" s="255">
        <v>10320</v>
      </c>
      <c r="L49" s="369" t="s">
        <v>1275</v>
      </c>
      <c r="M49" s="256" t="s">
        <v>13</v>
      </c>
      <c r="N49" s="256" t="s">
        <v>2519</v>
      </c>
      <c r="O49" s="256" t="s">
        <v>70</v>
      </c>
      <c r="P49" s="283">
        <f t="shared" si="9"/>
        <v>2075.19</v>
      </c>
      <c r="Q49" s="298">
        <f t="shared" si="1"/>
        <v>0.17867133631287357</v>
      </c>
      <c r="R49" s="277">
        <v>2196.3119999999999</v>
      </c>
      <c r="S49" s="257">
        <v>2588.73</v>
      </c>
    </row>
    <row r="50" spans="1:19" x14ac:dyDescent="0.25">
      <c r="A50" s="249">
        <v>10373</v>
      </c>
      <c r="B50" s="369" t="s">
        <v>1381</v>
      </c>
      <c r="C50" s="250" t="s">
        <v>13</v>
      </c>
      <c r="D50" s="250" t="s">
        <v>2526</v>
      </c>
      <c r="E50" s="250" t="s">
        <v>70</v>
      </c>
      <c r="F50" s="285">
        <f t="shared" ref="F50:F57" si="10">IFERROR(VLOOKUP(B50,Base01,7,FALSE),"SIN DATOS")</f>
        <v>1967.12</v>
      </c>
      <c r="G50" s="293">
        <f t="shared" ref="G50:G57" si="11">IFERROR(I50/H50-1,"")</f>
        <v>0.2176792971153354</v>
      </c>
      <c r="H50" s="279">
        <v>2041.4160000000002</v>
      </c>
      <c r="I50" s="268">
        <v>2485.79</v>
      </c>
      <c r="J50" s="243"/>
      <c r="K50" s="255">
        <v>10620</v>
      </c>
      <c r="L50" s="369" t="s">
        <v>1599</v>
      </c>
      <c r="M50" s="256" t="s">
        <v>22</v>
      </c>
      <c r="N50" s="256" t="s">
        <v>2519</v>
      </c>
      <c r="O50" s="256" t="s">
        <v>71</v>
      </c>
      <c r="P50" s="283">
        <f t="shared" si="9"/>
        <v>21755.07</v>
      </c>
      <c r="Q50" s="298">
        <f t="shared" si="1"/>
        <v>0.16057878331993658</v>
      </c>
      <c r="R50" s="277">
        <v>23020.151999999998</v>
      </c>
      <c r="S50" s="257">
        <v>26716.7</v>
      </c>
    </row>
    <row r="51" spans="1:19" x14ac:dyDescent="0.25">
      <c r="A51" s="255">
        <v>10673</v>
      </c>
      <c r="B51" s="369" t="s">
        <v>1687</v>
      </c>
      <c r="C51" s="256" t="s">
        <v>22</v>
      </c>
      <c r="D51" s="256" t="s">
        <v>2526</v>
      </c>
      <c r="E51" s="256" t="s">
        <v>71</v>
      </c>
      <c r="F51" s="283">
        <f t="shared" si="10"/>
        <v>20617.39</v>
      </c>
      <c r="G51" s="291">
        <f t="shared" si="11"/>
        <v>0.19838757273622853</v>
      </c>
      <c r="H51" s="277">
        <v>21389.616000000002</v>
      </c>
      <c r="I51" s="261">
        <v>25633.05</v>
      </c>
      <c r="J51" s="243"/>
      <c r="K51" s="255">
        <v>10321</v>
      </c>
      <c r="L51" s="369" t="s">
        <v>1277</v>
      </c>
      <c r="M51" s="256" t="s">
        <v>13</v>
      </c>
      <c r="N51" s="256" t="s">
        <v>2521</v>
      </c>
      <c r="O51" s="256" t="s">
        <v>70</v>
      </c>
      <c r="P51" s="283">
        <f t="shared" si="9"/>
        <v>2084.96</v>
      </c>
      <c r="Q51" s="298">
        <f t="shared" si="1"/>
        <v>0.1936243046640993</v>
      </c>
      <c r="R51" s="277">
        <v>2196.7800000000002</v>
      </c>
      <c r="S51" s="257">
        <v>2622.13</v>
      </c>
    </row>
    <row r="52" spans="1:19" ht="15.75" thickBot="1" x14ac:dyDescent="0.3">
      <c r="A52" s="255">
        <v>10374</v>
      </c>
      <c r="B52" s="369" t="s">
        <v>1384</v>
      </c>
      <c r="C52" s="256" t="s">
        <v>13</v>
      </c>
      <c r="D52" s="256" t="s">
        <v>2516</v>
      </c>
      <c r="E52" s="256" t="s">
        <v>70</v>
      </c>
      <c r="F52" s="283">
        <f t="shared" si="10"/>
        <v>2042.95</v>
      </c>
      <c r="G52" s="291">
        <f t="shared" si="11"/>
        <v>0.1796181184826362</v>
      </c>
      <c r="H52" s="277">
        <v>2125.4760000000001</v>
      </c>
      <c r="I52" s="261">
        <v>2507.25</v>
      </c>
      <c r="J52" s="243"/>
      <c r="K52" s="262">
        <v>10621</v>
      </c>
      <c r="L52" s="369" t="s">
        <v>1601</v>
      </c>
      <c r="M52" s="263" t="s">
        <v>22</v>
      </c>
      <c r="N52" s="263" t="s">
        <v>2521</v>
      </c>
      <c r="O52" s="263" t="s">
        <v>71</v>
      </c>
      <c r="P52" s="284">
        <f t="shared" si="9"/>
        <v>21857.87</v>
      </c>
      <c r="Q52" s="299">
        <f t="shared" si="1"/>
        <v>0.17560605705262033</v>
      </c>
      <c r="R52" s="278">
        <v>23025.059999999998</v>
      </c>
      <c r="S52" s="264">
        <v>27068.400000000001</v>
      </c>
    </row>
    <row r="53" spans="1:19" ht="15.75" thickBot="1" x14ac:dyDescent="0.3">
      <c r="A53" s="255">
        <v>10674</v>
      </c>
      <c r="B53" s="369" t="s">
        <v>1689</v>
      </c>
      <c r="C53" s="256" t="s">
        <v>22</v>
      </c>
      <c r="D53" s="256" t="s">
        <v>2516</v>
      </c>
      <c r="E53" s="256" t="s">
        <v>71</v>
      </c>
      <c r="F53" s="283">
        <f t="shared" si="10"/>
        <v>21409.22</v>
      </c>
      <c r="G53" s="291">
        <f t="shared" si="11"/>
        <v>0.14520348722326304</v>
      </c>
      <c r="H53" s="277">
        <v>22267.343999999997</v>
      </c>
      <c r="I53" s="261">
        <v>25500.639999999999</v>
      </c>
      <c r="J53" s="243"/>
      <c r="K53" s="252" t="s">
        <v>2544</v>
      </c>
      <c r="L53" s="370"/>
      <c r="M53" s="253"/>
      <c r="N53" s="253"/>
      <c r="O53" s="253"/>
      <c r="P53" s="275"/>
      <c r="Q53" s="300" t="str">
        <f t="shared" si="1"/>
        <v/>
      </c>
      <c r="R53" s="275"/>
      <c r="S53" s="265"/>
    </row>
    <row r="54" spans="1:19" x14ac:dyDescent="0.25">
      <c r="A54" s="255">
        <v>10375</v>
      </c>
      <c r="B54" s="369" t="s">
        <v>1386</v>
      </c>
      <c r="C54" s="256" t="s">
        <v>13</v>
      </c>
      <c r="D54" s="256" t="s">
        <v>2519</v>
      </c>
      <c r="E54" s="256" t="s">
        <v>70</v>
      </c>
      <c r="F54" s="283">
        <f t="shared" si="10"/>
        <v>2187.44</v>
      </c>
      <c r="G54" s="291">
        <f t="shared" si="11"/>
        <v>0.18685189290376614</v>
      </c>
      <c r="H54" s="277">
        <v>2273.5439999999999</v>
      </c>
      <c r="I54" s="261">
        <v>2698.36</v>
      </c>
      <c r="J54" s="243"/>
      <c r="K54" s="249">
        <v>10312</v>
      </c>
      <c r="L54" s="369" t="s">
        <v>1259</v>
      </c>
      <c r="M54" s="250" t="s">
        <v>13</v>
      </c>
      <c r="N54" s="250" t="s">
        <v>2522</v>
      </c>
      <c r="O54" s="250" t="s">
        <v>70</v>
      </c>
      <c r="P54" s="285">
        <f t="shared" ref="P54:P60" si="12">IFERROR(VLOOKUP(L54,Base01,7,FALSE),"SIN SATOS")</f>
        <v>2099.7399999999998</v>
      </c>
      <c r="Q54" s="297">
        <f t="shared" si="1"/>
        <v>0.23006793458041286</v>
      </c>
      <c r="R54" s="279">
        <v>2150.3040000000001</v>
      </c>
      <c r="S54" s="251">
        <v>2645.02</v>
      </c>
    </row>
    <row r="55" spans="1:19" x14ac:dyDescent="0.25">
      <c r="A55" s="255">
        <v>10675</v>
      </c>
      <c r="B55" s="369" t="s">
        <v>1691</v>
      </c>
      <c r="C55" s="256" t="s">
        <v>22</v>
      </c>
      <c r="D55" s="256" t="s">
        <v>2519</v>
      </c>
      <c r="E55" s="256" t="s">
        <v>71</v>
      </c>
      <c r="F55" s="283">
        <f t="shared" si="10"/>
        <v>22936.62</v>
      </c>
      <c r="G55" s="291">
        <f t="shared" si="11"/>
        <v>0.16941410154096359</v>
      </c>
      <c r="H55" s="277">
        <v>23833.14</v>
      </c>
      <c r="I55" s="261">
        <v>27870.81</v>
      </c>
      <c r="J55" s="243"/>
      <c r="K55" s="255">
        <v>10612</v>
      </c>
      <c r="L55" s="369" t="s">
        <v>1583</v>
      </c>
      <c r="M55" s="256" t="s">
        <v>22</v>
      </c>
      <c r="N55" s="256" t="s">
        <v>2522</v>
      </c>
      <c r="O55" s="256" t="s">
        <v>71</v>
      </c>
      <c r="P55" s="283">
        <f t="shared" si="12"/>
        <v>22013.56</v>
      </c>
      <c r="Q55" s="298">
        <f t="shared" si="1"/>
        <v>0.19538234290226741</v>
      </c>
      <c r="R55" s="277">
        <v>22535.843999999997</v>
      </c>
      <c r="S55" s="257">
        <v>26938.95</v>
      </c>
    </row>
    <row r="56" spans="1:19" x14ac:dyDescent="0.25">
      <c r="A56" s="255">
        <v>10376</v>
      </c>
      <c r="B56" s="369" t="s">
        <v>1388</v>
      </c>
      <c r="C56" s="256" t="s">
        <v>13</v>
      </c>
      <c r="D56" s="256" t="s">
        <v>2521</v>
      </c>
      <c r="E56" s="256" t="s">
        <v>70</v>
      </c>
      <c r="F56" s="283">
        <f t="shared" si="10"/>
        <v>2312.2399999999998</v>
      </c>
      <c r="G56" s="291">
        <f t="shared" si="11"/>
        <v>0.17450192633456751</v>
      </c>
      <c r="H56" s="277">
        <v>2401.4520000000002</v>
      </c>
      <c r="I56" s="261">
        <v>2820.51</v>
      </c>
      <c r="J56" s="243"/>
      <c r="K56" s="255">
        <v>10313</v>
      </c>
      <c r="L56" s="369" t="s">
        <v>1261</v>
      </c>
      <c r="M56" s="256" t="s">
        <v>13</v>
      </c>
      <c r="N56" s="375" t="s">
        <v>2525</v>
      </c>
      <c r="O56" s="256" t="s">
        <v>70</v>
      </c>
      <c r="P56" s="283">
        <f t="shared" si="12"/>
        <v>2086.9</v>
      </c>
      <c r="Q56" s="298">
        <f t="shared" si="1"/>
        <v>0.19357211830043441</v>
      </c>
      <c r="R56" s="277">
        <v>2183.0520000000001</v>
      </c>
      <c r="S56" s="257">
        <v>2605.63</v>
      </c>
    </row>
    <row r="57" spans="1:19" ht="15.75" thickBot="1" x14ac:dyDescent="0.3">
      <c r="A57" s="262">
        <v>10676</v>
      </c>
      <c r="B57" s="369" t="s">
        <v>1693</v>
      </c>
      <c r="C57" s="263" t="s">
        <v>22</v>
      </c>
      <c r="D57" s="263" t="s">
        <v>2521</v>
      </c>
      <c r="E57" s="263" t="s">
        <v>71</v>
      </c>
      <c r="F57" s="284">
        <f t="shared" si="10"/>
        <v>24243.77</v>
      </c>
      <c r="G57" s="292">
        <f t="shared" si="11"/>
        <v>0.15797988484788106</v>
      </c>
      <c r="H57" s="278">
        <v>25172.268</v>
      </c>
      <c r="I57" s="266">
        <v>29148.98</v>
      </c>
      <c r="J57" s="243"/>
      <c r="K57" s="255">
        <v>10613</v>
      </c>
      <c r="L57" s="369" t="s">
        <v>1585</v>
      </c>
      <c r="M57" s="256" t="s">
        <v>22</v>
      </c>
      <c r="N57" s="375" t="s">
        <v>2525</v>
      </c>
      <c r="O57" s="256" t="s">
        <v>71</v>
      </c>
      <c r="P57" s="283">
        <f t="shared" si="12"/>
        <v>21878.26</v>
      </c>
      <c r="Q57" s="298">
        <f t="shared" si="1"/>
        <v>0.17543821924607084</v>
      </c>
      <c r="R57" s="277">
        <v>22880.556</v>
      </c>
      <c r="S57" s="257">
        <v>26894.68</v>
      </c>
    </row>
    <row r="58" spans="1:19" ht="15.75" thickBot="1" x14ac:dyDescent="0.3">
      <c r="A58" s="252" t="s">
        <v>2545</v>
      </c>
      <c r="B58" s="370"/>
      <c r="C58" s="253"/>
      <c r="D58" s="253"/>
      <c r="E58" s="253"/>
      <c r="F58" s="275"/>
      <c r="G58" s="289"/>
      <c r="H58" s="275"/>
      <c r="I58" s="267"/>
      <c r="J58" s="243"/>
      <c r="K58" s="255">
        <v>10314</v>
      </c>
      <c r="L58" s="369" t="s">
        <v>1263</v>
      </c>
      <c r="M58" s="256" t="s">
        <v>13</v>
      </c>
      <c r="N58" s="256" t="s">
        <v>2526</v>
      </c>
      <c r="O58" s="256" t="s">
        <v>70</v>
      </c>
      <c r="P58" s="283">
        <f t="shared" si="12"/>
        <v>2204.12</v>
      </c>
      <c r="Q58" s="298">
        <f t="shared" si="1"/>
        <v>0.18223686716037069</v>
      </c>
      <c r="R58" s="277">
        <v>2310.6959999999999</v>
      </c>
      <c r="S58" s="257">
        <v>2731.79</v>
      </c>
    </row>
    <row r="59" spans="1:19" x14ac:dyDescent="0.25">
      <c r="A59" s="249">
        <v>10377</v>
      </c>
      <c r="B59" s="369" t="s">
        <v>1390</v>
      </c>
      <c r="C59" s="250" t="s">
        <v>13</v>
      </c>
      <c r="D59" s="250" t="s">
        <v>2526</v>
      </c>
      <c r="E59" s="250" t="s">
        <v>70</v>
      </c>
      <c r="F59" s="285">
        <f>IFERROR(VLOOKUP(B59,Base01,7,FALSE),"SIN DATOS")</f>
        <v>1984.22</v>
      </c>
      <c r="G59" s="293">
        <f t="shared" ref="G59:G60" si="13">IFERROR(I59/H59-1,"")</f>
        <v>0.21708927689717772</v>
      </c>
      <c r="H59" s="279">
        <v>2057.6880000000001</v>
      </c>
      <c r="I59" s="268">
        <v>2504.39</v>
      </c>
      <c r="J59" s="243"/>
      <c r="K59" s="255">
        <v>10614</v>
      </c>
      <c r="L59" s="369" t="s">
        <v>1587</v>
      </c>
      <c r="M59" s="256" t="s">
        <v>22</v>
      </c>
      <c r="N59" s="256" t="s">
        <v>2526</v>
      </c>
      <c r="O59" s="256" t="s">
        <v>71</v>
      </c>
      <c r="P59" s="283">
        <f t="shared" si="12"/>
        <v>23112.23</v>
      </c>
      <c r="Q59" s="298">
        <f t="shared" si="1"/>
        <v>0.16506298003680953</v>
      </c>
      <c r="R59" s="277">
        <v>24224.184000000001</v>
      </c>
      <c r="S59" s="257">
        <v>28222.7</v>
      </c>
    </row>
    <row r="60" spans="1:19" ht="15.75" thickBot="1" x14ac:dyDescent="0.3">
      <c r="A60" s="269">
        <v>10677</v>
      </c>
      <c r="B60" s="371" t="s">
        <v>1695</v>
      </c>
      <c r="C60" s="270" t="s">
        <v>22</v>
      </c>
      <c r="D60" s="270" t="s">
        <v>2526</v>
      </c>
      <c r="E60" s="270" t="s">
        <v>71</v>
      </c>
      <c r="F60" s="286">
        <f>IFERROR(VLOOKUP(B60,Base01,7,FALSE),"SIN DATOS")</f>
        <v>20791.07</v>
      </c>
      <c r="G60" s="294">
        <f t="shared" si="13"/>
        <v>0.19721574539885744</v>
      </c>
      <c r="H60" s="280">
        <v>21553.775999999998</v>
      </c>
      <c r="I60" s="271">
        <v>25804.52</v>
      </c>
      <c r="J60" s="243"/>
      <c r="K60" s="269">
        <v>10315</v>
      </c>
      <c r="L60" s="369" t="s">
        <v>1265</v>
      </c>
      <c r="M60" s="270" t="s">
        <v>13</v>
      </c>
      <c r="N60" s="376" t="s">
        <v>2516</v>
      </c>
      <c r="O60" s="270" t="s">
        <v>70</v>
      </c>
      <c r="P60" s="286">
        <f t="shared" si="12"/>
        <v>2326.5100000000002</v>
      </c>
      <c r="Q60" s="301">
        <f t="shared" si="1"/>
        <v>0.18096006766184858</v>
      </c>
      <c r="R60" s="280">
        <v>2430.9120000000003</v>
      </c>
      <c r="S60" s="272">
        <v>2870.81</v>
      </c>
    </row>
    <row r="61" spans="1:19" x14ac:dyDescent="0.25">
      <c r="A61" s="393" t="s">
        <v>2546</v>
      </c>
      <c r="I61" s="244">
        <v>1</v>
      </c>
      <c r="K61" s="393" t="s">
        <v>2547</v>
      </c>
      <c r="Q61" s="295" t="str">
        <f t="shared" si="1"/>
        <v/>
      </c>
      <c r="S61" s="244">
        <v>2</v>
      </c>
    </row>
  </sheetData>
  <pageMargins left="0.31496062992125984" right="0.31496062992125984" top="0.35433070866141736" bottom="0.35433070866141736" header="0.31496062992125984" footer="0.31496062992125984"/>
  <pageSetup scale="8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292"/>
  <sheetViews>
    <sheetView zoomScale="85" zoomScaleNormal="85" workbookViewId="0">
      <pane xSplit="1" ySplit="1" topLeftCell="B780" activePane="bottomRight" state="frozen"/>
      <selection pane="topRight" activeCell="B1" sqref="B1"/>
      <selection pane="bottomLeft" activeCell="A2" sqref="A2"/>
      <selection pane="bottomRight" activeCell="D792" sqref="D792"/>
    </sheetView>
  </sheetViews>
  <sheetFormatPr baseColWidth="10" defaultColWidth="9.140625" defaultRowHeight="15" x14ac:dyDescent="0.25"/>
  <cols>
    <col min="1" max="1" width="5" style="304" bestFit="1" customWidth="1"/>
    <col min="2" max="2" width="23.42578125" style="305" bestFit="1" customWidth="1"/>
    <col min="3" max="3" width="50.7109375" style="304" bestFit="1" customWidth="1"/>
    <col min="4" max="4" width="8.85546875" style="305" bestFit="1" customWidth="1"/>
    <col min="5" max="16384" width="9.140625" style="304"/>
  </cols>
  <sheetData>
    <row r="1" spans="1:4" x14ac:dyDescent="0.25">
      <c r="A1" s="304" t="s">
        <v>3966</v>
      </c>
      <c r="B1" s="309" t="s">
        <v>3965</v>
      </c>
      <c r="C1" s="310" t="s">
        <v>581</v>
      </c>
      <c r="D1" s="309" t="s">
        <v>3964</v>
      </c>
    </row>
    <row r="2" spans="1:4" x14ac:dyDescent="0.25">
      <c r="A2" s="304">
        <v>27</v>
      </c>
      <c r="B2" s="308">
        <v>10326</v>
      </c>
      <c r="C2" s="307" t="s">
        <v>2889</v>
      </c>
      <c r="D2" s="308">
        <v>1</v>
      </c>
    </row>
    <row r="3" spans="1:4" x14ac:dyDescent="0.25">
      <c r="A3" s="304">
        <v>29</v>
      </c>
      <c r="B3" s="308">
        <v>10328</v>
      </c>
      <c r="C3" s="307" t="s">
        <v>2888</v>
      </c>
      <c r="D3" s="308">
        <v>1</v>
      </c>
    </row>
    <row r="4" spans="1:4" x14ac:dyDescent="0.25">
      <c r="A4" s="304">
        <v>41</v>
      </c>
      <c r="B4" s="308">
        <v>10358</v>
      </c>
      <c r="C4" s="307" t="s">
        <v>2887</v>
      </c>
      <c r="D4" s="308">
        <v>1</v>
      </c>
    </row>
    <row r="5" spans="1:4" x14ac:dyDescent="0.25">
      <c r="A5" s="304">
        <v>56</v>
      </c>
      <c r="B5" s="308">
        <v>10390</v>
      </c>
      <c r="C5" s="307" t="s">
        <v>2886</v>
      </c>
      <c r="D5" s="308">
        <v>1</v>
      </c>
    </row>
    <row r="6" spans="1:4" x14ac:dyDescent="0.25">
      <c r="A6" s="304">
        <v>63</v>
      </c>
      <c r="B6" s="308">
        <v>10400</v>
      </c>
      <c r="C6" s="307" t="s">
        <v>2885</v>
      </c>
      <c r="D6" s="308">
        <v>1</v>
      </c>
    </row>
    <row r="7" spans="1:4" x14ac:dyDescent="0.25">
      <c r="A7" s="304">
        <v>93</v>
      </c>
      <c r="B7" s="308">
        <v>10600</v>
      </c>
      <c r="C7" s="307" t="s">
        <v>2884</v>
      </c>
      <c r="D7" s="308">
        <v>1</v>
      </c>
    </row>
    <row r="8" spans="1:4" x14ac:dyDescent="0.25">
      <c r="A8" s="304">
        <v>109</v>
      </c>
      <c r="B8" s="308">
        <v>10644</v>
      </c>
      <c r="C8" s="307" t="s">
        <v>2883</v>
      </c>
      <c r="D8" s="308">
        <v>1</v>
      </c>
    </row>
    <row r="9" spans="1:4" x14ac:dyDescent="0.25">
      <c r="A9" s="304">
        <v>112</v>
      </c>
      <c r="B9" s="308">
        <v>10662</v>
      </c>
      <c r="C9" s="307" t="s">
        <v>2882</v>
      </c>
      <c r="D9" s="308">
        <v>1</v>
      </c>
    </row>
    <row r="10" spans="1:4" x14ac:dyDescent="0.25">
      <c r="A10" s="304">
        <v>113</v>
      </c>
      <c r="B10" s="308">
        <v>10664</v>
      </c>
      <c r="C10" s="307" t="s">
        <v>2881</v>
      </c>
      <c r="D10" s="308">
        <v>1</v>
      </c>
    </row>
    <row r="11" spans="1:4" x14ac:dyDescent="0.25">
      <c r="A11" s="304">
        <v>114</v>
      </c>
      <c r="B11" s="308">
        <v>10681</v>
      </c>
      <c r="C11" s="307" t="s">
        <v>2880</v>
      </c>
      <c r="D11" s="308">
        <v>1</v>
      </c>
    </row>
    <row r="12" spans="1:4" x14ac:dyDescent="0.25">
      <c r="A12" s="304">
        <v>124</v>
      </c>
      <c r="B12" s="308">
        <v>10707</v>
      </c>
      <c r="C12" s="307" t="s">
        <v>2879</v>
      </c>
      <c r="D12" s="308">
        <v>1</v>
      </c>
    </row>
    <row r="13" spans="1:4" x14ac:dyDescent="0.25">
      <c r="A13" s="304">
        <v>127</v>
      </c>
      <c r="B13" s="308">
        <v>10717</v>
      </c>
      <c r="C13" s="307" t="s">
        <v>2878</v>
      </c>
      <c r="D13" s="308">
        <v>1</v>
      </c>
    </row>
    <row r="14" spans="1:4" x14ac:dyDescent="0.25">
      <c r="A14" s="304">
        <v>133</v>
      </c>
      <c r="B14" s="308">
        <v>10738</v>
      </c>
      <c r="C14" s="307" t="s">
        <v>2877</v>
      </c>
      <c r="D14" s="308">
        <v>1</v>
      </c>
    </row>
    <row r="15" spans="1:4" x14ac:dyDescent="0.25">
      <c r="A15" s="304">
        <v>141</v>
      </c>
      <c r="B15" s="308">
        <v>10908</v>
      </c>
      <c r="C15" s="307" t="s">
        <v>2876</v>
      </c>
      <c r="D15" s="308">
        <v>1</v>
      </c>
    </row>
    <row r="16" spans="1:4" x14ac:dyDescent="0.25">
      <c r="A16" s="304">
        <v>146</v>
      </c>
      <c r="B16" s="308">
        <v>10916</v>
      </c>
      <c r="C16" s="307" t="s">
        <v>2875</v>
      </c>
      <c r="D16" s="308">
        <v>1</v>
      </c>
    </row>
    <row r="17" spans="1:4" x14ac:dyDescent="0.25">
      <c r="A17" s="304">
        <v>156</v>
      </c>
      <c r="B17" s="308">
        <v>10934</v>
      </c>
      <c r="C17" s="307" t="s">
        <v>2874</v>
      </c>
      <c r="D17" s="308">
        <v>1</v>
      </c>
    </row>
    <row r="18" spans="1:4" x14ac:dyDescent="0.25">
      <c r="A18" s="304">
        <v>158</v>
      </c>
      <c r="B18" s="308">
        <v>10939</v>
      </c>
      <c r="C18" s="307" t="s">
        <v>2873</v>
      </c>
      <c r="D18" s="308">
        <v>1</v>
      </c>
    </row>
    <row r="19" spans="1:4" x14ac:dyDescent="0.25">
      <c r="A19" s="304">
        <v>161</v>
      </c>
      <c r="B19" s="308">
        <v>10944</v>
      </c>
      <c r="C19" s="307" t="s">
        <v>2872</v>
      </c>
      <c r="D19" s="308">
        <v>1</v>
      </c>
    </row>
    <row r="20" spans="1:4" x14ac:dyDescent="0.25">
      <c r="A20" s="304">
        <v>165</v>
      </c>
      <c r="B20" s="308">
        <v>1107</v>
      </c>
      <c r="C20" s="307" t="s">
        <v>2871</v>
      </c>
      <c r="D20" s="308">
        <v>1</v>
      </c>
    </row>
    <row r="21" spans="1:4" x14ac:dyDescent="0.25">
      <c r="A21" s="304">
        <v>202</v>
      </c>
      <c r="B21" s="308">
        <v>122</v>
      </c>
      <c r="C21" s="307" t="s">
        <v>2870</v>
      </c>
      <c r="D21" s="308">
        <v>1</v>
      </c>
    </row>
    <row r="22" spans="1:4" x14ac:dyDescent="0.25">
      <c r="A22" s="304">
        <v>205</v>
      </c>
      <c r="B22" s="308">
        <v>123</v>
      </c>
      <c r="C22" s="307" t="s">
        <v>2870</v>
      </c>
      <c r="D22" s="308">
        <v>1</v>
      </c>
    </row>
    <row r="23" spans="1:4" x14ac:dyDescent="0.25">
      <c r="A23" s="304">
        <v>310</v>
      </c>
      <c r="B23" s="308">
        <v>16058</v>
      </c>
      <c r="C23" s="307" t="s">
        <v>2869</v>
      </c>
      <c r="D23" s="308">
        <v>1</v>
      </c>
    </row>
    <row r="24" spans="1:4" x14ac:dyDescent="0.25">
      <c r="A24" s="304">
        <v>408</v>
      </c>
      <c r="B24" s="308">
        <v>16606</v>
      </c>
      <c r="C24" s="307" t="s">
        <v>2868</v>
      </c>
      <c r="D24" s="308">
        <v>1</v>
      </c>
    </row>
    <row r="25" spans="1:4" x14ac:dyDescent="0.25">
      <c r="A25" s="304">
        <v>410</v>
      </c>
      <c r="B25" s="308">
        <v>16608</v>
      </c>
      <c r="C25" s="307" t="s">
        <v>2867</v>
      </c>
      <c r="D25" s="308">
        <v>1</v>
      </c>
    </row>
    <row r="26" spans="1:4" x14ac:dyDescent="0.25">
      <c r="A26" s="304">
        <v>413</v>
      </c>
      <c r="B26" s="308">
        <v>16611</v>
      </c>
      <c r="C26" s="307" t="s">
        <v>2866</v>
      </c>
      <c r="D26" s="308">
        <v>1</v>
      </c>
    </row>
    <row r="27" spans="1:4" x14ac:dyDescent="0.25">
      <c r="A27" s="304">
        <v>639</v>
      </c>
      <c r="B27" s="308">
        <v>415</v>
      </c>
      <c r="C27" s="307" t="s">
        <v>2865</v>
      </c>
      <c r="D27" s="308">
        <v>1</v>
      </c>
    </row>
    <row r="28" spans="1:4" x14ac:dyDescent="0.25">
      <c r="A28" s="304">
        <v>653</v>
      </c>
      <c r="B28" s="308">
        <v>434</v>
      </c>
      <c r="C28" s="307" t="s">
        <v>2864</v>
      </c>
      <c r="D28" s="308">
        <v>1</v>
      </c>
    </row>
    <row r="29" spans="1:4" x14ac:dyDescent="0.25">
      <c r="A29" s="304">
        <v>725</v>
      </c>
      <c r="B29" s="308">
        <v>63</v>
      </c>
      <c r="C29" s="307" t="s">
        <v>2863</v>
      </c>
      <c r="D29" s="308">
        <v>1</v>
      </c>
    </row>
    <row r="30" spans="1:4" x14ac:dyDescent="0.25">
      <c r="A30" s="304">
        <v>754</v>
      </c>
      <c r="B30" s="308">
        <v>781</v>
      </c>
      <c r="C30" s="307" t="s">
        <v>2862</v>
      </c>
      <c r="D30" s="308">
        <v>1</v>
      </c>
    </row>
    <row r="31" spans="1:4" x14ac:dyDescent="0.25">
      <c r="A31" s="304">
        <v>929</v>
      </c>
      <c r="B31" s="308" t="s">
        <v>2861</v>
      </c>
      <c r="C31" s="307" t="s">
        <v>2860</v>
      </c>
      <c r="D31" s="308">
        <v>1</v>
      </c>
    </row>
    <row r="32" spans="1:4" x14ac:dyDescent="0.25">
      <c r="A32" s="304">
        <v>1009</v>
      </c>
      <c r="B32" s="308" t="s">
        <v>383</v>
      </c>
      <c r="C32" s="307" t="s">
        <v>103</v>
      </c>
      <c r="D32" s="308">
        <v>1</v>
      </c>
    </row>
    <row r="33" spans="1:4" x14ac:dyDescent="0.25">
      <c r="A33" s="304">
        <v>1024</v>
      </c>
      <c r="B33" s="308" t="s">
        <v>1709</v>
      </c>
      <c r="C33" s="307" t="s">
        <v>2859</v>
      </c>
      <c r="D33" s="308">
        <v>1</v>
      </c>
    </row>
    <row r="34" spans="1:4" x14ac:dyDescent="0.25">
      <c r="A34" s="304">
        <v>1166</v>
      </c>
      <c r="B34" s="308" t="s">
        <v>736</v>
      </c>
      <c r="C34" s="307" t="s">
        <v>2858</v>
      </c>
      <c r="D34" s="308">
        <v>1</v>
      </c>
    </row>
    <row r="35" spans="1:4" x14ac:dyDescent="0.25">
      <c r="A35" s="304">
        <v>1224</v>
      </c>
      <c r="B35" s="308" t="s">
        <v>445</v>
      </c>
      <c r="C35" s="307" t="s">
        <v>2857</v>
      </c>
      <c r="D35" s="308">
        <v>1</v>
      </c>
    </row>
    <row r="36" spans="1:4" x14ac:dyDescent="0.25">
      <c r="A36" s="304">
        <v>1225</v>
      </c>
      <c r="B36" s="308" t="s">
        <v>568</v>
      </c>
      <c r="C36" s="307" t="s">
        <v>2856</v>
      </c>
      <c r="D36" s="308">
        <v>1</v>
      </c>
    </row>
    <row r="37" spans="1:4" x14ac:dyDescent="0.25">
      <c r="A37" s="304">
        <v>25</v>
      </c>
      <c r="B37" s="308">
        <v>10323</v>
      </c>
      <c r="C37" s="307" t="s">
        <v>2855</v>
      </c>
      <c r="D37" s="308">
        <v>2</v>
      </c>
    </row>
    <row r="38" spans="1:4" x14ac:dyDescent="0.25">
      <c r="A38" s="304">
        <v>57</v>
      </c>
      <c r="B38" s="308">
        <v>10391</v>
      </c>
      <c r="C38" s="307" t="s">
        <v>2854</v>
      </c>
      <c r="D38" s="308">
        <v>2</v>
      </c>
    </row>
    <row r="39" spans="1:4" x14ac:dyDescent="0.25">
      <c r="A39" s="304">
        <v>80</v>
      </c>
      <c r="B39" s="308">
        <v>10428</v>
      </c>
      <c r="C39" s="307" t="s">
        <v>2853</v>
      </c>
      <c r="D39" s="308">
        <v>2</v>
      </c>
    </row>
    <row r="40" spans="1:4" x14ac:dyDescent="0.25">
      <c r="A40" s="304">
        <v>90</v>
      </c>
      <c r="B40" s="308">
        <v>10439</v>
      </c>
      <c r="C40" s="307" t="s">
        <v>2852</v>
      </c>
      <c r="D40" s="308">
        <v>2</v>
      </c>
    </row>
    <row r="41" spans="1:4" x14ac:dyDescent="0.25">
      <c r="A41" s="304">
        <v>101</v>
      </c>
      <c r="B41" s="308">
        <v>10629</v>
      </c>
      <c r="C41" s="307" t="s">
        <v>2851</v>
      </c>
      <c r="D41" s="308">
        <v>2</v>
      </c>
    </row>
    <row r="42" spans="1:4" x14ac:dyDescent="0.25">
      <c r="A42" s="304">
        <v>106</v>
      </c>
      <c r="B42" s="308">
        <v>10638</v>
      </c>
      <c r="C42" s="307" t="s">
        <v>2850</v>
      </c>
      <c r="D42" s="308">
        <v>2</v>
      </c>
    </row>
    <row r="43" spans="1:4" x14ac:dyDescent="0.25">
      <c r="A43" s="304">
        <v>126</v>
      </c>
      <c r="B43" s="308">
        <v>10711</v>
      </c>
      <c r="C43" s="307" t="s">
        <v>2849</v>
      </c>
      <c r="D43" s="308">
        <v>2</v>
      </c>
    </row>
    <row r="44" spans="1:4" x14ac:dyDescent="0.25">
      <c r="A44" s="304">
        <v>140</v>
      </c>
      <c r="B44" s="308">
        <v>10907</v>
      </c>
      <c r="C44" s="307" t="s">
        <v>2848</v>
      </c>
      <c r="D44" s="308">
        <v>2</v>
      </c>
    </row>
    <row r="45" spans="1:4" x14ac:dyDescent="0.25">
      <c r="A45" s="304">
        <v>149</v>
      </c>
      <c r="B45" s="308">
        <v>10919</v>
      </c>
      <c r="C45" s="307" t="s">
        <v>2847</v>
      </c>
      <c r="D45" s="308">
        <v>2</v>
      </c>
    </row>
    <row r="46" spans="1:4" x14ac:dyDescent="0.25">
      <c r="A46" s="304">
        <v>168</v>
      </c>
      <c r="B46" s="308">
        <v>11108</v>
      </c>
      <c r="C46" s="307" t="s">
        <v>2846</v>
      </c>
      <c r="D46" s="308">
        <v>2</v>
      </c>
    </row>
    <row r="47" spans="1:4" x14ac:dyDescent="0.25">
      <c r="A47" s="304">
        <v>169</v>
      </c>
      <c r="B47" s="308">
        <v>11111</v>
      </c>
      <c r="C47" s="307" t="s">
        <v>2845</v>
      </c>
      <c r="D47" s="308">
        <v>2</v>
      </c>
    </row>
    <row r="48" spans="1:4" x14ac:dyDescent="0.25">
      <c r="A48" s="304">
        <v>170</v>
      </c>
      <c r="B48" s="308">
        <v>11114</v>
      </c>
      <c r="C48" s="307" t="s">
        <v>2844</v>
      </c>
      <c r="D48" s="308">
        <v>2</v>
      </c>
    </row>
    <row r="49" spans="1:4" x14ac:dyDescent="0.25">
      <c r="A49" s="304">
        <v>172</v>
      </c>
      <c r="B49" s="308">
        <v>11118</v>
      </c>
      <c r="C49" s="307" t="s">
        <v>2843</v>
      </c>
      <c r="D49" s="308">
        <v>2</v>
      </c>
    </row>
    <row r="50" spans="1:4" x14ac:dyDescent="0.25">
      <c r="A50" s="304">
        <v>174</v>
      </c>
      <c r="B50" s="308">
        <v>11130</v>
      </c>
      <c r="C50" s="307" t="s">
        <v>2842</v>
      </c>
      <c r="D50" s="308">
        <v>2</v>
      </c>
    </row>
    <row r="51" spans="1:4" x14ac:dyDescent="0.25">
      <c r="A51" s="304">
        <v>175</v>
      </c>
      <c r="B51" s="308">
        <v>11139</v>
      </c>
      <c r="C51" s="307" t="s">
        <v>2841</v>
      </c>
      <c r="D51" s="308">
        <v>2</v>
      </c>
    </row>
    <row r="52" spans="1:4" x14ac:dyDescent="0.25">
      <c r="A52" s="304">
        <v>290</v>
      </c>
      <c r="B52" s="308">
        <v>16036</v>
      </c>
      <c r="C52" s="307" t="s">
        <v>2840</v>
      </c>
      <c r="D52" s="308">
        <v>2</v>
      </c>
    </row>
    <row r="53" spans="1:4" x14ac:dyDescent="0.25">
      <c r="A53" s="304">
        <v>444</v>
      </c>
      <c r="B53" s="308">
        <v>16924</v>
      </c>
      <c r="C53" s="307" t="s">
        <v>2839</v>
      </c>
      <c r="D53" s="308">
        <v>2</v>
      </c>
    </row>
    <row r="54" spans="1:4" x14ac:dyDescent="0.25">
      <c r="A54" s="304">
        <v>484</v>
      </c>
      <c r="B54" s="308">
        <v>1970</v>
      </c>
      <c r="C54" s="307" t="s">
        <v>2838</v>
      </c>
      <c r="D54" s="308">
        <v>2</v>
      </c>
    </row>
    <row r="55" spans="1:4" x14ac:dyDescent="0.25">
      <c r="A55" s="304">
        <v>543</v>
      </c>
      <c r="B55" s="308">
        <v>367</v>
      </c>
      <c r="C55" s="307" t="s">
        <v>2837</v>
      </c>
      <c r="D55" s="308">
        <v>2</v>
      </c>
    </row>
    <row r="56" spans="1:4" x14ac:dyDescent="0.25">
      <c r="A56" s="304">
        <v>749</v>
      </c>
      <c r="B56" s="308">
        <v>757</v>
      </c>
      <c r="C56" s="307" t="s">
        <v>2836</v>
      </c>
      <c r="D56" s="308">
        <v>2</v>
      </c>
    </row>
    <row r="57" spans="1:4" x14ac:dyDescent="0.25">
      <c r="A57" s="304">
        <v>758</v>
      </c>
      <c r="B57" s="308">
        <v>812</v>
      </c>
      <c r="C57" s="307" t="s">
        <v>2835</v>
      </c>
      <c r="D57" s="308">
        <v>2</v>
      </c>
    </row>
    <row r="58" spans="1:4" x14ac:dyDescent="0.25">
      <c r="A58" s="304">
        <v>778</v>
      </c>
      <c r="B58" s="308">
        <v>90</v>
      </c>
      <c r="C58" s="307" t="s">
        <v>2834</v>
      </c>
      <c r="D58" s="308">
        <v>2</v>
      </c>
    </row>
    <row r="59" spans="1:4" x14ac:dyDescent="0.25">
      <c r="A59" s="304">
        <v>795</v>
      </c>
      <c r="B59" s="308" t="s">
        <v>2833</v>
      </c>
      <c r="C59" s="307" t="s">
        <v>2832</v>
      </c>
      <c r="D59" s="308">
        <v>2</v>
      </c>
    </row>
    <row r="60" spans="1:4" x14ac:dyDescent="0.25">
      <c r="A60" s="304">
        <v>1011</v>
      </c>
      <c r="B60" s="308" t="s">
        <v>381</v>
      </c>
      <c r="C60" s="307" t="s">
        <v>99</v>
      </c>
      <c r="D60" s="308">
        <v>2</v>
      </c>
    </row>
    <row r="61" spans="1:4" x14ac:dyDescent="0.25">
      <c r="A61" s="304">
        <v>1023</v>
      </c>
      <c r="B61" s="308" t="s">
        <v>1707</v>
      </c>
      <c r="C61" s="307" t="s">
        <v>2831</v>
      </c>
      <c r="D61" s="308">
        <v>2</v>
      </c>
    </row>
    <row r="62" spans="1:4" x14ac:dyDescent="0.25">
      <c r="A62" s="304">
        <v>1035</v>
      </c>
      <c r="B62" s="308" t="s">
        <v>246</v>
      </c>
      <c r="C62" s="307" t="s">
        <v>2830</v>
      </c>
      <c r="D62" s="308">
        <v>2</v>
      </c>
    </row>
    <row r="63" spans="1:4" x14ac:dyDescent="0.25">
      <c r="A63" s="304">
        <v>1038</v>
      </c>
      <c r="B63" s="308" t="s">
        <v>251</v>
      </c>
      <c r="C63" s="307" t="s">
        <v>2829</v>
      </c>
      <c r="D63" s="308">
        <v>2</v>
      </c>
    </row>
    <row r="64" spans="1:4" x14ac:dyDescent="0.25">
      <c r="A64" s="304">
        <v>1139</v>
      </c>
      <c r="B64" s="308" t="s">
        <v>346</v>
      </c>
      <c r="C64" s="307" t="s">
        <v>2828</v>
      </c>
      <c r="D64" s="308">
        <v>2</v>
      </c>
    </row>
    <row r="65" spans="1:4" x14ac:dyDescent="0.25">
      <c r="A65" s="304">
        <v>1145</v>
      </c>
      <c r="B65" s="308" t="s">
        <v>354</v>
      </c>
      <c r="C65" s="307" t="s">
        <v>2827</v>
      </c>
      <c r="D65" s="308">
        <v>2</v>
      </c>
    </row>
    <row r="66" spans="1:4" x14ac:dyDescent="0.25">
      <c r="A66" s="304">
        <v>1186</v>
      </c>
      <c r="B66" s="308" t="s">
        <v>387</v>
      </c>
      <c r="C66" s="307" t="s">
        <v>2826</v>
      </c>
      <c r="D66" s="308">
        <v>2</v>
      </c>
    </row>
    <row r="67" spans="1:4" x14ac:dyDescent="0.25">
      <c r="A67" s="304">
        <v>1193</v>
      </c>
      <c r="B67" s="308" t="s">
        <v>388</v>
      </c>
      <c r="C67" s="307" t="s">
        <v>2825</v>
      </c>
      <c r="D67" s="308">
        <v>2</v>
      </c>
    </row>
    <row r="68" spans="1:4" x14ac:dyDescent="0.25">
      <c r="A68" s="304">
        <v>1214</v>
      </c>
      <c r="B68" s="308" t="s">
        <v>459</v>
      </c>
      <c r="C68" s="307" t="s">
        <v>2824</v>
      </c>
      <c r="D68" s="308">
        <v>2</v>
      </c>
    </row>
    <row r="69" spans="1:4" x14ac:dyDescent="0.25">
      <c r="A69" s="304">
        <v>39</v>
      </c>
      <c r="B69" s="308">
        <v>10350</v>
      </c>
      <c r="C69" s="307" t="s">
        <v>2823</v>
      </c>
      <c r="D69" s="308">
        <v>3</v>
      </c>
    </row>
    <row r="70" spans="1:4" x14ac:dyDescent="0.25">
      <c r="A70" s="304">
        <v>77</v>
      </c>
      <c r="B70" s="308">
        <v>10418</v>
      </c>
      <c r="C70" s="307" t="s">
        <v>2822</v>
      </c>
      <c r="D70" s="308">
        <v>3</v>
      </c>
    </row>
    <row r="71" spans="1:4" x14ac:dyDescent="0.25">
      <c r="A71" s="304">
        <v>123</v>
      </c>
      <c r="B71" s="308">
        <v>107</v>
      </c>
      <c r="C71" s="307" t="s">
        <v>2821</v>
      </c>
      <c r="D71" s="308">
        <v>3</v>
      </c>
    </row>
    <row r="72" spans="1:4" x14ac:dyDescent="0.25">
      <c r="A72" s="304">
        <v>129</v>
      </c>
      <c r="B72" s="308">
        <v>10719</v>
      </c>
      <c r="C72" s="307" t="s">
        <v>2820</v>
      </c>
      <c r="D72" s="308">
        <v>3</v>
      </c>
    </row>
    <row r="73" spans="1:4" x14ac:dyDescent="0.25">
      <c r="A73" s="304">
        <v>139</v>
      </c>
      <c r="B73" s="308">
        <v>10903</v>
      </c>
      <c r="C73" s="307" t="s">
        <v>2819</v>
      </c>
      <c r="D73" s="308">
        <v>3</v>
      </c>
    </row>
    <row r="74" spans="1:4" x14ac:dyDescent="0.25">
      <c r="A74" s="304">
        <v>142</v>
      </c>
      <c r="B74" s="308">
        <v>10909</v>
      </c>
      <c r="C74" s="307" t="s">
        <v>2818</v>
      </c>
      <c r="D74" s="308">
        <v>3</v>
      </c>
    </row>
    <row r="75" spans="1:4" x14ac:dyDescent="0.25">
      <c r="A75" s="304">
        <v>153</v>
      </c>
      <c r="B75" s="308">
        <v>10930</v>
      </c>
      <c r="C75" s="307" t="s">
        <v>2817</v>
      </c>
      <c r="D75" s="308">
        <v>3</v>
      </c>
    </row>
    <row r="76" spans="1:4" x14ac:dyDescent="0.25">
      <c r="A76" s="304">
        <v>250</v>
      </c>
      <c r="B76" s="308">
        <v>142</v>
      </c>
      <c r="C76" s="307" t="s">
        <v>2816</v>
      </c>
      <c r="D76" s="308">
        <v>3</v>
      </c>
    </row>
    <row r="77" spans="1:4" x14ac:dyDescent="0.25">
      <c r="A77" s="304">
        <v>291</v>
      </c>
      <c r="B77" s="308">
        <v>16037</v>
      </c>
      <c r="C77" s="307" t="s">
        <v>2815</v>
      </c>
      <c r="D77" s="308">
        <v>3</v>
      </c>
    </row>
    <row r="78" spans="1:4" x14ac:dyDescent="0.25">
      <c r="A78" s="304">
        <v>295</v>
      </c>
      <c r="B78" s="308">
        <v>16045</v>
      </c>
      <c r="C78" s="307" t="s">
        <v>2814</v>
      </c>
      <c r="D78" s="308">
        <v>3</v>
      </c>
    </row>
    <row r="79" spans="1:4" x14ac:dyDescent="0.25">
      <c r="A79" s="304">
        <v>385</v>
      </c>
      <c r="B79" s="308">
        <v>16406</v>
      </c>
      <c r="C79" s="307" t="s">
        <v>2813</v>
      </c>
      <c r="D79" s="308">
        <v>3</v>
      </c>
    </row>
    <row r="80" spans="1:4" x14ac:dyDescent="0.25">
      <c r="A80" s="304">
        <v>544</v>
      </c>
      <c r="B80" s="308">
        <v>369</v>
      </c>
      <c r="C80" s="307" t="s">
        <v>2812</v>
      </c>
      <c r="D80" s="308">
        <v>3</v>
      </c>
    </row>
    <row r="81" spans="1:4" x14ac:dyDescent="0.25">
      <c r="A81" s="304">
        <v>747</v>
      </c>
      <c r="B81" s="308">
        <v>736</v>
      </c>
      <c r="C81" s="307" t="s">
        <v>2811</v>
      </c>
      <c r="D81" s="308">
        <v>3</v>
      </c>
    </row>
    <row r="82" spans="1:4" x14ac:dyDescent="0.25">
      <c r="A82" s="304">
        <v>1019</v>
      </c>
      <c r="B82" s="308" t="s">
        <v>1785</v>
      </c>
      <c r="C82" s="307" t="s">
        <v>2810</v>
      </c>
      <c r="D82" s="308">
        <v>3</v>
      </c>
    </row>
    <row r="83" spans="1:4" x14ac:dyDescent="0.25">
      <c r="A83" s="304">
        <v>1046</v>
      </c>
      <c r="B83" s="308" t="s">
        <v>2809</v>
      </c>
      <c r="C83" s="307" t="s">
        <v>2808</v>
      </c>
      <c r="D83" s="308">
        <v>3</v>
      </c>
    </row>
    <row r="84" spans="1:4" x14ac:dyDescent="0.25">
      <c r="A84" s="304">
        <v>1071</v>
      </c>
      <c r="B84" s="308" t="s">
        <v>274</v>
      </c>
      <c r="C84" s="307" t="s">
        <v>2807</v>
      </c>
      <c r="D84" s="308">
        <v>3</v>
      </c>
    </row>
    <row r="85" spans="1:4" x14ac:dyDescent="0.25">
      <c r="A85" s="304">
        <v>1090</v>
      </c>
      <c r="B85" s="308" t="s">
        <v>321</v>
      </c>
      <c r="C85" s="307" t="s">
        <v>2806</v>
      </c>
      <c r="D85" s="308">
        <v>3</v>
      </c>
    </row>
    <row r="86" spans="1:4" x14ac:dyDescent="0.25">
      <c r="A86" s="304">
        <v>1098</v>
      </c>
      <c r="B86" s="308" t="s">
        <v>318</v>
      </c>
      <c r="C86" s="307" t="s">
        <v>2615</v>
      </c>
      <c r="D86" s="308">
        <v>3</v>
      </c>
    </row>
    <row r="87" spans="1:4" x14ac:dyDescent="0.25">
      <c r="A87" s="304">
        <v>1106</v>
      </c>
      <c r="B87" s="308" t="s">
        <v>309</v>
      </c>
      <c r="C87" s="307" t="s">
        <v>2805</v>
      </c>
      <c r="D87" s="308">
        <v>3</v>
      </c>
    </row>
    <row r="88" spans="1:4" x14ac:dyDescent="0.25">
      <c r="A88" s="304">
        <v>1126</v>
      </c>
      <c r="B88" s="308" t="s">
        <v>335</v>
      </c>
      <c r="C88" s="307" t="s">
        <v>2804</v>
      </c>
      <c r="D88" s="308">
        <v>3</v>
      </c>
    </row>
    <row r="89" spans="1:4" x14ac:dyDescent="0.25">
      <c r="A89" s="304">
        <v>1140</v>
      </c>
      <c r="B89" s="308" t="s">
        <v>350</v>
      </c>
      <c r="C89" s="307" t="s">
        <v>2803</v>
      </c>
      <c r="D89" s="308">
        <v>3</v>
      </c>
    </row>
    <row r="90" spans="1:4" x14ac:dyDescent="0.25">
      <c r="A90" s="304">
        <v>1151</v>
      </c>
      <c r="B90" s="308" t="s">
        <v>364</v>
      </c>
      <c r="C90" s="307" t="s">
        <v>2802</v>
      </c>
      <c r="D90" s="308">
        <v>3</v>
      </c>
    </row>
    <row r="91" spans="1:4" x14ac:dyDescent="0.25">
      <c r="A91" s="304">
        <v>1162</v>
      </c>
      <c r="B91" s="308" t="s">
        <v>447</v>
      </c>
      <c r="C91" s="307" t="s">
        <v>2801</v>
      </c>
      <c r="D91" s="308">
        <v>3</v>
      </c>
    </row>
    <row r="92" spans="1:4" x14ac:dyDescent="0.25">
      <c r="A92" s="304">
        <v>1198</v>
      </c>
      <c r="B92" s="308" t="s">
        <v>398</v>
      </c>
      <c r="C92" s="307" t="s">
        <v>2800</v>
      </c>
      <c r="D92" s="308">
        <v>3</v>
      </c>
    </row>
    <row r="93" spans="1:4" x14ac:dyDescent="0.25">
      <c r="A93" s="304">
        <v>1209</v>
      </c>
      <c r="B93" s="308" t="s">
        <v>424</v>
      </c>
      <c r="C93" s="307" t="s">
        <v>2799</v>
      </c>
      <c r="D93" s="308">
        <v>3</v>
      </c>
    </row>
    <row r="94" spans="1:4" x14ac:dyDescent="0.25">
      <c r="A94" s="304">
        <v>1218</v>
      </c>
      <c r="B94" s="308" t="s">
        <v>433</v>
      </c>
      <c r="C94" s="307" t="s">
        <v>2798</v>
      </c>
      <c r="D94" s="308">
        <v>3</v>
      </c>
    </row>
    <row r="95" spans="1:4" x14ac:dyDescent="0.25">
      <c r="A95" s="304">
        <v>1223</v>
      </c>
      <c r="B95" s="308" t="s">
        <v>443</v>
      </c>
      <c r="C95" s="307" t="s">
        <v>2797</v>
      </c>
      <c r="D95" s="308">
        <v>3</v>
      </c>
    </row>
    <row r="96" spans="1:4" x14ac:dyDescent="0.25">
      <c r="A96" s="304">
        <v>1227</v>
      </c>
      <c r="B96" s="308" t="s">
        <v>2314</v>
      </c>
      <c r="C96" s="307" t="s">
        <v>2796</v>
      </c>
      <c r="D96" s="308">
        <v>3</v>
      </c>
    </row>
    <row r="97" spans="1:4" x14ac:dyDescent="0.25">
      <c r="A97" s="304">
        <v>26</v>
      </c>
      <c r="B97" s="308">
        <v>10324</v>
      </c>
      <c r="C97" s="307" t="s">
        <v>2795</v>
      </c>
      <c r="D97" s="308">
        <v>4</v>
      </c>
    </row>
    <row r="98" spans="1:4" x14ac:dyDescent="0.25">
      <c r="A98" s="304">
        <v>137</v>
      </c>
      <c r="B98" s="308">
        <v>109</v>
      </c>
      <c r="C98" s="307" t="s">
        <v>2794</v>
      </c>
      <c r="D98" s="308">
        <v>4</v>
      </c>
    </row>
    <row r="99" spans="1:4" x14ac:dyDescent="0.25">
      <c r="A99" s="304">
        <v>430</v>
      </c>
      <c r="B99" s="308">
        <v>16746</v>
      </c>
      <c r="C99" s="307" t="s">
        <v>2793</v>
      </c>
      <c r="D99" s="308">
        <v>4</v>
      </c>
    </row>
    <row r="100" spans="1:4" x14ac:dyDescent="0.25">
      <c r="A100" s="304">
        <v>773</v>
      </c>
      <c r="B100" s="308">
        <v>861</v>
      </c>
      <c r="C100" s="307" t="s">
        <v>2792</v>
      </c>
      <c r="D100" s="308">
        <v>4</v>
      </c>
    </row>
    <row r="101" spans="1:4" x14ac:dyDescent="0.25">
      <c r="A101" s="304">
        <v>1017</v>
      </c>
      <c r="B101" s="308" t="s">
        <v>1567</v>
      </c>
      <c r="C101" s="307" t="s">
        <v>2791</v>
      </c>
      <c r="D101" s="308">
        <v>4</v>
      </c>
    </row>
    <row r="102" spans="1:4" x14ac:dyDescent="0.25">
      <c r="A102" s="304">
        <v>1021</v>
      </c>
      <c r="B102" s="308" t="s">
        <v>1404</v>
      </c>
      <c r="C102" s="307" t="s">
        <v>2790</v>
      </c>
      <c r="D102" s="308">
        <v>4</v>
      </c>
    </row>
    <row r="103" spans="1:4" x14ac:dyDescent="0.25">
      <c r="A103" s="304">
        <v>1027</v>
      </c>
      <c r="B103" s="308" t="s">
        <v>1803</v>
      </c>
      <c r="C103" s="307" t="s">
        <v>2710</v>
      </c>
      <c r="D103" s="308">
        <v>4</v>
      </c>
    </row>
    <row r="104" spans="1:4" x14ac:dyDescent="0.25">
      <c r="A104" s="304">
        <v>1093</v>
      </c>
      <c r="B104" s="308" t="s">
        <v>487</v>
      </c>
      <c r="C104" s="307" t="s">
        <v>2789</v>
      </c>
      <c r="D104" s="308">
        <v>4</v>
      </c>
    </row>
    <row r="105" spans="1:4" x14ac:dyDescent="0.25">
      <c r="A105" s="304">
        <v>1109</v>
      </c>
      <c r="B105" s="308" t="s">
        <v>323</v>
      </c>
      <c r="C105" s="307" t="s">
        <v>2580</v>
      </c>
      <c r="D105" s="308">
        <v>4</v>
      </c>
    </row>
    <row r="106" spans="1:4" x14ac:dyDescent="0.25">
      <c r="A106" s="304">
        <v>1118</v>
      </c>
      <c r="B106" s="308" t="s">
        <v>303</v>
      </c>
      <c r="C106" s="307" t="s">
        <v>2788</v>
      </c>
      <c r="D106" s="308">
        <v>4</v>
      </c>
    </row>
    <row r="107" spans="1:4" x14ac:dyDescent="0.25">
      <c r="A107" s="304">
        <v>1130</v>
      </c>
      <c r="B107" s="308" t="s">
        <v>340</v>
      </c>
      <c r="C107" s="307" t="s">
        <v>2787</v>
      </c>
      <c r="D107" s="308">
        <v>4</v>
      </c>
    </row>
    <row r="108" spans="1:4" x14ac:dyDescent="0.25">
      <c r="A108" s="304">
        <v>1161</v>
      </c>
      <c r="B108" s="308" t="s">
        <v>446</v>
      </c>
      <c r="C108" s="307" t="s">
        <v>2786</v>
      </c>
      <c r="D108" s="308">
        <v>4</v>
      </c>
    </row>
    <row r="109" spans="1:4" x14ac:dyDescent="0.25">
      <c r="A109" s="304">
        <v>1163</v>
      </c>
      <c r="B109" s="308" t="s">
        <v>451</v>
      </c>
      <c r="C109" s="307" t="s">
        <v>2785</v>
      </c>
      <c r="D109" s="308">
        <v>4</v>
      </c>
    </row>
    <row r="110" spans="1:4" x14ac:dyDescent="0.25">
      <c r="A110" s="304">
        <v>1170</v>
      </c>
      <c r="B110" s="308" t="s">
        <v>528</v>
      </c>
      <c r="C110" s="307" t="s">
        <v>2784</v>
      </c>
      <c r="D110" s="308">
        <v>4</v>
      </c>
    </row>
    <row r="111" spans="1:4" x14ac:dyDescent="0.25">
      <c r="A111" s="304">
        <v>1175</v>
      </c>
      <c r="B111" s="308" t="s">
        <v>405</v>
      </c>
      <c r="C111" s="307" t="s">
        <v>2783</v>
      </c>
      <c r="D111" s="308">
        <v>4</v>
      </c>
    </row>
    <row r="112" spans="1:4" x14ac:dyDescent="0.25">
      <c r="A112" s="304">
        <v>23</v>
      </c>
      <c r="B112" s="308">
        <v>10309</v>
      </c>
      <c r="C112" s="307" t="s">
        <v>2782</v>
      </c>
      <c r="D112" s="308">
        <v>5</v>
      </c>
    </row>
    <row r="113" spans="1:4" x14ac:dyDescent="0.25">
      <c r="A113" s="304">
        <v>31</v>
      </c>
      <c r="B113" s="308">
        <v>10336</v>
      </c>
      <c r="C113" s="307" t="s">
        <v>2781</v>
      </c>
      <c r="D113" s="308">
        <v>5</v>
      </c>
    </row>
    <row r="114" spans="1:4" x14ac:dyDescent="0.25">
      <c r="A114" s="304">
        <v>40</v>
      </c>
      <c r="B114" s="308">
        <v>10353</v>
      </c>
      <c r="C114" s="307" t="s">
        <v>2780</v>
      </c>
      <c r="D114" s="308">
        <v>5</v>
      </c>
    </row>
    <row r="115" spans="1:4" x14ac:dyDescent="0.25">
      <c r="A115" s="304">
        <v>84</v>
      </c>
      <c r="B115" s="308">
        <v>10433</v>
      </c>
      <c r="C115" s="307" t="s">
        <v>2779</v>
      </c>
      <c r="D115" s="308">
        <v>5</v>
      </c>
    </row>
    <row r="116" spans="1:4" x14ac:dyDescent="0.25">
      <c r="A116" s="304">
        <v>539</v>
      </c>
      <c r="B116" s="308">
        <v>353</v>
      </c>
      <c r="C116" s="307" t="s">
        <v>2778</v>
      </c>
      <c r="D116" s="308">
        <v>5</v>
      </c>
    </row>
    <row r="117" spans="1:4" x14ac:dyDescent="0.25">
      <c r="A117" s="304">
        <v>1049</v>
      </c>
      <c r="B117" s="308" t="s">
        <v>261</v>
      </c>
      <c r="C117" s="307" t="s">
        <v>2777</v>
      </c>
      <c r="D117" s="308">
        <v>5</v>
      </c>
    </row>
    <row r="118" spans="1:4" x14ac:dyDescent="0.25">
      <c r="A118" s="304">
        <v>1069</v>
      </c>
      <c r="B118" s="308" t="s">
        <v>269</v>
      </c>
      <c r="C118" s="307" t="s">
        <v>2776</v>
      </c>
      <c r="D118" s="308">
        <v>5</v>
      </c>
    </row>
    <row r="119" spans="1:4" x14ac:dyDescent="0.25">
      <c r="A119" s="304">
        <v>1157</v>
      </c>
      <c r="B119" s="308" t="s">
        <v>367</v>
      </c>
      <c r="C119" s="307" t="s">
        <v>2775</v>
      </c>
      <c r="D119" s="308">
        <v>5</v>
      </c>
    </row>
    <row r="120" spans="1:4" x14ac:dyDescent="0.25">
      <c r="A120" s="304">
        <v>38</v>
      </c>
      <c r="B120" s="308">
        <v>10345</v>
      </c>
      <c r="C120" s="307" t="s">
        <v>2774</v>
      </c>
      <c r="D120" s="308">
        <v>6</v>
      </c>
    </row>
    <row r="121" spans="1:4" x14ac:dyDescent="0.25">
      <c r="A121" s="304">
        <v>82</v>
      </c>
      <c r="B121" s="308">
        <v>10430</v>
      </c>
      <c r="C121" s="307" t="s">
        <v>2773</v>
      </c>
      <c r="D121" s="308">
        <v>6</v>
      </c>
    </row>
    <row r="122" spans="1:4" x14ac:dyDescent="0.25">
      <c r="A122" s="304">
        <v>144</v>
      </c>
      <c r="B122" s="308">
        <v>10911</v>
      </c>
      <c r="C122" s="307" t="s">
        <v>2772</v>
      </c>
      <c r="D122" s="308">
        <v>6</v>
      </c>
    </row>
    <row r="123" spans="1:4" x14ac:dyDescent="0.25">
      <c r="A123" s="304">
        <v>345</v>
      </c>
      <c r="B123" s="308">
        <v>16119</v>
      </c>
      <c r="C123" s="307" t="s">
        <v>2771</v>
      </c>
      <c r="D123" s="308">
        <v>6</v>
      </c>
    </row>
    <row r="124" spans="1:4" x14ac:dyDescent="0.25">
      <c r="A124" s="304">
        <v>407</v>
      </c>
      <c r="B124" s="308">
        <v>16605</v>
      </c>
      <c r="C124" s="307" t="s">
        <v>2770</v>
      </c>
      <c r="D124" s="308">
        <v>6</v>
      </c>
    </row>
    <row r="125" spans="1:4" x14ac:dyDescent="0.25">
      <c r="A125" s="304">
        <v>414</v>
      </c>
      <c r="B125" s="308">
        <v>16612</v>
      </c>
      <c r="C125" s="307" t="s">
        <v>2769</v>
      </c>
      <c r="D125" s="308">
        <v>6</v>
      </c>
    </row>
    <row r="126" spans="1:4" x14ac:dyDescent="0.25">
      <c r="A126" s="304">
        <v>1008</v>
      </c>
      <c r="B126" s="308" t="s">
        <v>382</v>
      </c>
      <c r="C126" s="307" t="s">
        <v>2768</v>
      </c>
      <c r="D126" s="308">
        <v>6</v>
      </c>
    </row>
    <row r="127" spans="1:4" x14ac:dyDescent="0.25">
      <c r="A127" s="304">
        <v>1010</v>
      </c>
      <c r="B127" s="308" t="s">
        <v>380</v>
      </c>
      <c r="C127" s="307" t="s">
        <v>2767</v>
      </c>
      <c r="D127" s="308">
        <v>6</v>
      </c>
    </row>
    <row r="128" spans="1:4" x14ac:dyDescent="0.25">
      <c r="A128" s="304">
        <v>1016</v>
      </c>
      <c r="B128" s="308" t="s">
        <v>1565</v>
      </c>
      <c r="C128" s="307" t="s">
        <v>2766</v>
      </c>
      <c r="D128" s="308">
        <v>6</v>
      </c>
    </row>
    <row r="129" spans="1:4" x14ac:dyDescent="0.25">
      <c r="A129" s="304">
        <v>1066</v>
      </c>
      <c r="B129" s="308" t="s">
        <v>295</v>
      </c>
      <c r="C129" s="307" t="s">
        <v>2765</v>
      </c>
      <c r="D129" s="308">
        <v>6</v>
      </c>
    </row>
    <row r="130" spans="1:4" x14ac:dyDescent="0.25">
      <c r="A130" s="304">
        <v>1135</v>
      </c>
      <c r="B130" s="308" t="s">
        <v>521</v>
      </c>
      <c r="C130" s="307" t="s">
        <v>2764</v>
      </c>
      <c r="D130" s="308">
        <v>6</v>
      </c>
    </row>
    <row r="131" spans="1:4" x14ac:dyDescent="0.25">
      <c r="A131" s="304">
        <v>1152</v>
      </c>
      <c r="B131" s="308" t="s">
        <v>362</v>
      </c>
      <c r="C131" s="307" t="s">
        <v>2763</v>
      </c>
      <c r="D131" s="308">
        <v>6</v>
      </c>
    </row>
    <row r="132" spans="1:4" x14ac:dyDescent="0.25">
      <c r="A132" s="304">
        <v>1177</v>
      </c>
      <c r="B132" s="308" t="s">
        <v>1891</v>
      </c>
      <c r="C132" s="307" t="s">
        <v>2762</v>
      </c>
      <c r="D132" s="308">
        <v>6</v>
      </c>
    </row>
    <row r="133" spans="1:4" x14ac:dyDescent="0.25">
      <c r="A133" s="304">
        <v>1180</v>
      </c>
      <c r="B133" s="308" t="s">
        <v>2022</v>
      </c>
      <c r="C133" s="307" t="s">
        <v>2761</v>
      </c>
      <c r="D133" s="308">
        <v>6</v>
      </c>
    </row>
    <row r="134" spans="1:4" x14ac:dyDescent="0.25">
      <c r="A134" s="304">
        <v>1201</v>
      </c>
      <c r="B134" s="308" t="s">
        <v>408</v>
      </c>
      <c r="C134" s="307" t="s">
        <v>2760</v>
      </c>
      <c r="D134" s="308">
        <v>6</v>
      </c>
    </row>
    <row r="135" spans="1:4" x14ac:dyDescent="0.25">
      <c r="A135" s="304">
        <v>1205</v>
      </c>
      <c r="B135" s="308" t="s">
        <v>422</v>
      </c>
      <c r="C135" s="307" t="s">
        <v>2759</v>
      </c>
      <c r="D135" s="308">
        <v>6</v>
      </c>
    </row>
    <row r="136" spans="1:4" x14ac:dyDescent="0.25">
      <c r="A136" s="304">
        <v>1211</v>
      </c>
      <c r="B136" s="308" t="s">
        <v>538</v>
      </c>
      <c r="C136" s="307" t="s">
        <v>2758</v>
      </c>
      <c r="D136" s="308">
        <v>6</v>
      </c>
    </row>
    <row r="137" spans="1:4" x14ac:dyDescent="0.25">
      <c r="A137" s="304">
        <v>66</v>
      </c>
      <c r="B137" s="308">
        <v>10406</v>
      </c>
      <c r="C137" s="307" t="s">
        <v>2757</v>
      </c>
      <c r="D137" s="308">
        <v>7</v>
      </c>
    </row>
    <row r="138" spans="1:4" x14ac:dyDescent="0.25">
      <c r="A138" s="304">
        <v>405</v>
      </c>
      <c r="B138" s="308">
        <v>16603</v>
      </c>
      <c r="C138" s="307" t="s">
        <v>2756</v>
      </c>
      <c r="D138" s="308">
        <v>7</v>
      </c>
    </row>
    <row r="139" spans="1:4" x14ac:dyDescent="0.25">
      <c r="A139" s="304">
        <v>1216</v>
      </c>
      <c r="B139" s="308" t="s">
        <v>430</v>
      </c>
      <c r="C139" s="307" t="s">
        <v>2755</v>
      </c>
      <c r="D139" s="308">
        <v>7</v>
      </c>
    </row>
    <row r="140" spans="1:4" x14ac:dyDescent="0.25">
      <c r="A140" s="304">
        <v>30</v>
      </c>
      <c r="B140" s="308">
        <v>10329</v>
      </c>
      <c r="C140" s="307" t="s">
        <v>2754</v>
      </c>
      <c r="D140" s="308">
        <v>8</v>
      </c>
    </row>
    <row r="141" spans="1:4" x14ac:dyDescent="0.25">
      <c r="A141" s="304">
        <v>658</v>
      </c>
      <c r="B141" s="308">
        <v>442</v>
      </c>
      <c r="C141" s="307" t="s">
        <v>2753</v>
      </c>
      <c r="D141" s="308">
        <v>8</v>
      </c>
    </row>
    <row r="142" spans="1:4" x14ac:dyDescent="0.25">
      <c r="A142" s="304">
        <v>706</v>
      </c>
      <c r="B142" s="308">
        <v>599</v>
      </c>
      <c r="C142" s="307" t="s">
        <v>2752</v>
      </c>
      <c r="D142" s="308">
        <v>8</v>
      </c>
    </row>
    <row r="143" spans="1:4" x14ac:dyDescent="0.25">
      <c r="A143" s="304">
        <v>1063</v>
      </c>
      <c r="B143" s="308" t="s">
        <v>294</v>
      </c>
      <c r="C143" s="307" t="s">
        <v>2751</v>
      </c>
      <c r="D143" s="308">
        <v>8</v>
      </c>
    </row>
    <row r="144" spans="1:4" x14ac:dyDescent="0.25">
      <c r="A144" s="304">
        <v>1074</v>
      </c>
      <c r="B144" s="308" t="s">
        <v>2750</v>
      </c>
      <c r="C144" s="307" t="s">
        <v>2749</v>
      </c>
      <c r="D144" s="308">
        <v>8</v>
      </c>
    </row>
    <row r="145" spans="1:4" x14ac:dyDescent="0.25">
      <c r="A145" s="304">
        <v>1085</v>
      </c>
      <c r="B145" s="308" t="s">
        <v>286</v>
      </c>
      <c r="C145" s="307" t="s">
        <v>2748</v>
      </c>
      <c r="D145" s="308">
        <v>8</v>
      </c>
    </row>
    <row r="146" spans="1:4" x14ac:dyDescent="0.25">
      <c r="A146" s="304">
        <v>1107</v>
      </c>
      <c r="B146" s="308" t="s">
        <v>313</v>
      </c>
      <c r="C146" s="307" t="s">
        <v>2747</v>
      </c>
      <c r="D146" s="308">
        <v>8</v>
      </c>
    </row>
    <row r="147" spans="1:4" x14ac:dyDescent="0.25">
      <c r="A147" s="304">
        <v>98</v>
      </c>
      <c r="B147" s="308">
        <v>10606</v>
      </c>
      <c r="C147" s="307" t="s">
        <v>2746</v>
      </c>
      <c r="D147" s="308">
        <v>9</v>
      </c>
    </row>
    <row r="148" spans="1:4" x14ac:dyDescent="0.25">
      <c r="A148" s="304">
        <v>1028</v>
      </c>
      <c r="B148" s="308" t="s">
        <v>1290</v>
      </c>
      <c r="C148" s="307" t="s">
        <v>2745</v>
      </c>
      <c r="D148" s="308">
        <v>9</v>
      </c>
    </row>
    <row r="149" spans="1:4" x14ac:dyDescent="0.25">
      <c r="A149" s="304">
        <v>1062</v>
      </c>
      <c r="B149" s="308" t="s">
        <v>293</v>
      </c>
      <c r="C149" s="307" t="s">
        <v>2744</v>
      </c>
      <c r="D149" s="308">
        <v>9</v>
      </c>
    </row>
    <row r="150" spans="1:4" x14ac:dyDescent="0.25">
      <c r="A150" s="304">
        <v>1178</v>
      </c>
      <c r="B150" s="308" t="s">
        <v>1905</v>
      </c>
      <c r="C150" s="307" t="s">
        <v>2743</v>
      </c>
      <c r="D150" s="308">
        <v>9</v>
      </c>
    </row>
    <row r="151" spans="1:4" x14ac:dyDescent="0.25">
      <c r="A151" s="304">
        <v>1228</v>
      </c>
      <c r="B151" s="308" t="s">
        <v>417</v>
      </c>
      <c r="C151" s="307" t="s">
        <v>2742</v>
      </c>
      <c r="D151" s="308">
        <v>9</v>
      </c>
    </row>
    <row r="152" spans="1:4" x14ac:dyDescent="0.25">
      <c r="A152" s="304">
        <v>8</v>
      </c>
      <c r="B152" s="308">
        <v>1007871</v>
      </c>
      <c r="C152" s="307" t="s">
        <v>2741</v>
      </c>
      <c r="D152" s="308">
        <v>10</v>
      </c>
    </row>
    <row r="153" spans="1:4" x14ac:dyDescent="0.25">
      <c r="A153" s="304">
        <v>409</v>
      </c>
      <c r="B153" s="308">
        <v>16607</v>
      </c>
      <c r="C153" s="307" t="s">
        <v>2740</v>
      </c>
      <c r="D153" s="308">
        <v>10</v>
      </c>
    </row>
    <row r="154" spans="1:4" x14ac:dyDescent="0.25">
      <c r="A154" s="304">
        <v>514</v>
      </c>
      <c r="B154" s="308">
        <v>2945</v>
      </c>
      <c r="C154" s="307" t="s">
        <v>2739</v>
      </c>
      <c r="D154" s="308">
        <v>10</v>
      </c>
    </row>
    <row r="155" spans="1:4" x14ac:dyDescent="0.25">
      <c r="A155" s="304">
        <v>1022</v>
      </c>
      <c r="B155" s="308" t="s">
        <v>1406</v>
      </c>
      <c r="C155" s="307" t="s">
        <v>2738</v>
      </c>
      <c r="D155" s="308">
        <v>10</v>
      </c>
    </row>
    <row r="156" spans="1:4" x14ac:dyDescent="0.25">
      <c r="A156" s="304">
        <v>1065</v>
      </c>
      <c r="B156" s="308" t="s">
        <v>571</v>
      </c>
      <c r="C156" s="307" t="s">
        <v>2737</v>
      </c>
      <c r="D156" s="308">
        <v>10</v>
      </c>
    </row>
    <row r="157" spans="1:4" x14ac:dyDescent="0.25">
      <c r="A157" s="304">
        <v>1134</v>
      </c>
      <c r="B157" s="308" t="s">
        <v>522</v>
      </c>
      <c r="C157" s="307" t="s">
        <v>2736</v>
      </c>
      <c r="D157" s="308">
        <v>10</v>
      </c>
    </row>
    <row r="158" spans="1:4" x14ac:dyDescent="0.25">
      <c r="A158" s="304">
        <v>1185</v>
      </c>
      <c r="B158" s="308" t="s">
        <v>386</v>
      </c>
      <c r="C158" s="307" t="s">
        <v>2735</v>
      </c>
      <c r="D158" s="308">
        <v>10</v>
      </c>
    </row>
    <row r="159" spans="1:4" x14ac:dyDescent="0.25">
      <c r="A159" s="304">
        <v>1190</v>
      </c>
      <c r="B159" s="308" t="s">
        <v>393</v>
      </c>
      <c r="C159" s="307" t="s">
        <v>2734</v>
      </c>
      <c r="D159" s="308">
        <v>10</v>
      </c>
    </row>
    <row r="160" spans="1:4" x14ac:dyDescent="0.25">
      <c r="A160" s="304">
        <v>440</v>
      </c>
      <c r="B160" s="308">
        <v>16907</v>
      </c>
      <c r="C160" s="307" t="s">
        <v>2733</v>
      </c>
      <c r="D160" s="308">
        <v>11</v>
      </c>
    </row>
    <row r="161" spans="1:4" x14ac:dyDescent="0.25">
      <c r="A161" s="304">
        <v>632</v>
      </c>
      <c r="B161" s="308">
        <v>409</v>
      </c>
      <c r="C161" s="307" t="s">
        <v>2732</v>
      </c>
      <c r="D161" s="308">
        <v>11</v>
      </c>
    </row>
    <row r="162" spans="1:4" x14ac:dyDescent="0.25">
      <c r="A162" s="304">
        <v>1013</v>
      </c>
      <c r="B162" s="308" t="s">
        <v>1243</v>
      </c>
      <c r="C162" s="307" t="s">
        <v>2731</v>
      </c>
      <c r="D162" s="308">
        <v>11</v>
      </c>
    </row>
    <row r="163" spans="1:4" x14ac:dyDescent="0.25">
      <c r="A163" s="304">
        <v>1025</v>
      </c>
      <c r="B163" s="308" t="s">
        <v>1503</v>
      </c>
      <c r="C163" s="307" t="s">
        <v>2730</v>
      </c>
      <c r="D163" s="308">
        <v>11</v>
      </c>
    </row>
    <row r="164" spans="1:4" x14ac:dyDescent="0.25">
      <c r="A164" s="304">
        <v>1068</v>
      </c>
      <c r="B164" s="308" t="s">
        <v>267</v>
      </c>
      <c r="C164" s="307" t="s">
        <v>2729</v>
      </c>
      <c r="D164" s="308">
        <v>11</v>
      </c>
    </row>
    <row r="165" spans="1:4" x14ac:dyDescent="0.25">
      <c r="A165" s="304">
        <v>1141</v>
      </c>
      <c r="B165" s="308" t="s">
        <v>523</v>
      </c>
      <c r="C165" s="307" t="s">
        <v>2728</v>
      </c>
      <c r="D165" s="308">
        <v>11</v>
      </c>
    </row>
    <row r="166" spans="1:4" x14ac:dyDescent="0.25">
      <c r="A166" s="304">
        <v>7</v>
      </c>
      <c r="B166" s="308">
        <v>1007870</v>
      </c>
      <c r="C166" s="307" t="s">
        <v>2727</v>
      </c>
      <c r="D166" s="308">
        <v>12</v>
      </c>
    </row>
    <row r="167" spans="1:4" x14ac:dyDescent="0.25">
      <c r="A167" s="304">
        <v>465</v>
      </c>
      <c r="B167" s="308">
        <v>16945</v>
      </c>
      <c r="C167" s="307" t="s">
        <v>2726</v>
      </c>
      <c r="D167" s="308">
        <v>12</v>
      </c>
    </row>
    <row r="168" spans="1:4" x14ac:dyDescent="0.25">
      <c r="A168" s="304">
        <v>546</v>
      </c>
      <c r="B168" s="308">
        <v>371</v>
      </c>
      <c r="C168" s="307" t="s">
        <v>2725</v>
      </c>
      <c r="D168" s="308">
        <v>12</v>
      </c>
    </row>
    <row r="169" spans="1:4" x14ac:dyDescent="0.25">
      <c r="A169" s="304">
        <v>1040</v>
      </c>
      <c r="B169" s="308" t="s">
        <v>255</v>
      </c>
      <c r="C169" s="307" t="s">
        <v>2724</v>
      </c>
      <c r="D169" s="308">
        <v>12</v>
      </c>
    </row>
    <row r="170" spans="1:4" x14ac:dyDescent="0.25">
      <c r="A170" s="304">
        <v>1179</v>
      </c>
      <c r="B170" s="308" t="s">
        <v>1954</v>
      </c>
      <c r="C170" s="307" t="s">
        <v>2723</v>
      </c>
      <c r="D170" s="308">
        <v>12</v>
      </c>
    </row>
    <row r="171" spans="1:4" x14ac:dyDescent="0.25">
      <c r="A171" s="304">
        <v>1183</v>
      </c>
      <c r="B171" s="308" t="s">
        <v>1926</v>
      </c>
      <c r="C171" s="307" t="s">
        <v>2722</v>
      </c>
      <c r="D171" s="308">
        <v>12</v>
      </c>
    </row>
    <row r="172" spans="1:4" x14ac:dyDescent="0.25">
      <c r="A172" s="304">
        <v>1236</v>
      </c>
      <c r="B172" s="308" t="s">
        <v>418</v>
      </c>
      <c r="C172" s="307" t="s">
        <v>150</v>
      </c>
      <c r="D172" s="308">
        <v>12</v>
      </c>
    </row>
    <row r="173" spans="1:4" x14ac:dyDescent="0.25">
      <c r="A173" s="304">
        <v>511</v>
      </c>
      <c r="B173" s="308">
        <v>288</v>
      </c>
      <c r="C173" s="307" t="s">
        <v>2721</v>
      </c>
      <c r="D173" s="308">
        <v>13</v>
      </c>
    </row>
    <row r="174" spans="1:4" x14ac:dyDescent="0.25">
      <c r="A174" s="304">
        <v>1012</v>
      </c>
      <c r="B174" s="308" t="s">
        <v>1241</v>
      </c>
      <c r="C174" s="307" t="s">
        <v>2720</v>
      </c>
      <c r="D174" s="308">
        <v>13</v>
      </c>
    </row>
    <row r="175" spans="1:4" x14ac:dyDescent="0.25">
      <c r="A175" s="304">
        <v>1194</v>
      </c>
      <c r="B175" s="308" t="s">
        <v>394</v>
      </c>
      <c r="C175" s="307" t="s">
        <v>2719</v>
      </c>
      <c r="D175" s="308">
        <v>13</v>
      </c>
    </row>
    <row r="176" spans="1:4" x14ac:dyDescent="0.25">
      <c r="A176" s="304">
        <v>1226</v>
      </c>
      <c r="B176" s="308" t="s">
        <v>467</v>
      </c>
      <c r="C176" s="307" t="s">
        <v>2718</v>
      </c>
      <c r="D176" s="308">
        <v>13</v>
      </c>
    </row>
    <row r="177" spans="1:4" x14ac:dyDescent="0.25">
      <c r="A177" s="304">
        <v>6</v>
      </c>
      <c r="B177" s="308">
        <v>1007868</v>
      </c>
      <c r="C177" s="307" t="s">
        <v>2717</v>
      </c>
      <c r="D177" s="308">
        <v>14</v>
      </c>
    </row>
    <row r="178" spans="1:4" x14ac:dyDescent="0.25">
      <c r="A178" s="304">
        <v>24</v>
      </c>
      <c r="B178" s="308">
        <v>10322</v>
      </c>
      <c r="C178" s="307" t="s">
        <v>2716</v>
      </c>
      <c r="D178" s="308">
        <v>14</v>
      </c>
    </row>
    <row r="179" spans="1:4" x14ac:dyDescent="0.25">
      <c r="A179" s="304">
        <v>180</v>
      </c>
      <c r="B179" s="308">
        <v>11147</v>
      </c>
      <c r="C179" s="307" t="s">
        <v>2715</v>
      </c>
      <c r="D179" s="308">
        <v>14</v>
      </c>
    </row>
    <row r="180" spans="1:4" x14ac:dyDescent="0.25">
      <c r="A180" s="304">
        <v>1083</v>
      </c>
      <c r="B180" s="308" t="s">
        <v>282</v>
      </c>
      <c r="C180" s="307" t="s">
        <v>2707</v>
      </c>
      <c r="D180" s="308">
        <v>14</v>
      </c>
    </row>
    <row r="181" spans="1:4" x14ac:dyDescent="0.25">
      <c r="A181" s="304">
        <v>4</v>
      </c>
      <c r="B181" s="308">
        <v>1007835</v>
      </c>
      <c r="C181" s="307" t="s">
        <v>2714</v>
      </c>
      <c r="D181" s="308">
        <v>15</v>
      </c>
    </row>
    <row r="182" spans="1:4" x14ac:dyDescent="0.25">
      <c r="A182" s="304">
        <v>5</v>
      </c>
      <c r="B182" s="308">
        <v>1007866</v>
      </c>
      <c r="C182" s="307" t="s">
        <v>2713</v>
      </c>
      <c r="D182" s="308">
        <v>15</v>
      </c>
    </row>
    <row r="183" spans="1:4" x14ac:dyDescent="0.25">
      <c r="A183" s="304">
        <v>415</v>
      </c>
      <c r="B183" s="308">
        <v>16613</v>
      </c>
      <c r="C183" s="307" t="s">
        <v>2712</v>
      </c>
      <c r="D183" s="308">
        <v>16</v>
      </c>
    </row>
    <row r="184" spans="1:4" x14ac:dyDescent="0.25">
      <c r="A184" s="304">
        <v>433</v>
      </c>
      <c r="B184" s="308">
        <v>16900</v>
      </c>
      <c r="C184" s="307" t="s">
        <v>2711</v>
      </c>
      <c r="D184" s="308">
        <v>16</v>
      </c>
    </row>
    <row r="185" spans="1:4" x14ac:dyDescent="0.25">
      <c r="A185" s="304">
        <v>1026</v>
      </c>
      <c r="B185" s="308" t="s">
        <v>1517</v>
      </c>
      <c r="C185" s="307" t="s">
        <v>2710</v>
      </c>
      <c r="D185" s="308">
        <v>17</v>
      </c>
    </row>
    <row r="186" spans="1:4" x14ac:dyDescent="0.25">
      <c r="A186" s="304">
        <v>801</v>
      </c>
      <c r="B186" s="308" t="s">
        <v>2709</v>
      </c>
      <c r="C186" s="307" t="s">
        <v>2708</v>
      </c>
      <c r="D186" s="308">
        <v>18</v>
      </c>
    </row>
    <row r="187" spans="1:4" x14ac:dyDescent="0.25">
      <c r="A187" s="304">
        <v>1082</v>
      </c>
      <c r="B187" s="308" t="s">
        <v>280</v>
      </c>
      <c r="C187" s="307" t="s">
        <v>2707</v>
      </c>
      <c r="D187" s="308">
        <v>18</v>
      </c>
    </row>
    <row r="188" spans="1:4" x14ac:dyDescent="0.25">
      <c r="A188" s="304">
        <v>1052</v>
      </c>
      <c r="B188" s="308" t="s">
        <v>2706</v>
      </c>
      <c r="C188" s="307" t="s">
        <v>2705</v>
      </c>
      <c r="D188" s="308">
        <v>20</v>
      </c>
    </row>
    <row r="189" spans="1:4" x14ac:dyDescent="0.25">
      <c r="A189" s="304">
        <v>1080</v>
      </c>
      <c r="B189" s="308" t="s">
        <v>284</v>
      </c>
      <c r="C189" s="307" t="s">
        <v>2704</v>
      </c>
      <c r="D189" s="308">
        <v>20</v>
      </c>
    </row>
    <row r="190" spans="1:4" x14ac:dyDescent="0.25">
      <c r="A190" s="304">
        <v>1081</v>
      </c>
      <c r="B190" s="308" t="s">
        <v>278</v>
      </c>
      <c r="C190" s="307" t="s">
        <v>2703</v>
      </c>
      <c r="D190" s="308">
        <v>20</v>
      </c>
    </row>
    <row r="191" spans="1:4" x14ac:dyDescent="0.25">
      <c r="A191" s="304">
        <v>179</v>
      </c>
      <c r="B191" s="308">
        <v>11146</v>
      </c>
      <c r="C191" s="307" t="s">
        <v>2702</v>
      </c>
      <c r="D191" s="308">
        <v>21</v>
      </c>
    </row>
    <row r="192" spans="1:4" x14ac:dyDescent="0.25">
      <c r="A192" s="304">
        <v>649</v>
      </c>
      <c r="B192" s="308">
        <v>428</v>
      </c>
      <c r="C192" s="307" t="s">
        <v>2701</v>
      </c>
      <c r="D192" s="308">
        <v>21</v>
      </c>
    </row>
    <row r="193" spans="1:4" x14ac:dyDescent="0.25">
      <c r="A193" s="304">
        <v>1018</v>
      </c>
      <c r="B193" s="308" t="s">
        <v>1497</v>
      </c>
      <c r="C193" s="307" t="s">
        <v>2700</v>
      </c>
      <c r="D193" s="308">
        <v>22</v>
      </c>
    </row>
    <row r="194" spans="1:4" x14ac:dyDescent="0.25">
      <c r="A194" s="304">
        <v>177</v>
      </c>
      <c r="B194" s="308">
        <v>11144</v>
      </c>
      <c r="C194" s="307" t="s">
        <v>2699</v>
      </c>
      <c r="D194" s="308">
        <v>25</v>
      </c>
    </row>
    <row r="195" spans="1:4" x14ac:dyDescent="0.25">
      <c r="A195" s="304">
        <v>794</v>
      </c>
      <c r="B195" s="308" t="s">
        <v>2698</v>
      </c>
      <c r="C195" s="307" t="s">
        <v>2697</v>
      </c>
      <c r="D195" s="308">
        <v>25</v>
      </c>
    </row>
    <row r="196" spans="1:4" x14ac:dyDescent="0.25">
      <c r="A196" s="304">
        <v>1086</v>
      </c>
      <c r="B196" s="308" t="s">
        <v>288</v>
      </c>
      <c r="C196" s="307" t="s">
        <v>2696</v>
      </c>
      <c r="D196" s="308">
        <v>26</v>
      </c>
    </row>
    <row r="197" spans="1:4" x14ac:dyDescent="0.25">
      <c r="A197" s="304">
        <v>1096</v>
      </c>
      <c r="B197" s="308" t="s">
        <v>316</v>
      </c>
      <c r="C197" s="307" t="s">
        <v>2559</v>
      </c>
      <c r="D197" s="308">
        <v>30</v>
      </c>
    </row>
    <row r="198" spans="1:4" x14ac:dyDescent="0.25">
      <c r="A198" s="304">
        <v>1202</v>
      </c>
      <c r="B198" s="308" t="s">
        <v>407</v>
      </c>
      <c r="C198" s="307" t="s">
        <v>2695</v>
      </c>
      <c r="D198" s="308">
        <v>30</v>
      </c>
    </row>
    <row r="199" spans="1:4" x14ac:dyDescent="0.25">
      <c r="A199" s="304">
        <v>1143</v>
      </c>
      <c r="B199" s="308" t="s">
        <v>353</v>
      </c>
      <c r="C199" s="307" t="s">
        <v>2694</v>
      </c>
      <c r="D199" s="308">
        <v>31</v>
      </c>
    </row>
    <row r="200" spans="1:4" x14ac:dyDescent="0.25">
      <c r="A200" s="304">
        <v>1159</v>
      </c>
      <c r="B200" s="308" t="s">
        <v>449</v>
      </c>
      <c r="C200" s="307" t="s">
        <v>2693</v>
      </c>
      <c r="D200" s="308">
        <v>31</v>
      </c>
    </row>
    <row r="201" spans="1:4" x14ac:dyDescent="0.25">
      <c r="A201" s="304">
        <v>1234</v>
      </c>
      <c r="B201" s="308" t="s">
        <v>437</v>
      </c>
      <c r="C201" s="307" t="s">
        <v>2692</v>
      </c>
      <c r="D201" s="308">
        <v>31</v>
      </c>
    </row>
    <row r="202" spans="1:4" x14ac:dyDescent="0.25">
      <c r="A202" s="304">
        <v>1237</v>
      </c>
      <c r="B202" s="308" t="s">
        <v>438</v>
      </c>
      <c r="C202" s="307" t="s">
        <v>2691</v>
      </c>
      <c r="D202" s="308">
        <v>31</v>
      </c>
    </row>
    <row r="203" spans="1:4" x14ac:dyDescent="0.25">
      <c r="A203" s="304">
        <v>1142</v>
      </c>
      <c r="B203" s="308" t="s">
        <v>351</v>
      </c>
      <c r="C203" s="307" t="s">
        <v>2690</v>
      </c>
      <c r="D203" s="308">
        <v>33</v>
      </c>
    </row>
    <row r="204" spans="1:4" x14ac:dyDescent="0.25">
      <c r="A204" s="304">
        <v>1158</v>
      </c>
      <c r="B204" s="308" t="s">
        <v>368</v>
      </c>
      <c r="C204" s="307" t="s">
        <v>2689</v>
      </c>
      <c r="D204" s="308">
        <v>33</v>
      </c>
    </row>
    <row r="205" spans="1:4" x14ac:dyDescent="0.25">
      <c r="A205" s="304">
        <v>1002</v>
      </c>
      <c r="B205" s="308" t="s">
        <v>375</v>
      </c>
      <c r="C205" s="307" t="s">
        <v>2688</v>
      </c>
      <c r="D205" s="308">
        <v>36</v>
      </c>
    </row>
    <row r="206" spans="1:4" x14ac:dyDescent="0.25">
      <c r="A206" s="304">
        <v>1117</v>
      </c>
      <c r="B206" s="308" t="s">
        <v>301</v>
      </c>
      <c r="C206" s="307" t="s">
        <v>2561</v>
      </c>
      <c r="D206" s="308">
        <v>36</v>
      </c>
    </row>
    <row r="207" spans="1:4" x14ac:dyDescent="0.25">
      <c r="A207" s="304">
        <v>1138</v>
      </c>
      <c r="B207" s="308" t="s">
        <v>349</v>
      </c>
      <c r="C207" s="307" t="s">
        <v>2687</v>
      </c>
      <c r="D207" s="308">
        <v>36</v>
      </c>
    </row>
    <row r="208" spans="1:4" x14ac:dyDescent="0.25">
      <c r="A208" s="304">
        <v>580</v>
      </c>
      <c r="B208" s="308">
        <v>39</v>
      </c>
      <c r="C208" s="307" t="s">
        <v>2686</v>
      </c>
      <c r="D208" s="308">
        <v>37</v>
      </c>
    </row>
    <row r="209" spans="1:4" x14ac:dyDescent="0.25">
      <c r="A209" s="304">
        <v>1007</v>
      </c>
      <c r="B209" s="308" t="s">
        <v>379</v>
      </c>
      <c r="C209" s="307" t="s">
        <v>2685</v>
      </c>
      <c r="D209" s="308">
        <v>38</v>
      </c>
    </row>
    <row r="210" spans="1:4" x14ac:dyDescent="0.25">
      <c r="A210" s="304">
        <v>1235</v>
      </c>
      <c r="B210" s="308" t="s">
        <v>416</v>
      </c>
      <c r="C210" s="307" t="s">
        <v>2684</v>
      </c>
      <c r="D210" s="308">
        <v>38</v>
      </c>
    </row>
    <row r="211" spans="1:4" x14ac:dyDescent="0.25">
      <c r="A211" s="304">
        <v>1173</v>
      </c>
      <c r="B211" s="308" t="s">
        <v>402</v>
      </c>
      <c r="C211" s="307" t="s">
        <v>2683</v>
      </c>
      <c r="D211" s="308">
        <v>41</v>
      </c>
    </row>
    <row r="212" spans="1:4" x14ac:dyDescent="0.25">
      <c r="A212" s="304">
        <v>1167</v>
      </c>
      <c r="B212" s="308" t="s">
        <v>411</v>
      </c>
      <c r="C212" s="307" t="s">
        <v>2682</v>
      </c>
      <c r="D212" s="308">
        <v>42</v>
      </c>
    </row>
    <row r="213" spans="1:4" x14ac:dyDescent="0.25">
      <c r="A213" s="304">
        <v>1154</v>
      </c>
      <c r="B213" s="308" t="s">
        <v>369</v>
      </c>
      <c r="C213" s="307" t="s">
        <v>2681</v>
      </c>
      <c r="D213" s="308">
        <v>44</v>
      </c>
    </row>
    <row r="214" spans="1:4" x14ac:dyDescent="0.25">
      <c r="A214" s="304">
        <v>1067</v>
      </c>
      <c r="B214" s="308" t="s">
        <v>276</v>
      </c>
      <c r="C214" s="307" t="s">
        <v>2680</v>
      </c>
      <c r="D214" s="308">
        <v>46</v>
      </c>
    </row>
    <row r="215" spans="1:4" x14ac:dyDescent="0.25">
      <c r="A215" s="304">
        <v>1136</v>
      </c>
      <c r="B215" s="308" t="s">
        <v>345</v>
      </c>
      <c r="C215" s="307" t="s">
        <v>2679</v>
      </c>
      <c r="D215" s="308">
        <v>46</v>
      </c>
    </row>
    <row r="216" spans="1:4" x14ac:dyDescent="0.25">
      <c r="A216" s="304">
        <v>1042</v>
      </c>
      <c r="B216" s="308" t="s">
        <v>253</v>
      </c>
      <c r="C216" s="307" t="s">
        <v>2678</v>
      </c>
      <c r="D216" s="308">
        <v>47</v>
      </c>
    </row>
    <row r="217" spans="1:4" x14ac:dyDescent="0.25">
      <c r="A217" s="304">
        <v>1072</v>
      </c>
      <c r="B217" s="308" t="s">
        <v>266</v>
      </c>
      <c r="C217" s="307" t="s">
        <v>2677</v>
      </c>
      <c r="D217" s="308">
        <v>47</v>
      </c>
    </row>
    <row r="218" spans="1:4" x14ac:dyDescent="0.25">
      <c r="A218" s="304">
        <v>1165</v>
      </c>
      <c r="B218" s="308" t="s">
        <v>734</v>
      </c>
      <c r="C218" s="307" t="s">
        <v>2676</v>
      </c>
      <c r="D218" s="308">
        <v>48</v>
      </c>
    </row>
    <row r="219" spans="1:4" x14ac:dyDescent="0.25">
      <c r="A219" s="304">
        <v>1147</v>
      </c>
      <c r="B219" s="308" t="s">
        <v>360</v>
      </c>
      <c r="C219" s="307" t="s">
        <v>2675</v>
      </c>
      <c r="D219" s="308">
        <v>49</v>
      </c>
    </row>
    <row r="220" spans="1:4" x14ac:dyDescent="0.25">
      <c r="A220" s="304">
        <v>1160</v>
      </c>
      <c r="B220" s="308" t="s">
        <v>450</v>
      </c>
      <c r="C220" s="307" t="s">
        <v>2674</v>
      </c>
      <c r="D220" s="308">
        <v>49</v>
      </c>
    </row>
    <row r="221" spans="1:4" x14ac:dyDescent="0.25">
      <c r="A221" s="304">
        <v>1144</v>
      </c>
      <c r="B221" s="308" t="s">
        <v>355</v>
      </c>
      <c r="C221" s="307" t="s">
        <v>2673</v>
      </c>
      <c r="D221" s="308">
        <v>50</v>
      </c>
    </row>
    <row r="222" spans="1:4" x14ac:dyDescent="0.25">
      <c r="A222" s="304">
        <v>1149</v>
      </c>
      <c r="B222" s="308" t="s">
        <v>358</v>
      </c>
      <c r="C222" s="307" t="s">
        <v>2672</v>
      </c>
      <c r="D222" s="308">
        <v>50</v>
      </c>
    </row>
    <row r="223" spans="1:4" x14ac:dyDescent="0.25">
      <c r="A223" s="304">
        <v>1076</v>
      </c>
      <c r="B223" s="308" t="s">
        <v>275</v>
      </c>
      <c r="C223" s="307" t="s">
        <v>2671</v>
      </c>
      <c r="D223" s="308">
        <v>54</v>
      </c>
    </row>
    <row r="224" spans="1:4" x14ac:dyDescent="0.25">
      <c r="A224" s="304">
        <v>1148</v>
      </c>
      <c r="B224" s="308" t="s">
        <v>357</v>
      </c>
      <c r="C224" s="307" t="s">
        <v>2586</v>
      </c>
      <c r="D224" s="308">
        <v>55</v>
      </c>
    </row>
    <row r="225" spans="1:4" x14ac:dyDescent="0.25">
      <c r="A225" s="304">
        <v>1155</v>
      </c>
      <c r="B225" s="308" t="s">
        <v>365</v>
      </c>
      <c r="C225" s="307" t="s">
        <v>2670</v>
      </c>
      <c r="D225" s="308">
        <v>55</v>
      </c>
    </row>
    <row r="226" spans="1:4" x14ac:dyDescent="0.25">
      <c r="A226" s="304">
        <v>803</v>
      </c>
      <c r="B226" s="308" t="s">
        <v>2669</v>
      </c>
      <c r="C226" s="307" t="s">
        <v>2668</v>
      </c>
      <c r="D226" s="308">
        <v>56</v>
      </c>
    </row>
    <row r="227" spans="1:4" x14ac:dyDescent="0.25">
      <c r="A227" s="304">
        <v>1034</v>
      </c>
      <c r="B227" s="308" t="s">
        <v>245</v>
      </c>
      <c r="C227" s="307" t="s">
        <v>2667</v>
      </c>
      <c r="D227" s="308">
        <v>58</v>
      </c>
    </row>
    <row r="228" spans="1:4" x14ac:dyDescent="0.25">
      <c r="A228" s="304">
        <v>1229</v>
      </c>
      <c r="B228" s="308" t="s">
        <v>439</v>
      </c>
      <c r="C228" s="307" t="s">
        <v>2666</v>
      </c>
      <c r="D228" s="308">
        <v>59</v>
      </c>
    </row>
    <row r="229" spans="1:4" x14ac:dyDescent="0.25">
      <c r="A229" s="304">
        <v>1037</v>
      </c>
      <c r="B229" s="308" t="s">
        <v>250</v>
      </c>
      <c r="C229" s="307" t="s">
        <v>2665</v>
      </c>
      <c r="D229" s="308">
        <v>62</v>
      </c>
    </row>
    <row r="230" spans="1:4" x14ac:dyDescent="0.25">
      <c r="A230" s="304">
        <v>1114</v>
      </c>
      <c r="B230" s="308" t="s">
        <v>306</v>
      </c>
      <c r="C230" s="307" t="s">
        <v>2664</v>
      </c>
      <c r="D230" s="308">
        <v>62</v>
      </c>
    </row>
    <row r="231" spans="1:4" x14ac:dyDescent="0.25">
      <c r="A231" s="304">
        <v>1213</v>
      </c>
      <c r="B231" s="308" t="s">
        <v>428</v>
      </c>
      <c r="C231" s="307" t="s">
        <v>2647</v>
      </c>
      <c r="D231" s="308">
        <v>62</v>
      </c>
    </row>
    <row r="232" spans="1:4" x14ac:dyDescent="0.25">
      <c r="A232" s="304">
        <v>1060</v>
      </c>
      <c r="B232" s="308" t="s">
        <v>291</v>
      </c>
      <c r="C232" s="307" t="s">
        <v>2663</v>
      </c>
      <c r="D232" s="308">
        <v>63</v>
      </c>
    </row>
    <row r="233" spans="1:4" x14ac:dyDescent="0.25">
      <c r="A233" s="304">
        <v>1220</v>
      </c>
      <c r="B233" s="308" t="s">
        <v>414</v>
      </c>
      <c r="C233" s="307" t="s">
        <v>2662</v>
      </c>
      <c r="D233" s="308">
        <v>63</v>
      </c>
    </row>
    <row r="234" spans="1:4" x14ac:dyDescent="0.25">
      <c r="A234" s="304">
        <v>1131</v>
      </c>
      <c r="B234" s="308" t="s">
        <v>341</v>
      </c>
      <c r="C234" s="307" t="s">
        <v>2661</v>
      </c>
      <c r="D234" s="308">
        <v>64</v>
      </c>
    </row>
    <row r="235" spans="1:4" x14ac:dyDescent="0.25">
      <c r="A235" s="304">
        <v>1174</v>
      </c>
      <c r="B235" s="308" t="s">
        <v>404</v>
      </c>
      <c r="C235" s="307" t="s">
        <v>2660</v>
      </c>
      <c r="D235" s="308">
        <v>64</v>
      </c>
    </row>
    <row r="236" spans="1:4" x14ac:dyDescent="0.25">
      <c r="A236" s="304">
        <v>1172</v>
      </c>
      <c r="B236" s="308" t="s">
        <v>401</v>
      </c>
      <c r="C236" s="307" t="s">
        <v>2659</v>
      </c>
      <c r="D236" s="308">
        <v>65</v>
      </c>
    </row>
    <row r="237" spans="1:4" x14ac:dyDescent="0.25">
      <c r="A237" s="304">
        <v>1233</v>
      </c>
      <c r="B237" s="308" t="s">
        <v>436</v>
      </c>
      <c r="C237" s="307" t="s">
        <v>2658</v>
      </c>
      <c r="D237" s="308">
        <v>65</v>
      </c>
    </row>
    <row r="238" spans="1:4" x14ac:dyDescent="0.25">
      <c r="A238" s="304">
        <v>1087</v>
      </c>
      <c r="B238" s="308" t="s">
        <v>289</v>
      </c>
      <c r="C238" s="307" t="s">
        <v>2657</v>
      </c>
      <c r="D238" s="308">
        <v>66</v>
      </c>
    </row>
    <row r="239" spans="1:4" x14ac:dyDescent="0.25">
      <c r="A239" s="304">
        <v>1184</v>
      </c>
      <c r="B239" s="308" t="s">
        <v>385</v>
      </c>
      <c r="C239" s="307" t="s">
        <v>2656</v>
      </c>
      <c r="D239" s="308">
        <v>66</v>
      </c>
    </row>
    <row r="240" spans="1:4" x14ac:dyDescent="0.25">
      <c r="A240" s="304">
        <v>1196</v>
      </c>
      <c r="B240" s="308" t="s">
        <v>396</v>
      </c>
      <c r="C240" s="307" t="s">
        <v>2651</v>
      </c>
      <c r="D240" s="308">
        <v>66</v>
      </c>
    </row>
    <row r="241" spans="1:4" x14ac:dyDescent="0.25">
      <c r="A241" s="304">
        <v>1075</v>
      </c>
      <c r="B241" s="308" t="s">
        <v>272</v>
      </c>
      <c r="C241" s="307" t="s">
        <v>2655</v>
      </c>
      <c r="D241" s="308">
        <v>67</v>
      </c>
    </row>
    <row r="242" spans="1:4" x14ac:dyDescent="0.25">
      <c r="A242" s="304">
        <v>1127</v>
      </c>
      <c r="B242" s="308" t="s">
        <v>337</v>
      </c>
      <c r="C242" s="307" t="s">
        <v>2654</v>
      </c>
      <c r="D242" s="308">
        <v>69</v>
      </c>
    </row>
    <row r="243" spans="1:4" x14ac:dyDescent="0.25">
      <c r="A243" s="304">
        <v>1169</v>
      </c>
      <c r="B243" s="308" t="s">
        <v>409</v>
      </c>
      <c r="C243" s="307" t="s">
        <v>2653</v>
      </c>
      <c r="D243" s="308">
        <v>69</v>
      </c>
    </row>
    <row r="244" spans="1:4" x14ac:dyDescent="0.25">
      <c r="A244" s="304">
        <v>1164</v>
      </c>
      <c r="B244" s="308" t="s">
        <v>448</v>
      </c>
      <c r="C244" s="307" t="s">
        <v>2652</v>
      </c>
      <c r="D244" s="308">
        <v>72</v>
      </c>
    </row>
    <row r="245" spans="1:4" x14ac:dyDescent="0.25">
      <c r="A245" s="304">
        <v>1195</v>
      </c>
      <c r="B245" s="308" t="s">
        <v>395</v>
      </c>
      <c r="C245" s="307" t="s">
        <v>2651</v>
      </c>
      <c r="D245" s="308">
        <v>72</v>
      </c>
    </row>
    <row r="246" spans="1:4" x14ac:dyDescent="0.25">
      <c r="A246" s="304">
        <v>1112</v>
      </c>
      <c r="B246" s="308" t="s">
        <v>299</v>
      </c>
      <c r="C246" s="307" t="s">
        <v>2561</v>
      </c>
      <c r="D246" s="308">
        <v>74</v>
      </c>
    </row>
    <row r="247" spans="1:4" x14ac:dyDescent="0.25">
      <c r="A247" s="304">
        <v>1122</v>
      </c>
      <c r="B247" s="308" t="s">
        <v>331</v>
      </c>
      <c r="C247" s="307" t="s">
        <v>2650</v>
      </c>
      <c r="D247" s="308">
        <v>76</v>
      </c>
    </row>
    <row r="248" spans="1:4" x14ac:dyDescent="0.25">
      <c r="A248" s="304">
        <v>1189</v>
      </c>
      <c r="B248" s="308" t="s">
        <v>392</v>
      </c>
      <c r="C248" s="307" t="s">
        <v>2649</v>
      </c>
      <c r="D248" s="308">
        <v>76</v>
      </c>
    </row>
    <row r="249" spans="1:4" x14ac:dyDescent="0.25">
      <c r="A249" s="304">
        <v>1192</v>
      </c>
      <c r="B249" s="308" t="s">
        <v>389</v>
      </c>
      <c r="C249" s="307" t="s">
        <v>2648</v>
      </c>
      <c r="D249" s="308">
        <v>77</v>
      </c>
    </row>
    <row r="250" spans="1:4" x14ac:dyDescent="0.25">
      <c r="A250" s="304">
        <v>1217</v>
      </c>
      <c r="B250" s="308" t="s">
        <v>427</v>
      </c>
      <c r="C250" s="307" t="s">
        <v>2647</v>
      </c>
      <c r="D250" s="308">
        <v>77</v>
      </c>
    </row>
    <row r="251" spans="1:4" x14ac:dyDescent="0.25">
      <c r="A251" s="304">
        <v>1057</v>
      </c>
      <c r="B251" s="308" t="s">
        <v>574</v>
      </c>
      <c r="C251" s="307" t="s">
        <v>2646</v>
      </c>
      <c r="D251" s="308">
        <v>79</v>
      </c>
    </row>
    <row r="252" spans="1:4" x14ac:dyDescent="0.25">
      <c r="A252" s="304">
        <v>1232</v>
      </c>
      <c r="B252" s="308" t="s">
        <v>435</v>
      </c>
      <c r="C252" s="307" t="s">
        <v>2645</v>
      </c>
      <c r="D252" s="308">
        <v>80</v>
      </c>
    </row>
    <row r="253" spans="1:4" x14ac:dyDescent="0.25">
      <c r="A253" s="304">
        <v>1203</v>
      </c>
      <c r="B253" s="308" t="s">
        <v>420</v>
      </c>
      <c r="C253" s="307" t="s">
        <v>2618</v>
      </c>
      <c r="D253" s="308">
        <v>82</v>
      </c>
    </row>
    <row r="254" spans="1:4" x14ac:dyDescent="0.25">
      <c r="A254" s="304">
        <v>1207</v>
      </c>
      <c r="B254" s="308" t="s">
        <v>425</v>
      </c>
      <c r="C254" s="307" t="s">
        <v>2644</v>
      </c>
      <c r="D254" s="308">
        <v>82</v>
      </c>
    </row>
    <row r="255" spans="1:4" x14ac:dyDescent="0.25">
      <c r="A255" s="304">
        <v>1230</v>
      </c>
      <c r="B255" s="308" t="s">
        <v>412</v>
      </c>
      <c r="C255" s="307" t="s">
        <v>2643</v>
      </c>
      <c r="D255" s="308">
        <v>82</v>
      </c>
    </row>
    <row r="256" spans="1:4" x14ac:dyDescent="0.25">
      <c r="A256" s="304">
        <v>1146</v>
      </c>
      <c r="B256" s="308" t="s">
        <v>359</v>
      </c>
      <c r="C256" s="307" t="s">
        <v>2642</v>
      </c>
      <c r="D256" s="308">
        <v>84</v>
      </c>
    </row>
    <row r="257" spans="1:4" x14ac:dyDescent="0.25">
      <c r="A257" s="304">
        <v>1197</v>
      </c>
      <c r="B257" s="308" t="s">
        <v>397</v>
      </c>
      <c r="C257" s="307" t="s">
        <v>2641</v>
      </c>
      <c r="D257" s="308">
        <v>84</v>
      </c>
    </row>
    <row r="258" spans="1:4" x14ac:dyDescent="0.25">
      <c r="A258" s="304">
        <v>1221</v>
      </c>
      <c r="B258" s="308" t="s">
        <v>440</v>
      </c>
      <c r="C258" s="307" t="s">
        <v>2640</v>
      </c>
      <c r="D258" s="308">
        <v>84</v>
      </c>
    </row>
    <row r="259" spans="1:4" x14ac:dyDescent="0.25">
      <c r="A259" s="304">
        <v>1123</v>
      </c>
      <c r="B259" s="308" t="s">
        <v>332</v>
      </c>
      <c r="C259" s="307" t="s">
        <v>2639</v>
      </c>
      <c r="D259" s="308">
        <v>85</v>
      </c>
    </row>
    <row r="260" spans="1:4" x14ac:dyDescent="0.25">
      <c r="A260" s="304">
        <v>1215</v>
      </c>
      <c r="B260" s="308" t="s">
        <v>429</v>
      </c>
      <c r="C260" s="307" t="s">
        <v>2638</v>
      </c>
      <c r="D260" s="308">
        <v>86</v>
      </c>
    </row>
    <row r="261" spans="1:4" x14ac:dyDescent="0.25">
      <c r="A261" s="304">
        <v>1121</v>
      </c>
      <c r="B261" s="308" t="s">
        <v>336</v>
      </c>
      <c r="C261" s="307" t="s">
        <v>2637</v>
      </c>
      <c r="D261" s="308">
        <v>87</v>
      </c>
    </row>
    <row r="262" spans="1:4" x14ac:dyDescent="0.25">
      <c r="A262" s="304">
        <v>1125</v>
      </c>
      <c r="B262" s="308" t="s">
        <v>334</v>
      </c>
      <c r="C262" s="307" t="s">
        <v>2636</v>
      </c>
      <c r="D262" s="308">
        <v>87</v>
      </c>
    </row>
    <row r="263" spans="1:4" x14ac:dyDescent="0.25">
      <c r="A263" s="304">
        <v>1204</v>
      </c>
      <c r="B263" s="308" t="s">
        <v>421</v>
      </c>
      <c r="C263" s="307" t="s">
        <v>2635</v>
      </c>
      <c r="D263" s="308">
        <v>88</v>
      </c>
    </row>
    <row r="264" spans="1:4" x14ac:dyDescent="0.25">
      <c r="A264" s="304">
        <v>1051</v>
      </c>
      <c r="B264" s="308" t="s">
        <v>2634</v>
      </c>
      <c r="C264" s="307" t="s">
        <v>2633</v>
      </c>
      <c r="D264" s="308">
        <v>90</v>
      </c>
    </row>
    <row r="265" spans="1:4" x14ac:dyDescent="0.25">
      <c r="A265" s="304">
        <v>1064</v>
      </c>
      <c r="B265" s="308" t="s">
        <v>296</v>
      </c>
      <c r="C265" s="307" t="s">
        <v>2632</v>
      </c>
      <c r="D265" s="308">
        <v>90</v>
      </c>
    </row>
    <row r="266" spans="1:4" x14ac:dyDescent="0.25">
      <c r="A266" s="304">
        <v>1061</v>
      </c>
      <c r="B266" s="308" t="s">
        <v>292</v>
      </c>
      <c r="C266" s="307" t="s">
        <v>2631</v>
      </c>
      <c r="D266" s="308">
        <v>91</v>
      </c>
    </row>
    <row r="267" spans="1:4" x14ac:dyDescent="0.25">
      <c r="A267" s="304">
        <v>1120</v>
      </c>
      <c r="B267" s="308" t="s">
        <v>373</v>
      </c>
      <c r="C267" s="307" t="s">
        <v>2630</v>
      </c>
      <c r="D267" s="308">
        <v>91</v>
      </c>
    </row>
    <row r="268" spans="1:4" x14ac:dyDescent="0.25">
      <c r="A268" s="304">
        <v>1191</v>
      </c>
      <c r="B268" s="308" t="s">
        <v>390</v>
      </c>
      <c r="C268" s="307" t="s">
        <v>2629</v>
      </c>
      <c r="D268" s="308">
        <v>91</v>
      </c>
    </row>
    <row r="269" spans="1:4" x14ac:dyDescent="0.25">
      <c r="A269" s="304">
        <v>1004</v>
      </c>
      <c r="B269" s="308" t="s">
        <v>376</v>
      </c>
      <c r="C269" s="307" t="s">
        <v>2628</v>
      </c>
      <c r="D269" s="308">
        <v>92</v>
      </c>
    </row>
    <row r="270" spans="1:4" x14ac:dyDescent="0.25">
      <c r="A270" s="304">
        <v>1077</v>
      </c>
      <c r="B270" s="308" t="s">
        <v>2627</v>
      </c>
      <c r="C270" s="307" t="s">
        <v>2626</v>
      </c>
      <c r="D270" s="308">
        <v>93</v>
      </c>
    </row>
    <row r="271" spans="1:4" x14ac:dyDescent="0.25">
      <c r="A271" s="304">
        <v>1124</v>
      </c>
      <c r="B271" s="308" t="s">
        <v>333</v>
      </c>
      <c r="C271" s="307" t="s">
        <v>2625</v>
      </c>
      <c r="D271" s="308">
        <v>95</v>
      </c>
    </row>
    <row r="272" spans="1:4" x14ac:dyDescent="0.25">
      <c r="A272" s="304">
        <v>1128</v>
      </c>
      <c r="B272" s="308" t="s">
        <v>338</v>
      </c>
      <c r="C272" s="307" t="s">
        <v>2624</v>
      </c>
      <c r="D272" s="308">
        <v>95</v>
      </c>
    </row>
    <row r="273" spans="1:4" x14ac:dyDescent="0.25">
      <c r="A273" s="304">
        <v>1137</v>
      </c>
      <c r="B273" s="308" t="s">
        <v>347</v>
      </c>
      <c r="C273" s="307" t="s">
        <v>2623</v>
      </c>
      <c r="D273" s="308">
        <v>95</v>
      </c>
    </row>
    <row r="274" spans="1:4" x14ac:dyDescent="0.25">
      <c r="A274" s="304">
        <v>1094</v>
      </c>
      <c r="B274" s="308" t="s">
        <v>328</v>
      </c>
      <c r="C274" s="307" t="s">
        <v>2622</v>
      </c>
      <c r="D274" s="308">
        <v>96</v>
      </c>
    </row>
    <row r="275" spans="1:4" x14ac:dyDescent="0.25">
      <c r="A275" s="304">
        <v>1222</v>
      </c>
      <c r="B275" s="308" t="s">
        <v>413</v>
      </c>
      <c r="C275" s="307" t="s">
        <v>2621</v>
      </c>
      <c r="D275" s="308">
        <v>99</v>
      </c>
    </row>
    <row r="276" spans="1:4" x14ac:dyDescent="0.25">
      <c r="A276" s="304">
        <v>1048</v>
      </c>
      <c r="B276" s="308" t="s">
        <v>260</v>
      </c>
      <c r="C276" s="307" t="s">
        <v>2620</v>
      </c>
      <c r="D276" s="308">
        <v>102</v>
      </c>
    </row>
    <row r="277" spans="1:4" x14ac:dyDescent="0.25">
      <c r="A277" s="304">
        <v>1219</v>
      </c>
      <c r="B277" s="308" t="s">
        <v>432</v>
      </c>
      <c r="C277" s="307" t="s">
        <v>2619</v>
      </c>
      <c r="D277" s="308">
        <v>102</v>
      </c>
    </row>
    <row r="278" spans="1:4" x14ac:dyDescent="0.25">
      <c r="A278" s="304">
        <v>1206</v>
      </c>
      <c r="B278" s="308" t="s">
        <v>419</v>
      </c>
      <c r="C278" s="307" t="s">
        <v>2618</v>
      </c>
      <c r="D278" s="308">
        <v>104</v>
      </c>
    </row>
    <row r="279" spans="1:4" x14ac:dyDescent="0.25">
      <c r="A279" s="304">
        <v>1079</v>
      </c>
      <c r="B279" s="308" t="s">
        <v>298</v>
      </c>
      <c r="C279" s="307" t="s">
        <v>2617</v>
      </c>
      <c r="D279" s="308">
        <v>108</v>
      </c>
    </row>
    <row r="280" spans="1:4" x14ac:dyDescent="0.25">
      <c r="A280" s="304">
        <v>1103</v>
      </c>
      <c r="B280" s="308" t="s">
        <v>311</v>
      </c>
      <c r="C280" s="307" t="s">
        <v>2605</v>
      </c>
      <c r="D280" s="308">
        <v>110</v>
      </c>
    </row>
    <row r="281" spans="1:4" x14ac:dyDescent="0.25">
      <c r="A281" s="304">
        <v>1231</v>
      </c>
      <c r="B281" s="308" t="s">
        <v>434</v>
      </c>
      <c r="C281" s="307" t="s">
        <v>2616</v>
      </c>
      <c r="D281" s="308">
        <v>110</v>
      </c>
    </row>
    <row r="282" spans="1:4" x14ac:dyDescent="0.25">
      <c r="A282" s="304">
        <v>1100</v>
      </c>
      <c r="B282" s="308" t="s">
        <v>314</v>
      </c>
      <c r="C282" s="307" t="s">
        <v>2615</v>
      </c>
      <c r="D282" s="308">
        <v>111</v>
      </c>
    </row>
    <row r="283" spans="1:4" x14ac:dyDescent="0.25">
      <c r="A283" s="304">
        <v>1210</v>
      </c>
      <c r="B283" s="308" t="s">
        <v>426</v>
      </c>
      <c r="C283" s="307" t="s">
        <v>2614</v>
      </c>
      <c r="D283" s="308">
        <v>111</v>
      </c>
    </row>
    <row r="284" spans="1:4" x14ac:dyDescent="0.25">
      <c r="A284" s="304">
        <v>1032</v>
      </c>
      <c r="B284" s="308" t="s">
        <v>243</v>
      </c>
      <c r="C284" s="307" t="s">
        <v>2613</v>
      </c>
      <c r="D284" s="308">
        <v>112</v>
      </c>
    </row>
    <row r="285" spans="1:4" x14ac:dyDescent="0.25">
      <c r="A285" s="304">
        <v>1041</v>
      </c>
      <c r="B285" s="308" t="s">
        <v>248</v>
      </c>
      <c r="C285" s="307" t="s">
        <v>2612</v>
      </c>
      <c r="D285" s="308">
        <v>112</v>
      </c>
    </row>
    <row r="286" spans="1:4" x14ac:dyDescent="0.25">
      <c r="A286" s="304">
        <v>1156</v>
      </c>
      <c r="B286" s="308" t="s">
        <v>366</v>
      </c>
      <c r="C286" s="307" t="s">
        <v>2611</v>
      </c>
      <c r="D286" s="308">
        <v>112</v>
      </c>
    </row>
    <row r="287" spans="1:4" x14ac:dyDescent="0.25">
      <c r="A287" s="304">
        <v>1119</v>
      </c>
      <c r="B287" s="308" t="s">
        <v>370</v>
      </c>
      <c r="C287" s="307" t="s">
        <v>72</v>
      </c>
      <c r="D287" s="308">
        <v>117</v>
      </c>
    </row>
    <row r="288" spans="1:4" x14ac:dyDescent="0.25">
      <c r="A288" s="304">
        <v>1056</v>
      </c>
      <c r="B288" s="308" t="s">
        <v>2610</v>
      </c>
      <c r="C288" s="307" t="s">
        <v>2609</v>
      </c>
      <c r="D288" s="308">
        <v>119</v>
      </c>
    </row>
    <row r="289" spans="1:4" x14ac:dyDescent="0.25">
      <c r="A289" s="304">
        <v>1055</v>
      </c>
      <c r="B289" s="308" t="s">
        <v>572</v>
      </c>
      <c r="C289" s="307" t="s">
        <v>2608</v>
      </c>
      <c r="D289" s="308">
        <v>120</v>
      </c>
    </row>
    <row r="290" spans="1:4" x14ac:dyDescent="0.25">
      <c r="A290" s="304">
        <v>1039</v>
      </c>
      <c r="B290" s="308" t="s">
        <v>252</v>
      </c>
      <c r="C290" s="307" t="s">
        <v>2603</v>
      </c>
      <c r="D290" s="308">
        <v>122</v>
      </c>
    </row>
    <row r="291" spans="1:4" x14ac:dyDescent="0.25">
      <c r="A291" s="304">
        <v>1110</v>
      </c>
      <c r="B291" s="308" t="s">
        <v>552</v>
      </c>
      <c r="C291" s="307" t="s">
        <v>2607</v>
      </c>
      <c r="D291" s="308">
        <v>124</v>
      </c>
    </row>
    <row r="292" spans="1:4" x14ac:dyDescent="0.25">
      <c r="A292" s="304">
        <v>1150</v>
      </c>
      <c r="B292" s="308" t="s">
        <v>363</v>
      </c>
      <c r="C292" s="307" t="s">
        <v>2586</v>
      </c>
      <c r="D292" s="308">
        <v>125</v>
      </c>
    </row>
    <row r="293" spans="1:4" x14ac:dyDescent="0.25">
      <c r="A293" s="304">
        <v>1091</v>
      </c>
      <c r="B293" s="308" t="s">
        <v>319</v>
      </c>
      <c r="C293" s="307" t="s">
        <v>2606</v>
      </c>
      <c r="D293" s="308">
        <v>126</v>
      </c>
    </row>
    <row r="294" spans="1:4" x14ac:dyDescent="0.25">
      <c r="A294" s="304">
        <v>1102</v>
      </c>
      <c r="B294" s="308" t="s">
        <v>307</v>
      </c>
      <c r="C294" s="307" t="s">
        <v>2605</v>
      </c>
      <c r="D294" s="308">
        <v>127</v>
      </c>
    </row>
    <row r="295" spans="1:4" x14ac:dyDescent="0.25">
      <c r="A295" s="304">
        <v>1132</v>
      </c>
      <c r="B295" s="308" t="s">
        <v>342</v>
      </c>
      <c r="C295" s="307" t="s">
        <v>2604</v>
      </c>
      <c r="D295" s="308">
        <v>129</v>
      </c>
    </row>
    <row r="296" spans="1:4" x14ac:dyDescent="0.25">
      <c r="A296" s="304">
        <v>1031</v>
      </c>
      <c r="B296" s="308" t="s">
        <v>254</v>
      </c>
      <c r="C296" s="307" t="s">
        <v>2603</v>
      </c>
      <c r="D296" s="308">
        <v>131</v>
      </c>
    </row>
    <row r="297" spans="1:4" x14ac:dyDescent="0.25">
      <c r="A297" s="304">
        <v>931</v>
      </c>
      <c r="B297" s="308" t="s">
        <v>2602</v>
      </c>
      <c r="C297" s="307" t="s">
        <v>2601</v>
      </c>
      <c r="D297" s="308">
        <v>134</v>
      </c>
    </row>
    <row r="298" spans="1:4" x14ac:dyDescent="0.25">
      <c r="A298" s="304">
        <v>1005</v>
      </c>
      <c r="B298" s="308" t="s">
        <v>377</v>
      </c>
      <c r="C298" s="307" t="s">
        <v>2600</v>
      </c>
      <c r="D298" s="308">
        <v>134</v>
      </c>
    </row>
    <row r="299" spans="1:4" x14ac:dyDescent="0.25">
      <c r="A299" s="304">
        <v>1036</v>
      </c>
      <c r="B299" s="308" t="s">
        <v>247</v>
      </c>
      <c r="C299" s="307" t="s">
        <v>2577</v>
      </c>
      <c r="D299" s="308">
        <v>137</v>
      </c>
    </row>
    <row r="300" spans="1:4" x14ac:dyDescent="0.25">
      <c r="A300" s="304">
        <v>1113</v>
      </c>
      <c r="B300" s="308" t="s">
        <v>300</v>
      </c>
      <c r="C300" s="307" t="s">
        <v>2561</v>
      </c>
      <c r="D300" s="308">
        <v>138</v>
      </c>
    </row>
    <row r="301" spans="1:4" x14ac:dyDescent="0.25">
      <c r="A301" s="304">
        <v>1208</v>
      </c>
      <c r="B301" s="308" t="s">
        <v>423</v>
      </c>
      <c r="C301" s="307" t="s">
        <v>2599</v>
      </c>
      <c r="D301" s="308">
        <v>138</v>
      </c>
    </row>
    <row r="302" spans="1:4" x14ac:dyDescent="0.25">
      <c r="A302" s="304">
        <v>1171</v>
      </c>
      <c r="B302" s="308" t="s">
        <v>400</v>
      </c>
      <c r="C302" s="307" t="s">
        <v>2598</v>
      </c>
      <c r="D302" s="308">
        <v>140</v>
      </c>
    </row>
    <row r="303" spans="1:4" x14ac:dyDescent="0.25">
      <c r="A303" s="304">
        <v>1168</v>
      </c>
      <c r="B303" s="308" t="s">
        <v>410</v>
      </c>
      <c r="C303" s="307" t="s">
        <v>2597</v>
      </c>
      <c r="D303" s="308">
        <v>141</v>
      </c>
    </row>
    <row r="304" spans="1:4" x14ac:dyDescent="0.25">
      <c r="A304" s="304">
        <v>928</v>
      </c>
      <c r="B304" s="308" t="s">
        <v>2596</v>
      </c>
      <c r="C304" s="307" t="s">
        <v>2595</v>
      </c>
      <c r="D304" s="308">
        <v>144</v>
      </c>
    </row>
    <row r="305" spans="1:4" x14ac:dyDescent="0.25">
      <c r="A305" s="304">
        <v>1047</v>
      </c>
      <c r="B305" s="308" t="s">
        <v>257</v>
      </c>
      <c r="C305" s="307" t="s">
        <v>2594</v>
      </c>
      <c r="D305" s="308">
        <v>144</v>
      </c>
    </row>
    <row r="306" spans="1:4" x14ac:dyDescent="0.25">
      <c r="A306" s="304">
        <v>1200</v>
      </c>
      <c r="B306" s="308" t="s">
        <v>406</v>
      </c>
      <c r="C306" s="307" t="s">
        <v>2593</v>
      </c>
      <c r="D306" s="308">
        <v>147</v>
      </c>
    </row>
    <row r="307" spans="1:4" x14ac:dyDescent="0.25">
      <c r="A307" s="304">
        <v>1101</v>
      </c>
      <c r="B307" s="308" t="s">
        <v>310</v>
      </c>
      <c r="C307" s="307" t="s">
        <v>2592</v>
      </c>
      <c r="D307" s="308">
        <v>149</v>
      </c>
    </row>
    <row r="308" spans="1:4" x14ac:dyDescent="0.25">
      <c r="A308" s="304">
        <v>1070</v>
      </c>
      <c r="B308" s="308" t="s">
        <v>273</v>
      </c>
      <c r="C308" s="307" t="s">
        <v>2591</v>
      </c>
      <c r="D308" s="308">
        <v>159</v>
      </c>
    </row>
    <row r="309" spans="1:4" x14ac:dyDescent="0.25">
      <c r="A309" s="304">
        <v>933</v>
      </c>
      <c r="B309" s="308" t="s">
        <v>2590</v>
      </c>
      <c r="C309" s="307" t="s">
        <v>2589</v>
      </c>
      <c r="D309" s="308">
        <v>160</v>
      </c>
    </row>
    <row r="310" spans="1:4" x14ac:dyDescent="0.25">
      <c r="A310" s="304">
        <v>1050</v>
      </c>
      <c r="B310" s="308" t="s">
        <v>265</v>
      </c>
      <c r="C310" s="307" t="s">
        <v>2588</v>
      </c>
      <c r="D310" s="308">
        <v>167</v>
      </c>
    </row>
    <row r="311" spans="1:4" x14ac:dyDescent="0.25">
      <c r="A311" s="304">
        <v>471</v>
      </c>
      <c r="B311" s="308">
        <v>1790</v>
      </c>
      <c r="C311" s="307" t="s">
        <v>2587</v>
      </c>
      <c r="D311" s="308">
        <v>168</v>
      </c>
    </row>
    <row r="312" spans="1:4" x14ac:dyDescent="0.25">
      <c r="A312" s="304">
        <v>1153</v>
      </c>
      <c r="B312" s="308" t="s">
        <v>361</v>
      </c>
      <c r="C312" s="307" t="s">
        <v>2586</v>
      </c>
      <c r="D312" s="308">
        <v>180</v>
      </c>
    </row>
    <row r="313" spans="1:4" x14ac:dyDescent="0.25">
      <c r="A313" s="304">
        <v>1133</v>
      </c>
      <c r="B313" s="308" t="s">
        <v>343</v>
      </c>
      <c r="C313" s="307" t="s">
        <v>2585</v>
      </c>
      <c r="D313" s="308">
        <v>187</v>
      </c>
    </row>
    <row r="314" spans="1:4" x14ac:dyDescent="0.25">
      <c r="A314" s="304">
        <v>1111</v>
      </c>
      <c r="B314" s="308" t="s">
        <v>304</v>
      </c>
      <c r="C314" s="307" t="s">
        <v>2584</v>
      </c>
      <c r="D314" s="308">
        <v>192</v>
      </c>
    </row>
    <row r="315" spans="1:4" x14ac:dyDescent="0.25">
      <c r="A315" s="304">
        <v>1129</v>
      </c>
      <c r="B315" s="308" t="s">
        <v>339</v>
      </c>
      <c r="C315" s="307" t="s">
        <v>2583</v>
      </c>
      <c r="D315" s="308">
        <v>196</v>
      </c>
    </row>
    <row r="316" spans="1:4" x14ac:dyDescent="0.25">
      <c r="A316" s="304">
        <v>418</v>
      </c>
      <c r="B316" s="308">
        <v>16633</v>
      </c>
      <c r="C316" s="307" t="s">
        <v>2582</v>
      </c>
      <c r="D316" s="308">
        <v>200</v>
      </c>
    </row>
    <row r="317" spans="1:4" x14ac:dyDescent="0.25">
      <c r="A317" s="304">
        <v>784</v>
      </c>
      <c r="B317" s="308">
        <v>95</v>
      </c>
      <c r="C317" s="307" t="s">
        <v>2581</v>
      </c>
      <c r="D317" s="308">
        <v>201</v>
      </c>
    </row>
    <row r="318" spans="1:4" x14ac:dyDescent="0.25">
      <c r="A318" s="304">
        <v>1108</v>
      </c>
      <c r="B318" s="308" t="s">
        <v>322</v>
      </c>
      <c r="C318" s="307" t="s">
        <v>2580</v>
      </c>
      <c r="D318" s="308">
        <v>209</v>
      </c>
    </row>
    <row r="319" spans="1:4" x14ac:dyDescent="0.25">
      <c r="A319" s="304">
        <v>1029</v>
      </c>
      <c r="B319" s="308" t="s">
        <v>244</v>
      </c>
      <c r="C319" s="307" t="s">
        <v>2579</v>
      </c>
      <c r="D319" s="308">
        <v>210</v>
      </c>
    </row>
    <row r="320" spans="1:4" x14ac:dyDescent="0.25">
      <c r="A320" s="304">
        <v>1043</v>
      </c>
      <c r="B320" s="308" t="s">
        <v>259</v>
      </c>
      <c r="C320" s="307" t="s">
        <v>2578</v>
      </c>
      <c r="D320" s="308">
        <v>216</v>
      </c>
    </row>
    <row r="321" spans="1:4" x14ac:dyDescent="0.25">
      <c r="A321" s="304">
        <v>1030</v>
      </c>
      <c r="B321" s="308" t="s">
        <v>249</v>
      </c>
      <c r="C321" s="307" t="s">
        <v>2577</v>
      </c>
      <c r="D321" s="308">
        <v>234</v>
      </c>
    </row>
    <row r="322" spans="1:4" x14ac:dyDescent="0.25">
      <c r="A322" s="304">
        <v>1058</v>
      </c>
      <c r="B322" s="308" t="s">
        <v>577</v>
      </c>
      <c r="C322" s="307" t="s">
        <v>2576</v>
      </c>
      <c r="D322" s="308">
        <v>237</v>
      </c>
    </row>
    <row r="323" spans="1:4" x14ac:dyDescent="0.25">
      <c r="A323" s="304">
        <v>1092</v>
      </c>
      <c r="B323" s="308" t="s">
        <v>330</v>
      </c>
      <c r="C323" s="307" t="s">
        <v>2575</v>
      </c>
      <c r="D323" s="308">
        <v>248</v>
      </c>
    </row>
    <row r="324" spans="1:4" x14ac:dyDescent="0.25">
      <c r="A324" s="304">
        <v>1199</v>
      </c>
      <c r="B324" s="308" t="s">
        <v>399</v>
      </c>
      <c r="C324" s="307" t="s">
        <v>2574</v>
      </c>
      <c r="D324" s="308">
        <v>292</v>
      </c>
    </row>
    <row r="325" spans="1:4" x14ac:dyDescent="0.25">
      <c r="A325" s="304">
        <v>1059</v>
      </c>
      <c r="B325" s="308" t="s">
        <v>2480</v>
      </c>
      <c r="C325" s="307" t="s">
        <v>2573</v>
      </c>
      <c r="D325" s="308">
        <v>319</v>
      </c>
    </row>
    <row r="326" spans="1:4" x14ac:dyDescent="0.25">
      <c r="A326" s="304">
        <v>1176</v>
      </c>
      <c r="B326" s="308" t="s">
        <v>403</v>
      </c>
      <c r="C326" s="307" t="s">
        <v>2572</v>
      </c>
      <c r="D326" s="308">
        <v>361</v>
      </c>
    </row>
    <row r="327" spans="1:4" x14ac:dyDescent="0.25">
      <c r="A327" s="304">
        <v>1188</v>
      </c>
      <c r="B327" s="308" t="s">
        <v>391</v>
      </c>
      <c r="C327" s="307" t="s">
        <v>2571</v>
      </c>
      <c r="D327" s="308">
        <v>396</v>
      </c>
    </row>
    <row r="328" spans="1:4" x14ac:dyDescent="0.25">
      <c r="A328" s="304">
        <v>1187</v>
      </c>
      <c r="B328" s="308" t="s">
        <v>384</v>
      </c>
      <c r="C328" s="307" t="s">
        <v>2570</v>
      </c>
      <c r="D328" s="308">
        <v>397</v>
      </c>
    </row>
    <row r="329" spans="1:4" x14ac:dyDescent="0.25">
      <c r="A329" s="304">
        <v>1006</v>
      </c>
      <c r="B329" s="308" t="s">
        <v>378</v>
      </c>
      <c r="C329" s="307" t="s">
        <v>2569</v>
      </c>
      <c r="D329" s="308">
        <v>636</v>
      </c>
    </row>
    <row r="330" spans="1:4" x14ac:dyDescent="0.25">
      <c r="A330" s="304">
        <v>1089</v>
      </c>
      <c r="B330" s="308" t="s">
        <v>320</v>
      </c>
      <c r="C330" s="307" t="s">
        <v>2568</v>
      </c>
      <c r="D330" s="308">
        <v>660</v>
      </c>
    </row>
    <row r="331" spans="1:4" x14ac:dyDescent="0.25">
      <c r="A331" s="304">
        <v>1105</v>
      </c>
      <c r="B331" s="308" t="s">
        <v>312</v>
      </c>
      <c r="C331" s="307" t="s">
        <v>2565</v>
      </c>
      <c r="D331" s="306">
        <v>1006</v>
      </c>
    </row>
    <row r="332" spans="1:4" x14ac:dyDescent="0.25">
      <c r="A332" s="304">
        <v>1084</v>
      </c>
      <c r="B332" s="308" t="s">
        <v>2567</v>
      </c>
      <c r="C332" s="307" t="s">
        <v>2566</v>
      </c>
      <c r="D332" s="306">
        <v>1015</v>
      </c>
    </row>
    <row r="333" spans="1:4" x14ac:dyDescent="0.25">
      <c r="A333" s="304">
        <v>1104</v>
      </c>
      <c r="B333" s="308" t="s">
        <v>308</v>
      </c>
      <c r="C333" s="307" t="s">
        <v>2565</v>
      </c>
      <c r="D333" s="306">
        <v>1017</v>
      </c>
    </row>
    <row r="334" spans="1:4" x14ac:dyDescent="0.25">
      <c r="A334" s="304">
        <v>1097</v>
      </c>
      <c r="B334" s="308" t="s">
        <v>317</v>
      </c>
      <c r="C334" s="307" t="s">
        <v>2564</v>
      </c>
      <c r="D334" s="306">
        <v>1320</v>
      </c>
    </row>
    <row r="335" spans="1:4" x14ac:dyDescent="0.25">
      <c r="A335" s="304">
        <v>1115</v>
      </c>
      <c r="B335" s="308" t="s">
        <v>302</v>
      </c>
      <c r="C335" s="307" t="s">
        <v>2561</v>
      </c>
      <c r="D335" s="306">
        <v>1336</v>
      </c>
    </row>
    <row r="336" spans="1:4" x14ac:dyDescent="0.25">
      <c r="A336" s="304">
        <v>1078</v>
      </c>
      <c r="B336" s="308" t="s">
        <v>2563</v>
      </c>
      <c r="C336" s="307" t="s">
        <v>2562</v>
      </c>
      <c r="D336" s="306">
        <v>1620</v>
      </c>
    </row>
    <row r="337" spans="1:4" x14ac:dyDescent="0.25">
      <c r="A337" s="304">
        <v>1116</v>
      </c>
      <c r="B337" s="308" t="s">
        <v>305</v>
      </c>
      <c r="C337" s="307" t="s">
        <v>2561</v>
      </c>
      <c r="D337" s="306">
        <v>2305</v>
      </c>
    </row>
    <row r="338" spans="1:4" x14ac:dyDescent="0.25">
      <c r="A338" s="304">
        <v>1003</v>
      </c>
      <c r="B338" s="308" t="s">
        <v>374</v>
      </c>
      <c r="C338" s="307" t="s">
        <v>2560</v>
      </c>
      <c r="D338" s="306">
        <v>2432</v>
      </c>
    </row>
    <row r="339" spans="1:4" x14ac:dyDescent="0.25">
      <c r="A339" s="304">
        <v>1095</v>
      </c>
      <c r="B339" s="308" t="s">
        <v>315</v>
      </c>
      <c r="C339" s="307" t="s">
        <v>2559</v>
      </c>
      <c r="D339" s="306">
        <v>2987</v>
      </c>
    </row>
    <row r="340" spans="1:4" x14ac:dyDescent="0.25">
      <c r="A340" s="304">
        <v>932</v>
      </c>
      <c r="B340" s="308" t="s">
        <v>2558</v>
      </c>
      <c r="C340" s="307" t="s">
        <v>2557</v>
      </c>
      <c r="D340" s="306">
        <v>11770</v>
      </c>
    </row>
    <row r="341" spans="1:4" x14ac:dyDescent="0.25">
      <c r="A341" s="304">
        <v>1</v>
      </c>
      <c r="B341" s="308">
        <v>10003</v>
      </c>
      <c r="C341" s="307" t="s">
        <v>3963</v>
      </c>
      <c r="D341" s="308"/>
    </row>
    <row r="342" spans="1:4" x14ac:dyDescent="0.25">
      <c r="A342" s="304">
        <v>2</v>
      </c>
      <c r="B342" s="308">
        <v>10052</v>
      </c>
      <c r="C342" s="307" t="s">
        <v>3962</v>
      </c>
      <c r="D342" s="308"/>
    </row>
    <row r="343" spans="1:4" x14ac:dyDescent="0.25">
      <c r="A343" s="304">
        <v>3</v>
      </c>
      <c r="B343" s="308">
        <v>10053</v>
      </c>
      <c r="C343" s="307" t="s">
        <v>3962</v>
      </c>
      <c r="D343" s="308"/>
    </row>
    <row r="344" spans="1:4" x14ac:dyDescent="0.25">
      <c r="A344" s="304">
        <v>9</v>
      </c>
      <c r="B344" s="308">
        <v>101</v>
      </c>
      <c r="C344" s="307" t="s">
        <v>2821</v>
      </c>
      <c r="D344" s="308"/>
    </row>
    <row r="345" spans="1:4" x14ac:dyDescent="0.25">
      <c r="A345" s="304">
        <v>10</v>
      </c>
      <c r="B345" s="308">
        <v>10110</v>
      </c>
      <c r="C345" s="307" t="s">
        <v>3961</v>
      </c>
      <c r="D345" s="308"/>
    </row>
    <row r="346" spans="1:4" x14ac:dyDescent="0.25">
      <c r="A346" s="304">
        <v>11</v>
      </c>
      <c r="B346" s="308">
        <v>10111</v>
      </c>
      <c r="C346" s="307" t="s">
        <v>3960</v>
      </c>
      <c r="D346" s="308"/>
    </row>
    <row r="347" spans="1:4" x14ac:dyDescent="0.25">
      <c r="A347" s="304">
        <v>12</v>
      </c>
      <c r="B347" s="308">
        <v>102</v>
      </c>
      <c r="C347" s="307" t="s">
        <v>3880</v>
      </c>
      <c r="D347" s="308"/>
    </row>
    <row r="348" spans="1:4" x14ac:dyDescent="0.25">
      <c r="A348" s="304">
        <v>13</v>
      </c>
      <c r="B348" s="308">
        <v>103</v>
      </c>
      <c r="C348" s="307" t="s">
        <v>2794</v>
      </c>
      <c r="D348" s="308"/>
    </row>
    <row r="349" spans="1:4" x14ac:dyDescent="0.25">
      <c r="A349" s="304">
        <v>14</v>
      </c>
      <c r="B349" s="308">
        <v>10300</v>
      </c>
      <c r="C349" s="307" t="s">
        <v>3959</v>
      </c>
      <c r="D349" s="308"/>
    </row>
    <row r="350" spans="1:4" x14ac:dyDescent="0.25">
      <c r="A350" s="304">
        <v>15</v>
      </c>
      <c r="B350" s="308">
        <v>10301</v>
      </c>
      <c r="C350" s="307" t="s">
        <v>3958</v>
      </c>
      <c r="D350" s="308"/>
    </row>
    <row r="351" spans="1:4" x14ac:dyDescent="0.25">
      <c r="A351" s="304">
        <v>16</v>
      </c>
      <c r="B351" s="308">
        <v>10302</v>
      </c>
      <c r="C351" s="307" t="s">
        <v>3957</v>
      </c>
      <c r="D351" s="308"/>
    </row>
    <row r="352" spans="1:4" x14ac:dyDescent="0.25">
      <c r="A352" s="304">
        <v>17</v>
      </c>
      <c r="B352" s="308">
        <v>10303</v>
      </c>
      <c r="C352" s="307" t="s">
        <v>2720</v>
      </c>
      <c r="D352" s="308"/>
    </row>
    <row r="353" spans="1:4" x14ac:dyDescent="0.25">
      <c r="A353" s="304">
        <v>18</v>
      </c>
      <c r="B353" s="308">
        <v>10304</v>
      </c>
      <c r="C353" s="307" t="s">
        <v>2731</v>
      </c>
      <c r="D353" s="308"/>
    </row>
    <row r="354" spans="1:4" x14ac:dyDescent="0.25">
      <c r="A354" s="304">
        <v>19</v>
      </c>
      <c r="B354" s="308">
        <v>10305</v>
      </c>
      <c r="C354" s="307" t="s">
        <v>3956</v>
      </c>
      <c r="D354" s="308"/>
    </row>
    <row r="355" spans="1:4" x14ac:dyDescent="0.25">
      <c r="A355" s="304">
        <v>20</v>
      </c>
      <c r="B355" s="308">
        <v>10306</v>
      </c>
      <c r="C355" s="307" t="s">
        <v>3955</v>
      </c>
      <c r="D355" s="308"/>
    </row>
    <row r="356" spans="1:4" x14ac:dyDescent="0.25">
      <c r="A356" s="304">
        <v>21</v>
      </c>
      <c r="B356" s="308">
        <v>10307</v>
      </c>
      <c r="C356" s="307" t="s">
        <v>3954</v>
      </c>
      <c r="D356" s="308"/>
    </row>
    <row r="357" spans="1:4" x14ac:dyDescent="0.25">
      <c r="A357" s="304">
        <v>22</v>
      </c>
      <c r="B357" s="308">
        <v>10308</v>
      </c>
      <c r="C357" s="307" t="s">
        <v>3953</v>
      </c>
      <c r="D357" s="308"/>
    </row>
    <row r="358" spans="1:4" x14ac:dyDescent="0.25">
      <c r="A358" s="304">
        <v>28</v>
      </c>
      <c r="B358" s="308">
        <v>10327</v>
      </c>
      <c r="C358" s="307" t="s">
        <v>3952</v>
      </c>
      <c r="D358" s="308"/>
    </row>
    <row r="359" spans="1:4" x14ac:dyDescent="0.25">
      <c r="A359" s="304">
        <v>32</v>
      </c>
      <c r="B359" s="308">
        <v>10337</v>
      </c>
      <c r="C359" s="307" t="s">
        <v>3951</v>
      </c>
      <c r="D359" s="308"/>
    </row>
    <row r="360" spans="1:4" x14ac:dyDescent="0.25">
      <c r="A360" s="304">
        <v>33</v>
      </c>
      <c r="B360" s="308">
        <v>10338</v>
      </c>
      <c r="C360" s="307" t="s">
        <v>3950</v>
      </c>
      <c r="D360" s="308"/>
    </row>
    <row r="361" spans="1:4" x14ac:dyDescent="0.25">
      <c r="A361" s="304">
        <v>34</v>
      </c>
      <c r="B361" s="308">
        <v>10339</v>
      </c>
      <c r="C361" s="307" t="s">
        <v>3949</v>
      </c>
      <c r="D361" s="308"/>
    </row>
    <row r="362" spans="1:4" x14ac:dyDescent="0.25">
      <c r="A362" s="304">
        <v>35</v>
      </c>
      <c r="B362" s="308">
        <v>10340</v>
      </c>
      <c r="C362" s="307" t="s">
        <v>3948</v>
      </c>
      <c r="D362" s="308"/>
    </row>
    <row r="363" spans="1:4" x14ac:dyDescent="0.25">
      <c r="A363" s="304">
        <v>36</v>
      </c>
      <c r="B363" s="308">
        <v>10341</v>
      </c>
      <c r="C363" s="307" t="s">
        <v>3947</v>
      </c>
      <c r="D363" s="308"/>
    </row>
    <row r="364" spans="1:4" x14ac:dyDescent="0.25">
      <c r="A364" s="304">
        <v>37</v>
      </c>
      <c r="B364" s="308">
        <v>10342</v>
      </c>
      <c r="C364" s="307" t="s">
        <v>3946</v>
      </c>
      <c r="D364" s="308"/>
    </row>
    <row r="365" spans="1:4" x14ac:dyDescent="0.25">
      <c r="A365" s="304">
        <v>42</v>
      </c>
      <c r="B365" s="308">
        <v>10359</v>
      </c>
      <c r="C365" s="307" t="s">
        <v>3945</v>
      </c>
      <c r="D365" s="308"/>
    </row>
    <row r="366" spans="1:4" x14ac:dyDescent="0.25">
      <c r="A366" s="304">
        <v>43</v>
      </c>
      <c r="B366" s="308">
        <v>10360</v>
      </c>
      <c r="C366" s="307" t="s">
        <v>3944</v>
      </c>
      <c r="D366" s="308"/>
    </row>
    <row r="367" spans="1:4" x14ac:dyDescent="0.25">
      <c r="A367" s="304">
        <v>44</v>
      </c>
      <c r="B367" s="308">
        <v>10362</v>
      </c>
      <c r="C367" s="307" t="s">
        <v>3943</v>
      </c>
      <c r="D367" s="308"/>
    </row>
    <row r="368" spans="1:4" x14ac:dyDescent="0.25">
      <c r="A368" s="304">
        <v>45</v>
      </c>
      <c r="B368" s="308">
        <v>10363</v>
      </c>
      <c r="C368" s="307" t="s">
        <v>3942</v>
      </c>
      <c r="D368" s="308"/>
    </row>
    <row r="369" spans="1:4" x14ac:dyDescent="0.25">
      <c r="A369" s="304">
        <v>46</v>
      </c>
      <c r="B369" s="308">
        <v>10364</v>
      </c>
      <c r="C369" s="307" t="s">
        <v>3941</v>
      </c>
      <c r="D369" s="308"/>
    </row>
    <row r="370" spans="1:4" x14ac:dyDescent="0.25">
      <c r="A370" s="304">
        <v>47</v>
      </c>
      <c r="B370" s="308">
        <v>10365</v>
      </c>
      <c r="C370" s="307" t="s">
        <v>3940</v>
      </c>
      <c r="D370" s="308"/>
    </row>
    <row r="371" spans="1:4" x14ac:dyDescent="0.25">
      <c r="A371" s="304">
        <v>48</v>
      </c>
      <c r="B371" s="308">
        <v>10366</v>
      </c>
      <c r="C371" s="307" t="s">
        <v>3939</v>
      </c>
      <c r="D371" s="308"/>
    </row>
    <row r="372" spans="1:4" x14ac:dyDescent="0.25">
      <c r="A372" s="304">
        <v>49</v>
      </c>
      <c r="B372" s="308">
        <v>10368</v>
      </c>
      <c r="C372" s="307" t="s">
        <v>3938</v>
      </c>
      <c r="D372" s="308"/>
    </row>
    <row r="373" spans="1:4" x14ac:dyDescent="0.25">
      <c r="A373" s="304">
        <v>50</v>
      </c>
      <c r="B373" s="308">
        <v>10381</v>
      </c>
      <c r="C373" s="307" t="s">
        <v>3937</v>
      </c>
      <c r="D373" s="308"/>
    </row>
    <row r="374" spans="1:4" x14ac:dyDescent="0.25">
      <c r="A374" s="304">
        <v>51</v>
      </c>
      <c r="B374" s="308">
        <v>10382</v>
      </c>
      <c r="C374" s="307" t="s">
        <v>3936</v>
      </c>
      <c r="D374" s="308"/>
    </row>
    <row r="375" spans="1:4" x14ac:dyDescent="0.25">
      <c r="A375" s="304">
        <v>52</v>
      </c>
      <c r="B375" s="308">
        <v>10383</v>
      </c>
      <c r="C375" s="307" t="s">
        <v>3935</v>
      </c>
      <c r="D375" s="308"/>
    </row>
    <row r="376" spans="1:4" x14ac:dyDescent="0.25">
      <c r="A376" s="304">
        <v>53</v>
      </c>
      <c r="B376" s="308">
        <v>10384</v>
      </c>
      <c r="C376" s="307" t="s">
        <v>3934</v>
      </c>
      <c r="D376" s="308"/>
    </row>
    <row r="377" spans="1:4" x14ac:dyDescent="0.25">
      <c r="A377" s="304">
        <v>54</v>
      </c>
      <c r="B377" s="308">
        <v>10385</v>
      </c>
      <c r="C377" s="307" t="s">
        <v>3933</v>
      </c>
      <c r="D377" s="308"/>
    </row>
    <row r="378" spans="1:4" x14ac:dyDescent="0.25">
      <c r="A378" s="304">
        <v>55</v>
      </c>
      <c r="B378" s="308">
        <v>10387</v>
      </c>
      <c r="C378" s="307" t="s">
        <v>3932</v>
      </c>
      <c r="D378" s="308"/>
    </row>
    <row r="379" spans="1:4" x14ac:dyDescent="0.25">
      <c r="A379" s="304">
        <v>58</v>
      </c>
      <c r="B379" s="308">
        <v>10392</v>
      </c>
      <c r="C379" s="307" t="s">
        <v>3931</v>
      </c>
      <c r="D379" s="308"/>
    </row>
    <row r="380" spans="1:4" x14ac:dyDescent="0.25">
      <c r="A380" s="304">
        <v>59</v>
      </c>
      <c r="B380" s="308">
        <v>10395</v>
      </c>
      <c r="C380" s="307" t="s">
        <v>3930</v>
      </c>
      <c r="D380" s="308"/>
    </row>
    <row r="381" spans="1:4" x14ac:dyDescent="0.25">
      <c r="A381" s="304">
        <v>60</v>
      </c>
      <c r="B381" s="308">
        <v>10396</v>
      </c>
      <c r="C381" s="307" t="s">
        <v>3929</v>
      </c>
      <c r="D381" s="308"/>
    </row>
    <row r="382" spans="1:4" x14ac:dyDescent="0.25">
      <c r="A382" s="304">
        <v>61</v>
      </c>
      <c r="B382" s="308">
        <v>10397</v>
      </c>
      <c r="C382" s="307" t="s">
        <v>3928</v>
      </c>
      <c r="D382" s="308"/>
    </row>
    <row r="383" spans="1:4" x14ac:dyDescent="0.25">
      <c r="A383" s="304">
        <v>62</v>
      </c>
      <c r="B383" s="308">
        <v>10398</v>
      </c>
      <c r="C383" s="307" t="s">
        <v>3927</v>
      </c>
      <c r="D383" s="308"/>
    </row>
    <row r="384" spans="1:4" x14ac:dyDescent="0.25">
      <c r="A384" s="304">
        <v>64</v>
      </c>
      <c r="B384" s="308">
        <v>10404</v>
      </c>
      <c r="C384" s="307" t="s">
        <v>2757</v>
      </c>
      <c r="D384" s="308"/>
    </row>
    <row r="385" spans="1:4" x14ac:dyDescent="0.25">
      <c r="A385" s="304">
        <v>65</v>
      </c>
      <c r="B385" s="308">
        <v>10405</v>
      </c>
      <c r="C385" s="307" t="s">
        <v>2757</v>
      </c>
      <c r="D385" s="308"/>
    </row>
    <row r="386" spans="1:4" x14ac:dyDescent="0.25">
      <c r="A386" s="304">
        <v>67</v>
      </c>
      <c r="B386" s="308">
        <v>10407</v>
      </c>
      <c r="C386" s="307" t="s">
        <v>3926</v>
      </c>
      <c r="D386" s="308"/>
    </row>
    <row r="387" spans="1:4" x14ac:dyDescent="0.25">
      <c r="A387" s="304">
        <v>68</v>
      </c>
      <c r="B387" s="308">
        <v>10408</v>
      </c>
      <c r="C387" s="307" t="s">
        <v>3925</v>
      </c>
      <c r="D387" s="308"/>
    </row>
    <row r="388" spans="1:4" x14ac:dyDescent="0.25">
      <c r="A388" s="304">
        <v>69</v>
      </c>
      <c r="B388" s="308">
        <v>10409</v>
      </c>
      <c r="C388" s="307" t="s">
        <v>3924</v>
      </c>
      <c r="D388" s="308"/>
    </row>
    <row r="389" spans="1:4" x14ac:dyDescent="0.25">
      <c r="A389" s="304">
        <v>70</v>
      </c>
      <c r="B389" s="308">
        <v>10410</v>
      </c>
      <c r="C389" s="307" t="s">
        <v>3923</v>
      </c>
      <c r="D389" s="308"/>
    </row>
    <row r="390" spans="1:4" x14ac:dyDescent="0.25">
      <c r="A390" s="304">
        <v>71</v>
      </c>
      <c r="B390" s="308">
        <v>10412</v>
      </c>
      <c r="C390" s="307" t="s">
        <v>3922</v>
      </c>
      <c r="D390" s="308"/>
    </row>
    <row r="391" spans="1:4" x14ac:dyDescent="0.25">
      <c r="A391" s="304">
        <v>72</v>
      </c>
      <c r="B391" s="308">
        <v>10413</v>
      </c>
      <c r="C391" s="307" t="s">
        <v>3921</v>
      </c>
      <c r="D391" s="308"/>
    </row>
    <row r="392" spans="1:4" x14ac:dyDescent="0.25">
      <c r="A392" s="304">
        <v>73</v>
      </c>
      <c r="B392" s="308">
        <v>10414</v>
      </c>
      <c r="C392" s="307" t="s">
        <v>3920</v>
      </c>
      <c r="D392" s="308"/>
    </row>
    <row r="393" spans="1:4" x14ac:dyDescent="0.25">
      <c r="A393" s="304">
        <v>74</v>
      </c>
      <c r="B393" s="308">
        <v>10415</v>
      </c>
      <c r="C393" s="307" t="s">
        <v>3919</v>
      </c>
      <c r="D393" s="308"/>
    </row>
    <row r="394" spans="1:4" x14ac:dyDescent="0.25">
      <c r="A394" s="304">
        <v>75</v>
      </c>
      <c r="B394" s="308">
        <v>10416</v>
      </c>
      <c r="C394" s="307" t="s">
        <v>3918</v>
      </c>
      <c r="D394" s="308"/>
    </row>
    <row r="395" spans="1:4" x14ac:dyDescent="0.25">
      <c r="A395" s="304">
        <v>76</v>
      </c>
      <c r="B395" s="308">
        <v>10417</v>
      </c>
      <c r="C395" s="307" t="s">
        <v>3917</v>
      </c>
      <c r="D395" s="308"/>
    </row>
    <row r="396" spans="1:4" x14ac:dyDescent="0.25">
      <c r="A396" s="304">
        <v>78</v>
      </c>
      <c r="B396" s="308">
        <v>10423</v>
      </c>
      <c r="C396" s="307" t="s">
        <v>3916</v>
      </c>
      <c r="D396" s="308"/>
    </row>
    <row r="397" spans="1:4" x14ac:dyDescent="0.25">
      <c r="A397" s="304">
        <v>79</v>
      </c>
      <c r="B397" s="308">
        <v>10426</v>
      </c>
      <c r="C397" s="307" t="s">
        <v>3915</v>
      </c>
      <c r="D397" s="308"/>
    </row>
    <row r="398" spans="1:4" x14ac:dyDescent="0.25">
      <c r="A398" s="304">
        <v>81</v>
      </c>
      <c r="B398" s="308">
        <v>10429</v>
      </c>
      <c r="C398" s="307" t="s">
        <v>3914</v>
      </c>
      <c r="D398" s="308"/>
    </row>
    <row r="399" spans="1:4" x14ac:dyDescent="0.25">
      <c r="A399" s="304">
        <v>83</v>
      </c>
      <c r="B399" s="308">
        <v>10432</v>
      </c>
      <c r="C399" s="307" t="s">
        <v>3913</v>
      </c>
      <c r="D399" s="308"/>
    </row>
    <row r="400" spans="1:4" x14ac:dyDescent="0.25">
      <c r="A400" s="304">
        <v>85</v>
      </c>
      <c r="B400" s="308">
        <v>10434</v>
      </c>
      <c r="C400" s="307" t="s">
        <v>3912</v>
      </c>
      <c r="D400" s="308"/>
    </row>
    <row r="401" spans="1:4" x14ac:dyDescent="0.25">
      <c r="A401" s="304">
        <v>86</v>
      </c>
      <c r="B401" s="308">
        <v>10435</v>
      </c>
      <c r="C401" s="307" t="s">
        <v>3911</v>
      </c>
      <c r="D401" s="308"/>
    </row>
    <row r="402" spans="1:4" x14ac:dyDescent="0.25">
      <c r="A402" s="304">
        <v>87</v>
      </c>
      <c r="B402" s="308">
        <v>10436</v>
      </c>
      <c r="C402" s="307" t="s">
        <v>3910</v>
      </c>
      <c r="D402" s="308"/>
    </row>
    <row r="403" spans="1:4" x14ac:dyDescent="0.25">
      <c r="A403" s="304">
        <v>88</v>
      </c>
      <c r="B403" s="308">
        <v>10437</v>
      </c>
      <c r="C403" s="307" t="s">
        <v>3909</v>
      </c>
      <c r="D403" s="308"/>
    </row>
    <row r="404" spans="1:4" x14ac:dyDescent="0.25">
      <c r="A404" s="304">
        <v>89</v>
      </c>
      <c r="B404" s="308">
        <v>10438</v>
      </c>
      <c r="C404" s="307" t="s">
        <v>3908</v>
      </c>
      <c r="D404" s="308"/>
    </row>
    <row r="405" spans="1:4" x14ac:dyDescent="0.25">
      <c r="A405" s="304">
        <v>91</v>
      </c>
      <c r="B405" s="308">
        <v>10440</v>
      </c>
      <c r="C405" s="307" t="s">
        <v>3907</v>
      </c>
      <c r="D405" s="308"/>
    </row>
    <row r="406" spans="1:4" x14ac:dyDescent="0.25">
      <c r="A406" s="304">
        <v>92</v>
      </c>
      <c r="B406" s="308">
        <v>10459</v>
      </c>
      <c r="C406" s="307" t="s">
        <v>3906</v>
      </c>
      <c r="D406" s="308"/>
    </row>
    <row r="407" spans="1:4" x14ac:dyDescent="0.25">
      <c r="A407" s="304">
        <v>94</v>
      </c>
      <c r="B407" s="308">
        <v>10602</v>
      </c>
      <c r="C407" s="307" t="s">
        <v>3905</v>
      </c>
      <c r="D407" s="308"/>
    </row>
    <row r="408" spans="1:4" x14ac:dyDescent="0.25">
      <c r="A408" s="304">
        <v>95</v>
      </c>
      <c r="B408" s="308">
        <v>10603</v>
      </c>
      <c r="C408" s="307" t="s">
        <v>2766</v>
      </c>
      <c r="D408" s="308"/>
    </row>
    <row r="409" spans="1:4" x14ac:dyDescent="0.25">
      <c r="A409" s="304">
        <v>96</v>
      </c>
      <c r="B409" s="308">
        <v>10604</v>
      </c>
      <c r="C409" s="307" t="s">
        <v>2791</v>
      </c>
      <c r="D409" s="308"/>
    </row>
    <row r="410" spans="1:4" x14ac:dyDescent="0.25">
      <c r="A410" s="304">
        <v>97</v>
      </c>
      <c r="B410" s="308">
        <v>10605</v>
      </c>
      <c r="C410" s="307" t="s">
        <v>3904</v>
      </c>
      <c r="D410" s="308"/>
    </row>
    <row r="411" spans="1:4" x14ac:dyDescent="0.25">
      <c r="A411" s="304">
        <v>99</v>
      </c>
      <c r="B411" s="308">
        <v>10607</v>
      </c>
      <c r="C411" s="307" t="s">
        <v>2998</v>
      </c>
      <c r="D411" s="308"/>
    </row>
    <row r="412" spans="1:4" x14ac:dyDescent="0.25">
      <c r="A412" s="304">
        <v>100</v>
      </c>
      <c r="B412" s="308">
        <v>10608</v>
      </c>
      <c r="C412" s="307" t="s">
        <v>3903</v>
      </c>
      <c r="D412" s="308"/>
    </row>
    <row r="413" spans="1:4" x14ac:dyDescent="0.25">
      <c r="A413" s="304">
        <v>102</v>
      </c>
      <c r="B413" s="308">
        <v>10630</v>
      </c>
      <c r="C413" s="307" t="s">
        <v>3902</v>
      </c>
      <c r="D413" s="308"/>
    </row>
    <row r="414" spans="1:4" x14ac:dyDescent="0.25">
      <c r="A414" s="304">
        <v>103</v>
      </c>
      <c r="B414" s="308">
        <v>10634</v>
      </c>
      <c r="C414" s="307" t="s">
        <v>3901</v>
      </c>
      <c r="D414" s="308"/>
    </row>
    <row r="415" spans="1:4" x14ac:dyDescent="0.25">
      <c r="A415" s="304">
        <v>104</v>
      </c>
      <c r="B415" s="308">
        <v>10636</v>
      </c>
      <c r="C415" s="307" t="s">
        <v>3900</v>
      </c>
      <c r="D415" s="308"/>
    </row>
    <row r="416" spans="1:4" x14ac:dyDescent="0.25">
      <c r="A416" s="304">
        <v>105</v>
      </c>
      <c r="B416" s="308">
        <v>10637</v>
      </c>
      <c r="C416" s="307" t="s">
        <v>3899</v>
      </c>
      <c r="D416" s="308"/>
    </row>
    <row r="417" spans="1:4" x14ac:dyDescent="0.25">
      <c r="A417" s="304">
        <v>107</v>
      </c>
      <c r="B417" s="308">
        <v>10639</v>
      </c>
      <c r="C417" s="307" t="s">
        <v>3898</v>
      </c>
      <c r="D417" s="308"/>
    </row>
    <row r="418" spans="1:4" x14ac:dyDescent="0.25">
      <c r="A418" s="304">
        <v>108</v>
      </c>
      <c r="B418" s="308">
        <v>10640</v>
      </c>
      <c r="C418" s="307" t="s">
        <v>3897</v>
      </c>
      <c r="D418" s="308"/>
    </row>
    <row r="419" spans="1:4" x14ac:dyDescent="0.25">
      <c r="A419" s="304">
        <v>110</v>
      </c>
      <c r="B419" s="308">
        <v>10652</v>
      </c>
      <c r="C419" s="307" t="s">
        <v>3896</v>
      </c>
      <c r="D419" s="308"/>
    </row>
    <row r="420" spans="1:4" x14ac:dyDescent="0.25">
      <c r="A420" s="304">
        <v>111</v>
      </c>
      <c r="B420" s="308">
        <v>10653</v>
      </c>
      <c r="C420" s="307" t="s">
        <v>3895</v>
      </c>
      <c r="D420" s="308"/>
    </row>
    <row r="421" spans="1:4" x14ac:dyDescent="0.25">
      <c r="A421" s="304">
        <v>115</v>
      </c>
      <c r="B421" s="308">
        <v>10683</v>
      </c>
      <c r="C421" s="307" t="s">
        <v>3894</v>
      </c>
      <c r="D421" s="308"/>
    </row>
    <row r="422" spans="1:4" x14ac:dyDescent="0.25">
      <c r="A422" s="304">
        <v>116</v>
      </c>
      <c r="B422" s="308">
        <v>10684</v>
      </c>
      <c r="C422" s="307" t="s">
        <v>3893</v>
      </c>
      <c r="D422" s="308"/>
    </row>
    <row r="423" spans="1:4" x14ac:dyDescent="0.25">
      <c r="A423" s="304">
        <v>117</v>
      </c>
      <c r="B423" s="308">
        <v>10685</v>
      </c>
      <c r="C423" s="307" t="s">
        <v>3892</v>
      </c>
      <c r="D423" s="308"/>
    </row>
    <row r="424" spans="1:4" x14ac:dyDescent="0.25">
      <c r="A424" s="304">
        <v>118</v>
      </c>
      <c r="B424" s="308">
        <v>10686</v>
      </c>
      <c r="C424" s="307" t="s">
        <v>3891</v>
      </c>
      <c r="D424" s="308"/>
    </row>
    <row r="425" spans="1:4" x14ac:dyDescent="0.25">
      <c r="A425" s="304">
        <v>119</v>
      </c>
      <c r="B425" s="308">
        <v>10688</v>
      </c>
      <c r="C425" s="307" t="s">
        <v>3890</v>
      </c>
      <c r="D425" s="308"/>
    </row>
    <row r="426" spans="1:4" x14ac:dyDescent="0.25">
      <c r="A426" s="304">
        <v>120</v>
      </c>
      <c r="B426" s="308">
        <v>10691</v>
      </c>
      <c r="C426" s="307" t="s">
        <v>2854</v>
      </c>
      <c r="D426" s="308"/>
    </row>
    <row r="427" spans="1:4" x14ac:dyDescent="0.25">
      <c r="A427" s="304">
        <v>121</v>
      </c>
      <c r="B427" s="308">
        <v>10695</v>
      </c>
      <c r="C427" s="307" t="s">
        <v>3889</v>
      </c>
      <c r="D427" s="308"/>
    </row>
    <row r="428" spans="1:4" x14ac:dyDescent="0.25">
      <c r="A428" s="304">
        <v>122</v>
      </c>
      <c r="B428" s="308">
        <v>10698</v>
      </c>
      <c r="C428" s="307" t="s">
        <v>3888</v>
      </c>
      <c r="D428" s="308"/>
    </row>
    <row r="429" spans="1:4" x14ac:dyDescent="0.25">
      <c r="A429" s="304">
        <v>125</v>
      </c>
      <c r="B429" s="308">
        <v>10710</v>
      </c>
      <c r="C429" s="307" t="s">
        <v>3887</v>
      </c>
      <c r="D429" s="308"/>
    </row>
    <row r="430" spans="1:4" x14ac:dyDescent="0.25">
      <c r="A430" s="304">
        <v>128</v>
      </c>
      <c r="B430" s="308">
        <v>10718</v>
      </c>
      <c r="C430" s="307" t="s">
        <v>3886</v>
      </c>
      <c r="D430" s="308"/>
    </row>
    <row r="431" spans="1:4" x14ac:dyDescent="0.25">
      <c r="A431" s="304">
        <v>130</v>
      </c>
      <c r="B431" s="308">
        <v>10726</v>
      </c>
      <c r="C431" s="307" t="s">
        <v>3885</v>
      </c>
      <c r="D431" s="308"/>
    </row>
    <row r="432" spans="1:4" x14ac:dyDescent="0.25">
      <c r="A432" s="304">
        <v>131</v>
      </c>
      <c r="B432" s="308">
        <v>10733</v>
      </c>
      <c r="C432" s="307" t="s">
        <v>3884</v>
      </c>
      <c r="D432" s="308"/>
    </row>
    <row r="433" spans="1:4" x14ac:dyDescent="0.25">
      <c r="A433" s="304">
        <v>132</v>
      </c>
      <c r="B433" s="308">
        <v>10734</v>
      </c>
      <c r="C433" s="307" t="s">
        <v>3883</v>
      </c>
      <c r="D433" s="308"/>
    </row>
    <row r="434" spans="1:4" x14ac:dyDescent="0.25">
      <c r="A434" s="304">
        <v>134</v>
      </c>
      <c r="B434" s="308">
        <v>10740</v>
      </c>
      <c r="C434" s="307" t="s">
        <v>3882</v>
      </c>
      <c r="D434" s="308"/>
    </row>
    <row r="435" spans="1:4" x14ac:dyDescent="0.25">
      <c r="A435" s="304">
        <v>135</v>
      </c>
      <c r="B435" s="308">
        <v>10759</v>
      </c>
      <c r="C435" s="307" t="s">
        <v>3881</v>
      </c>
      <c r="D435" s="308"/>
    </row>
    <row r="436" spans="1:4" x14ac:dyDescent="0.25">
      <c r="A436" s="304">
        <v>136</v>
      </c>
      <c r="B436" s="308">
        <v>108</v>
      </c>
      <c r="C436" s="307" t="s">
        <v>3880</v>
      </c>
      <c r="D436" s="308"/>
    </row>
    <row r="437" spans="1:4" x14ac:dyDescent="0.25">
      <c r="A437" s="304">
        <v>138</v>
      </c>
      <c r="B437" s="308">
        <v>1090</v>
      </c>
      <c r="C437" s="307" t="s">
        <v>3879</v>
      </c>
      <c r="D437" s="308"/>
    </row>
    <row r="438" spans="1:4" x14ac:dyDescent="0.25">
      <c r="A438" s="304">
        <v>143</v>
      </c>
      <c r="B438" s="308">
        <v>1091</v>
      </c>
      <c r="C438" s="307" t="s">
        <v>3878</v>
      </c>
      <c r="D438" s="308"/>
    </row>
    <row r="439" spans="1:4" x14ac:dyDescent="0.25">
      <c r="A439" s="304">
        <v>145</v>
      </c>
      <c r="B439" s="308">
        <v>10915</v>
      </c>
      <c r="C439" s="307" t="s">
        <v>3877</v>
      </c>
      <c r="D439" s="308"/>
    </row>
    <row r="440" spans="1:4" x14ac:dyDescent="0.25">
      <c r="A440" s="304">
        <v>147</v>
      </c>
      <c r="B440" s="308">
        <v>10917</v>
      </c>
      <c r="C440" s="307" t="s">
        <v>3876</v>
      </c>
      <c r="D440" s="308"/>
    </row>
    <row r="441" spans="1:4" x14ac:dyDescent="0.25">
      <c r="A441" s="304">
        <v>148</v>
      </c>
      <c r="B441" s="308">
        <v>10918</v>
      </c>
      <c r="C441" s="307" t="s">
        <v>3875</v>
      </c>
      <c r="D441" s="308"/>
    </row>
    <row r="442" spans="1:4" x14ac:dyDescent="0.25">
      <c r="A442" s="304">
        <v>150</v>
      </c>
      <c r="B442" s="308">
        <v>10923</v>
      </c>
      <c r="C442" s="307" t="s">
        <v>3874</v>
      </c>
      <c r="D442" s="308"/>
    </row>
    <row r="443" spans="1:4" x14ac:dyDescent="0.25">
      <c r="A443" s="304">
        <v>151</v>
      </c>
      <c r="B443" s="308">
        <v>10926</v>
      </c>
      <c r="C443" s="307" t="s">
        <v>3873</v>
      </c>
      <c r="D443" s="308"/>
    </row>
    <row r="444" spans="1:4" x14ac:dyDescent="0.25">
      <c r="A444" s="304">
        <v>152</v>
      </c>
      <c r="B444" s="308">
        <v>10929</v>
      </c>
      <c r="C444" s="307" t="s">
        <v>3872</v>
      </c>
      <c r="D444" s="308"/>
    </row>
    <row r="445" spans="1:4" x14ac:dyDescent="0.25">
      <c r="A445" s="304">
        <v>154</v>
      </c>
      <c r="B445" s="308">
        <v>10932</v>
      </c>
      <c r="C445" s="307" t="s">
        <v>3871</v>
      </c>
      <c r="D445" s="308"/>
    </row>
    <row r="446" spans="1:4" x14ac:dyDescent="0.25">
      <c r="A446" s="304">
        <v>155</v>
      </c>
      <c r="B446" s="308">
        <v>10933</v>
      </c>
      <c r="C446" s="307" t="s">
        <v>3870</v>
      </c>
      <c r="D446" s="308"/>
    </row>
    <row r="447" spans="1:4" x14ac:dyDescent="0.25">
      <c r="A447" s="304">
        <v>157</v>
      </c>
      <c r="B447" s="308">
        <v>10937</v>
      </c>
      <c r="C447" s="307" t="s">
        <v>3869</v>
      </c>
      <c r="D447" s="308"/>
    </row>
    <row r="448" spans="1:4" x14ac:dyDescent="0.25">
      <c r="A448" s="304">
        <v>159</v>
      </c>
      <c r="B448" s="308">
        <v>10941</v>
      </c>
      <c r="C448" s="307" t="s">
        <v>3868</v>
      </c>
      <c r="D448" s="308"/>
    </row>
    <row r="449" spans="1:4" x14ac:dyDescent="0.25">
      <c r="A449" s="304">
        <v>160</v>
      </c>
      <c r="B449" s="308">
        <v>10943</v>
      </c>
      <c r="C449" s="307" t="s">
        <v>3867</v>
      </c>
      <c r="D449" s="308"/>
    </row>
    <row r="450" spans="1:4" x14ac:dyDescent="0.25">
      <c r="A450" s="304">
        <v>162</v>
      </c>
      <c r="B450" s="308">
        <v>1098</v>
      </c>
      <c r="C450" s="307" t="s">
        <v>2759</v>
      </c>
      <c r="D450" s="308"/>
    </row>
    <row r="451" spans="1:4" x14ac:dyDescent="0.25">
      <c r="A451" s="304">
        <v>163</v>
      </c>
      <c r="B451" s="308">
        <v>1099</v>
      </c>
      <c r="C451" s="307" t="s">
        <v>3866</v>
      </c>
      <c r="D451" s="308"/>
    </row>
    <row r="452" spans="1:4" x14ac:dyDescent="0.25">
      <c r="A452" s="304">
        <v>164</v>
      </c>
      <c r="B452" s="308">
        <v>11</v>
      </c>
      <c r="C452" s="307" t="s">
        <v>3465</v>
      </c>
      <c r="D452" s="308"/>
    </row>
    <row r="453" spans="1:4" x14ac:dyDescent="0.25">
      <c r="A453" s="304">
        <v>166</v>
      </c>
      <c r="B453" s="308">
        <v>1108</v>
      </c>
      <c r="C453" s="307" t="s">
        <v>2871</v>
      </c>
      <c r="D453" s="308"/>
    </row>
    <row r="454" spans="1:4" x14ac:dyDescent="0.25">
      <c r="A454" s="304">
        <v>167</v>
      </c>
      <c r="B454" s="308">
        <v>11104</v>
      </c>
      <c r="C454" s="307" t="s">
        <v>3865</v>
      </c>
      <c r="D454" s="308"/>
    </row>
    <row r="455" spans="1:4" x14ac:dyDescent="0.25">
      <c r="A455" s="304">
        <v>171</v>
      </c>
      <c r="B455" s="308">
        <v>11117</v>
      </c>
      <c r="C455" s="307" t="s">
        <v>3864</v>
      </c>
      <c r="D455" s="308"/>
    </row>
    <row r="456" spans="1:4" x14ac:dyDescent="0.25">
      <c r="A456" s="304">
        <v>173</v>
      </c>
      <c r="B456" s="308">
        <v>11129</v>
      </c>
      <c r="C456" s="307" t="s">
        <v>3863</v>
      </c>
      <c r="D456" s="308"/>
    </row>
    <row r="457" spans="1:4" x14ac:dyDescent="0.25">
      <c r="A457" s="304">
        <v>176</v>
      </c>
      <c r="B457" s="308">
        <v>11143</v>
      </c>
      <c r="C457" s="307" t="s">
        <v>3862</v>
      </c>
      <c r="D457" s="308"/>
    </row>
    <row r="458" spans="1:4" x14ac:dyDescent="0.25">
      <c r="A458" s="304">
        <v>178</v>
      </c>
      <c r="B458" s="308">
        <v>11145</v>
      </c>
      <c r="C458" s="307" t="s">
        <v>3861</v>
      </c>
      <c r="D458" s="308"/>
    </row>
    <row r="459" spans="1:4" x14ac:dyDescent="0.25">
      <c r="A459" s="304">
        <v>181</v>
      </c>
      <c r="B459" s="308">
        <v>1135</v>
      </c>
      <c r="C459" s="307" t="s">
        <v>3856</v>
      </c>
      <c r="D459" s="308"/>
    </row>
    <row r="460" spans="1:4" x14ac:dyDescent="0.25">
      <c r="A460" s="304">
        <v>182</v>
      </c>
      <c r="B460" s="308">
        <v>1136</v>
      </c>
      <c r="C460" s="307" t="s">
        <v>3860</v>
      </c>
      <c r="D460" s="308"/>
    </row>
    <row r="461" spans="1:4" x14ac:dyDescent="0.25">
      <c r="A461" s="304">
        <v>183</v>
      </c>
      <c r="B461" s="308">
        <v>1137</v>
      </c>
      <c r="C461" s="307" t="s">
        <v>3859</v>
      </c>
      <c r="D461" s="308"/>
    </row>
    <row r="462" spans="1:4" x14ac:dyDescent="0.25">
      <c r="A462" s="304">
        <v>184</v>
      </c>
      <c r="B462" s="308">
        <v>1138</v>
      </c>
      <c r="C462" s="307" t="s">
        <v>3858</v>
      </c>
      <c r="D462" s="308"/>
    </row>
    <row r="463" spans="1:4" x14ac:dyDescent="0.25">
      <c r="A463" s="304">
        <v>185</v>
      </c>
      <c r="B463" s="308">
        <v>1139</v>
      </c>
      <c r="C463" s="307" t="s">
        <v>3857</v>
      </c>
      <c r="D463" s="308"/>
    </row>
    <row r="464" spans="1:4" x14ac:dyDescent="0.25">
      <c r="A464" s="304">
        <v>186</v>
      </c>
      <c r="B464" s="308">
        <v>1140</v>
      </c>
      <c r="C464" s="307" t="s">
        <v>3856</v>
      </c>
      <c r="D464" s="308"/>
    </row>
    <row r="465" spans="1:4" x14ac:dyDescent="0.25">
      <c r="A465" s="304">
        <v>187</v>
      </c>
      <c r="B465" s="308">
        <v>1143</v>
      </c>
      <c r="C465" s="307" t="s">
        <v>3855</v>
      </c>
      <c r="D465" s="308"/>
    </row>
    <row r="466" spans="1:4" x14ac:dyDescent="0.25">
      <c r="A466" s="304">
        <v>188</v>
      </c>
      <c r="B466" s="308">
        <v>1146</v>
      </c>
      <c r="C466" s="307" t="s">
        <v>3854</v>
      </c>
      <c r="D466" s="308"/>
    </row>
    <row r="467" spans="1:4" x14ac:dyDescent="0.25">
      <c r="A467" s="304">
        <v>189</v>
      </c>
      <c r="B467" s="308">
        <v>1152</v>
      </c>
      <c r="C467" s="307" t="s">
        <v>3853</v>
      </c>
      <c r="D467" s="308"/>
    </row>
    <row r="468" spans="1:4" x14ac:dyDescent="0.25">
      <c r="A468" s="304">
        <v>190</v>
      </c>
      <c r="B468" s="308">
        <v>1167</v>
      </c>
      <c r="C468" s="307" t="s">
        <v>3852</v>
      </c>
      <c r="D468" s="308"/>
    </row>
    <row r="469" spans="1:4" x14ac:dyDescent="0.25">
      <c r="A469" s="304">
        <v>191</v>
      </c>
      <c r="B469" s="308">
        <v>1194</v>
      </c>
      <c r="C469" s="307" t="s">
        <v>3851</v>
      </c>
      <c r="D469" s="308"/>
    </row>
    <row r="470" spans="1:4" x14ac:dyDescent="0.25">
      <c r="A470" s="304">
        <v>192</v>
      </c>
      <c r="B470" s="308">
        <v>1197</v>
      </c>
      <c r="C470" s="307" t="s">
        <v>3850</v>
      </c>
      <c r="D470" s="308"/>
    </row>
    <row r="471" spans="1:4" x14ac:dyDescent="0.25">
      <c r="A471" s="304">
        <v>193</v>
      </c>
      <c r="B471" s="308">
        <v>1198</v>
      </c>
      <c r="C471" s="307" t="s">
        <v>3132</v>
      </c>
      <c r="D471" s="308"/>
    </row>
    <row r="472" spans="1:4" x14ac:dyDescent="0.25">
      <c r="A472" s="304">
        <v>194</v>
      </c>
      <c r="B472" s="308">
        <v>1199</v>
      </c>
      <c r="C472" s="307" t="s">
        <v>3849</v>
      </c>
      <c r="D472" s="308"/>
    </row>
    <row r="473" spans="1:4" x14ac:dyDescent="0.25">
      <c r="A473" s="304">
        <v>195</v>
      </c>
      <c r="B473" s="308">
        <v>1202</v>
      </c>
      <c r="C473" s="307" t="s">
        <v>3848</v>
      </c>
      <c r="D473" s="308"/>
    </row>
    <row r="474" spans="1:4" x14ac:dyDescent="0.25">
      <c r="A474" s="304">
        <v>196</v>
      </c>
      <c r="B474" s="308">
        <v>1208</v>
      </c>
      <c r="C474" s="307" t="s">
        <v>3847</v>
      </c>
      <c r="D474" s="308"/>
    </row>
    <row r="475" spans="1:4" x14ac:dyDescent="0.25">
      <c r="A475" s="304">
        <v>197</v>
      </c>
      <c r="B475" s="308">
        <v>1212</v>
      </c>
      <c r="C475" s="307" t="s">
        <v>3846</v>
      </c>
      <c r="D475" s="308"/>
    </row>
    <row r="476" spans="1:4" x14ac:dyDescent="0.25">
      <c r="A476" s="304">
        <v>198</v>
      </c>
      <c r="B476" s="308">
        <v>1213</v>
      </c>
      <c r="C476" s="307" t="s">
        <v>3845</v>
      </c>
      <c r="D476" s="308"/>
    </row>
    <row r="477" spans="1:4" x14ac:dyDescent="0.25">
      <c r="A477" s="304">
        <v>199</v>
      </c>
      <c r="B477" s="308">
        <v>1214</v>
      </c>
      <c r="C477" s="307" t="s">
        <v>2801</v>
      </c>
      <c r="D477" s="308"/>
    </row>
    <row r="478" spans="1:4" x14ac:dyDescent="0.25">
      <c r="A478" s="304">
        <v>200</v>
      </c>
      <c r="B478" s="308">
        <v>1215</v>
      </c>
      <c r="C478" s="307" t="s">
        <v>3844</v>
      </c>
      <c r="D478" s="308"/>
    </row>
    <row r="479" spans="1:4" x14ac:dyDescent="0.25">
      <c r="A479" s="304">
        <v>201</v>
      </c>
      <c r="B479" s="308">
        <v>1217</v>
      </c>
      <c r="C479" s="307" t="s">
        <v>3843</v>
      </c>
      <c r="D479" s="308"/>
    </row>
    <row r="480" spans="1:4" x14ac:dyDescent="0.25">
      <c r="A480" s="304">
        <v>203</v>
      </c>
      <c r="B480" s="308">
        <v>1221</v>
      </c>
      <c r="C480" s="307" t="s">
        <v>3842</v>
      </c>
      <c r="D480" s="308"/>
    </row>
    <row r="481" spans="1:4" x14ac:dyDescent="0.25">
      <c r="A481" s="304">
        <v>204</v>
      </c>
      <c r="B481" s="308">
        <v>1224</v>
      </c>
      <c r="C481" s="307" t="s">
        <v>3608</v>
      </c>
      <c r="D481" s="308"/>
    </row>
    <row r="482" spans="1:4" x14ac:dyDescent="0.25">
      <c r="A482" s="304">
        <v>206</v>
      </c>
      <c r="B482" s="308">
        <v>1232</v>
      </c>
      <c r="C482" s="307" t="s">
        <v>3638</v>
      </c>
      <c r="D482" s="308"/>
    </row>
    <row r="483" spans="1:4" x14ac:dyDescent="0.25">
      <c r="A483" s="304">
        <v>207</v>
      </c>
      <c r="B483" s="308">
        <v>124</v>
      </c>
      <c r="C483" s="307" t="s">
        <v>3841</v>
      </c>
      <c r="D483" s="308"/>
    </row>
    <row r="484" spans="1:4" x14ac:dyDescent="0.25">
      <c r="A484" s="304">
        <v>208</v>
      </c>
      <c r="B484" s="308">
        <v>1243</v>
      </c>
      <c r="C484" s="307" t="s">
        <v>3638</v>
      </c>
      <c r="D484" s="308"/>
    </row>
    <row r="485" spans="1:4" x14ac:dyDescent="0.25">
      <c r="A485" s="304">
        <v>209</v>
      </c>
      <c r="B485" s="308">
        <v>1247</v>
      </c>
      <c r="C485" s="307" t="s">
        <v>3750</v>
      </c>
      <c r="D485" s="308"/>
    </row>
    <row r="486" spans="1:4" x14ac:dyDescent="0.25">
      <c r="A486" s="304">
        <v>210</v>
      </c>
      <c r="B486" s="308">
        <v>1248</v>
      </c>
      <c r="C486" s="307" t="s">
        <v>3638</v>
      </c>
      <c r="D486" s="308"/>
    </row>
    <row r="487" spans="1:4" x14ac:dyDescent="0.25">
      <c r="A487" s="304">
        <v>211</v>
      </c>
      <c r="B487" s="308">
        <v>1255</v>
      </c>
      <c r="C487" s="307" t="s">
        <v>3440</v>
      </c>
      <c r="D487" s="308"/>
    </row>
    <row r="488" spans="1:4" x14ac:dyDescent="0.25">
      <c r="A488" s="304">
        <v>212</v>
      </c>
      <c r="B488" s="308">
        <v>1257</v>
      </c>
      <c r="C488" s="307" t="s">
        <v>3440</v>
      </c>
      <c r="D488" s="308"/>
    </row>
    <row r="489" spans="1:4" x14ac:dyDescent="0.25">
      <c r="A489" s="304">
        <v>213</v>
      </c>
      <c r="B489" s="308">
        <v>126</v>
      </c>
      <c r="C489" s="307" t="s">
        <v>3840</v>
      </c>
      <c r="D489" s="308"/>
    </row>
    <row r="490" spans="1:4" x14ac:dyDescent="0.25">
      <c r="A490" s="304">
        <v>214</v>
      </c>
      <c r="B490" s="308">
        <v>1260</v>
      </c>
      <c r="C490" s="307" t="s">
        <v>150</v>
      </c>
      <c r="D490" s="308"/>
    </row>
    <row r="491" spans="1:4" x14ac:dyDescent="0.25">
      <c r="A491" s="304">
        <v>215</v>
      </c>
      <c r="B491" s="308">
        <v>1262</v>
      </c>
      <c r="C491" s="307" t="s">
        <v>3348</v>
      </c>
      <c r="D491" s="308"/>
    </row>
    <row r="492" spans="1:4" x14ac:dyDescent="0.25">
      <c r="A492" s="304">
        <v>216</v>
      </c>
      <c r="B492" s="308">
        <v>1263</v>
      </c>
      <c r="C492" s="307" t="s">
        <v>3348</v>
      </c>
      <c r="D492" s="308"/>
    </row>
    <row r="493" spans="1:4" x14ac:dyDescent="0.25">
      <c r="A493" s="304">
        <v>217</v>
      </c>
      <c r="B493" s="308">
        <v>1265</v>
      </c>
      <c r="C493" s="307" t="s">
        <v>3348</v>
      </c>
      <c r="D493" s="308"/>
    </row>
    <row r="494" spans="1:4" x14ac:dyDescent="0.25">
      <c r="A494" s="304">
        <v>218</v>
      </c>
      <c r="B494" s="308">
        <v>1266</v>
      </c>
      <c r="C494" s="307" t="s">
        <v>3348</v>
      </c>
      <c r="D494" s="308"/>
    </row>
    <row r="495" spans="1:4" x14ac:dyDescent="0.25">
      <c r="A495" s="304">
        <v>219</v>
      </c>
      <c r="B495" s="308">
        <v>127</v>
      </c>
      <c r="C495" s="307" t="s">
        <v>2675</v>
      </c>
      <c r="D495" s="308"/>
    </row>
    <row r="496" spans="1:4" x14ac:dyDescent="0.25">
      <c r="A496" s="304">
        <v>220</v>
      </c>
      <c r="B496" s="308">
        <v>1273</v>
      </c>
      <c r="C496" s="307" t="s">
        <v>3839</v>
      </c>
      <c r="D496" s="308"/>
    </row>
    <row r="497" spans="1:4" x14ac:dyDescent="0.25">
      <c r="A497" s="304">
        <v>221</v>
      </c>
      <c r="B497" s="308">
        <v>1274</v>
      </c>
      <c r="C497" s="307" t="s">
        <v>3838</v>
      </c>
      <c r="D497" s="308"/>
    </row>
    <row r="498" spans="1:4" x14ac:dyDescent="0.25">
      <c r="A498" s="304">
        <v>222</v>
      </c>
      <c r="B498" s="308">
        <v>128</v>
      </c>
      <c r="C498" s="307" t="s">
        <v>2675</v>
      </c>
      <c r="D498" s="308"/>
    </row>
    <row r="499" spans="1:4" x14ac:dyDescent="0.25">
      <c r="A499" s="304">
        <v>223</v>
      </c>
      <c r="B499" s="308">
        <v>1286</v>
      </c>
      <c r="C499" s="307" t="s">
        <v>3837</v>
      </c>
      <c r="D499" s="308"/>
    </row>
    <row r="500" spans="1:4" x14ac:dyDescent="0.25">
      <c r="A500" s="304">
        <v>224</v>
      </c>
      <c r="B500" s="308">
        <v>1287</v>
      </c>
      <c r="C500" s="307" t="s">
        <v>3836</v>
      </c>
      <c r="D500" s="308"/>
    </row>
    <row r="501" spans="1:4" x14ac:dyDescent="0.25">
      <c r="A501" s="304">
        <v>225</v>
      </c>
      <c r="B501" s="308">
        <v>1288</v>
      </c>
      <c r="C501" s="307" t="s">
        <v>3835</v>
      </c>
      <c r="D501" s="308"/>
    </row>
    <row r="502" spans="1:4" x14ac:dyDescent="0.25">
      <c r="A502" s="304">
        <v>226</v>
      </c>
      <c r="B502" s="308">
        <v>1289</v>
      </c>
      <c r="C502" s="307" t="s">
        <v>3834</v>
      </c>
      <c r="D502" s="308"/>
    </row>
    <row r="503" spans="1:4" x14ac:dyDescent="0.25">
      <c r="A503" s="304">
        <v>227</v>
      </c>
      <c r="B503" s="308">
        <v>129</v>
      </c>
      <c r="C503" s="307" t="s">
        <v>3825</v>
      </c>
      <c r="D503" s="308"/>
    </row>
    <row r="504" spans="1:4" x14ac:dyDescent="0.25">
      <c r="A504" s="304">
        <v>228</v>
      </c>
      <c r="B504" s="308">
        <v>1292</v>
      </c>
      <c r="C504" s="307" t="s">
        <v>3833</v>
      </c>
      <c r="D504" s="308"/>
    </row>
    <row r="505" spans="1:4" x14ac:dyDescent="0.25">
      <c r="A505" s="304">
        <v>229</v>
      </c>
      <c r="B505" s="308">
        <v>1293</v>
      </c>
      <c r="C505" s="307" t="s">
        <v>3832</v>
      </c>
      <c r="D505" s="308"/>
    </row>
    <row r="506" spans="1:4" x14ac:dyDescent="0.25">
      <c r="A506" s="304">
        <v>230</v>
      </c>
      <c r="B506" s="308">
        <v>1294</v>
      </c>
      <c r="C506" s="307" t="s">
        <v>3831</v>
      </c>
      <c r="D506" s="308"/>
    </row>
    <row r="507" spans="1:4" x14ac:dyDescent="0.25">
      <c r="A507" s="304">
        <v>231</v>
      </c>
      <c r="B507" s="308">
        <v>1295</v>
      </c>
      <c r="C507" s="307" t="s">
        <v>3830</v>
      </c>
      <c r="D507" s="308"/>
    </row>
    <row r="508" spans="1:4" x14ac:dyDescent="0.25">
      <c r="A508" s="304">
        <v>232</v>
      </c>
      <c r="B508" s="308">
        <v>1296</v>
      </c>
      <c r="C508" s="307" t="s">
        <v>3829</v>
      </c>
      <c r="D508" s="308"/>
    </row>
    <row r="509" spans="1:4" x14ac:dyDescent="0.25">
      <c r="A509" s="304">
        <v>233</v>
      </c>
      <c r="B509" s="308">
        <v>1297</v>
      </c>
      <c r="C509" s="307" t="s">
        <v>3829</v>
      </c>
      <c r="D509" s="308"/>
    </row>
    <row r="510" spans="1:4" x14ac:dyDescent="0.25">
      <c r="A510" s="304">
        <v>234</v>
      </c>
      <c r="B510" s="308">
        <v>1298</v>
      </c>
      <c r="C510" s="307" t="s">
        <v>3826</v>
      </c>
      <c r="D510" s="308"/>
    </row>
    <row r="511" spans="1:4" x14ac:dyDescent="0.25">
      <c r="A511" s="304">
        <v>235</v>
      </c>
      <c r="B511" s="308" t="s">
        <v>3828</v>
      </c>
      <c r="C511" s="307" t="s">
        <v>3827</v>
      </c>
      <c r="D511" s="308"/>
    </row>
    <row r="512" spans="1:4" x14ac:dyDescent="0.25">
      <c r="A512" s="304">
        <v>236</v>
      </c>
      <c r="B512" s="308">
        <v>1299</v>
      </c>
      <c r="C512" s="307" t="s">
        <v>3826</v>
      </c>
      <c r="D512" s="308"/>
    </row>
    <row r="513" spans="1:4" x14ac:dyDescent="0.25">
      <c r="A513" s="304">
        <v>237</v>
      </c>
      <c r="B513" s="308">
        <v>130</v>
      </c>
      <c r="C513" s="307" t="s">
        <v>3825</v>
      </c>
      <c r="D513" s="308"/>
    </row>
    <row r="514" spans="1:4" x14ac:dyDescent="0.25">
      <c r="A514" s="304">
        <v>238</v>
      </c>
      <c r="B514" s="308">
        <v>131</v>
      </c>
      <c r="C514" s="307" t="s">
        <v>3825</v>
      </c>
      <c r="D514" s="308"/>
    </row>
    <row r="515" spans="1:4" x14ac:dyDescent="0.25">
      <c r="A515" s="304">
        <v>239</v>
      </c>
      <c r="B515" s="308">
        <v>132</v>
      </c>
      <c r="C515" s="307" t="s">
        <v>3825</v>
      </c>
      <c r="D515" s="308"/>
    </row>
    <row r="516" spans="1:4" x14ac:dyDescent="0.25">
      <c r="A516" s="304">
        <v>240</v>
      </c>
      <c r="B516" s="308">
        <v>133</v>
      </c>
      <c r="C516" s="307" t="s">
        <v>2816</v>
      </c>
      <c r="D516" s="308"/>
    </row>
    <row r="517" spans="1:4" x14ac:dyDescent="0.25">
      <c r="A517" s="304">
        <v>241</v>
      </c>
      <c r="B517" s="308">
        <v>134</v>
      </c>
      <c r="C517" s="307" t="s">
        <v>2816</v>
      </c>
      <c r="D517" s="308"/>
    </row>
    <row r="518" spans="1:4" x14ac:dyDescent="0.25">
      <c r="A518" s="304">
        <v>242</v>
      </c>
      <c r="B518" s="308">
        <v>135</v>
      </c>
      <c r="C518" s="307" t="s">
        <v>2816</v>
      </c>
      <c r="D518" s="308"/>
    </row>
    <row r="519" spans="1:4" x14ac:dyDescent="0.25">
      <c r="A519" s="304">
        <v>243</v>
      </c>
      <c r="B519" s="308">
        <v>136</v>
      </c>
      <c r="C519" s="307" t="s">
        <v>2816</v>
      </c>
      <c r="D519" s="308"/>
    </row>
    <row r="520" spans="1:4" x14ac:dyDescent="0.25">
      <c r="A520" s="304">
        <v>244</v>
      </c>
      <c r="B520" s="308">
        <v>137</v>
      </c>
      <c r="C520" s="307" t="s">
        <v>3418</v>
      </c>
      <c r="D520" s="308"/>
    </row>
    <row r="521" spans="1:4" x14ac:dyDescent="0.25">
      <c r="A521" s="304">
        <v>245</v>
      </c>
      <c r="B521" s="308">
        <v>138</v>
      </c>
      <c r="C521" s="307" t="s">
        <v>2672</v>
      </c>
      <c r="D521" s="308"/>
    </row>
    <row r="522" spans="1:4" x14ac:dyDescent="0.25">
      <c r="A522" s="304">
        <v>246</v>
      </c>
      <c r="B522" s="308">
        <v>139</v>
      </c>
      <c r="C522" s="307" t="s">
        <v>2816</v>
      </c>
      <c r="D522" s="308"/>
    </row>
    <row r="523" spans="1:4" x14ac:dyDescent="0.25">
      <c r="A523" s="304">
        <v>247</v>
      </c>
      <c r="B523" s="308">
        <v>1390</v>
      </c>
      <c r="C523" s="307" t="s">
        <v>3824</v>
      </c>
      <c r="D523" s="308"/>
    </row>
    <row r="524" spans="1:4" x14ac:dyDescent="0.25">
      <c r="A524" s="304">
        <v>248</v>
      </c>
      <c r="B524" s="308">
        <v>140</v>
      </c>
      <c r="C524" s="307" t="s">
        <v>2816</v>
      </c>
      <c r="D524" s="308"/>
    </row>
    <row r="525" spans="1:4" x14ac:dyDescent="0.25">
      <c r="A525" s="304">
        <v>249</v>
      </c>
      <c r="B525" s="308">
        <v>141</v>
      </c>
      <c r="C525" s="307" t="s">
        <v>2816</v>
      </c>
      <c r="D525" s="308"/>
    </row>
    <row r="526" spans="1:4" x14ac:dyDescent="0.25">
      <c r="A526" s="304">
        <v>251</v>
      </c>
      <c r="B526" s="308">
        <v>16</v>
      </c>
      <c r="C526" s="307" t="s">
        <v>2647</v>
      </c>
      <c r="D526" s="308"/>
    </row>
    <row r="527" spans="1:4" x14ac:dyDescent="0.25">
      <c r="A527" s="304">
        <v>252</v>
      </c>
      <c r="B527" s="308">
        <v>16000</v>
      </c>
      <c r="C527" s="307" t="s">
        <v>3638</v>
      </c>
      <c r="D527" s="308"/>
    </row>
    <row r="528" spans="1:4" x14ac:dyDescent="0.25">
      <c r="A528" s="304">
        <v>253</v>
      </c>
      <c r="B528" s="308">
        <v>16001</v>
      </c>
      <c r="C528" s="307" t="s">
        <v>3823</v>
      </c>
      <c r="D528" s="308"/>
    </row>
    <row r="529" spans="1:4" x14ac:dyDescent="0.25">
      <c r="A529" s="304">
        <v>254</v>
      </c>
      <c r="B529" s="308">
        <v>16002</v>
      </c>
      <c r="C529" s="307" t="s">
        <v>3638</v>
      </c>
      <c r="D529" s="308"/>
    </row>
    <row r="530" spans="1:4" x14ac:dyDescent="0.25">
      <c r="A530" s="304">
        <v>255</v>
      </c>
      <c r="B530" s="308">
        <v>16003</v>
      </c>
      <c r="C530" s="307" t="s">
        <v>3822</v>
      </c>
      <c r="D530" s="308"/>
    </row>
    <row r="531" spans="1:4" x14ac:dyDescent="0.25">
      <c r="A531" s="304">
        <v>256</v>
      </c>
      <c r="B531" s="308">
        <v>16004</v>
      </c>
      <c r="C531" s="307" t="s">
        <v>3821</v>
      </c>
      <c r="D531" s="308"/>
    </row>
    <row r="532" spans="1:4" x14ac:dyDescent="0.25">
      <c r="A532" s="304">
        <v>257</v>
      </c>
      <c r="B532" s="308">
        <v>16007</v>
      </c>
      <c r="C532" s="307" t="s">
        <v>3820</v>
      </c>
      <c r="D532" s="308"/>
    </row>
    <row r="533" spans="1:4" x14ac:dyDescent="0.25">
      <c r="A533" s="304">
        <v>258</v>
      </c>
      <c r="B533" s="308" t="s">
        <v>3819</v>
      </c>
      <c r="C533" s="307" t="s">
        <v>3028</v>
      </c>
      <c r="D533" s="308"/>
    </row>
    <row r="534" spans="1:4" x14ac:dyDescent="0.25">
      <c r="A534" s="304">
        <v>259</v>
      </c>
      <c r="B534" s="308" t="s">
        <v>3818</v>
      </c>
      <c r="C534" s="307" t="s">
        <v>3028</v>
      </c>
      <c r="D534" s="308"/>
    </row>
    <row r="535" spans="1:4" x14ac:dyDescent="0.25">
      <c r="A535" s="304">
        <v>260</v>
      </c>
      <c r="B535" s="308" t="s">
        <v>3817</v>
      </c>
      <c r="C535" s="307" t="s">
        <v>3028</v>
      </c>
      <c r="D535" s="308"/>
    </row>
    <row r="536" spans="1:4" x14ac:dyDescent="0.25">
      <c r="A536" s="304">
        <v>261</v>
      </c>
      <c r="B536" s="308">
        <v>16008</v>
      </c>
      <c r="C536" s="307" t="s">
        <v>3816</v>
      </c>
      <c r="D536" s="308"/>
    </row>
    <row r="537" spans="1:4" x14ac:dyDescent="0.25">
      <c r="A537" s="304">
        <v>262</v>
      </c>
      <c r="B537" s="308">
        <v>16009</v>
      </c>
      <c r="C537" s="307" t="s">
        <v>3816</v>
      </c>
      <c r="D537" s="308"/>
    </row>
    <row r="538" spans="1:4" x14ac:dyDescent="0.25">
      <c r="A538" s="304">
        <v>263</v>
      </c>
      <c r="B538" s="308">
        <v>16011</v>
      </c>
      <c r="C538" s="307" t="s">
        <v>3815</v>
      </c>
      <c r="D538" s="308"/>
    </row>
    <row r="539" spans="1:4" x14ac:dyDescent="0.25">
      <c r="A539" s="304">
        <v>264</v>
      </c>
      <c r="B539" s="308">
        <v>16012</v>
      </c>
      <c r="C539" s="307" t="s">
        <v>3814</v>
      </c>
      <c r="D539" s="308"/>
    </row>
    <row r="540" spans="1:4" x14ac:dyDescent="0.25">
      <c r="A540" s="304">
        <v>265</v>
      </c>
      <c r="B540" s="308" t="s">
        <v>3813</v>
      </c>
      <c r="C540" s="307" t="s">
        <v>3026</v>
      </c>
      <c r="D540" s="308"/>
    </row>
    <row r="541" spans="1:4" x14ac:dyDescent="0.25">
      <c r="A541" s="304">
        <v>266</v>
      </c>
      <c r="B541" s="308" t="s">
        <v>3812</v>
      </c>
      <c r="C541" s="307" t="s">
        <v>3026</v>
      </c>
      <c r="D541" s="308"/>
    </row>
    <row r="542" spans="1:4" x14ac:dyDescent="0.25">
      <c r="A542" s="304">
        <v>267</v>
      </c>
      <c r="B542" s="308" t="s">
        <v>3811</v>
      </c>
      <c r="C542" s="307" t="s">
        <v>3026</v>
      </c>
      <c r="D542" s="308"/>
    </row>
    <row r="543" spans="1:4" x14ac:dyDescent="0.25">
      <c r="A543" s="304">
        <v>268</v>
      </c>
      <c r="B543" s="308">
        <v>16013</v>
      </c>
      <c r="C543" s="307" t="s">
        <v>3313</v>
      </c>
      <c r="D543" s="308"/>
    </row>
    <row r="544" spans="1:4" x14ac:dyDescent="0.25">
      <c r="A544" s="304">
        <v>269</v>
      </c>
      <c r="B544" s="308">
        <v>16014</v>
      </c>
      <c r="C544" s="307" t="s">
        <v>3409</v>
      </c>
      <c r="D544" s="308"/>
    </row>
    <row r="545" spans="1:4" x14ac:dyDescent="0.25">
      <c r="A545" s="304">
        <v>270</v>
      </c>
      <c r="B545" s="308">
        <v>16015</v>
      </c>
      <c r="C545" s="307" t="s">
        <v>3810</v>
      </c>
      <c r="D545" s="308"/>
    </row>
    <row r="546" spans="1:4" x14ac:dyDescent="0.25">
      <c r="A546" s="304">
        <v>271</v>
      </c>
      <c r="B546" s="308">
        <v>16017</v>
      </c>
      <c r="C546" s="307" t="s">
        <v>3490</v>
      </c>
      <c r="D546" s="308"/>
    </row>
    <row r="547" spans="1:4" x14ac:dyDescent="0.25">
      <c r="A547" s="304">
        <v>272</v>
      </c>
      <c r="B547" s="308" t="s">
        <v>3809</v>
      </c>
      <c r="C547" s="307" t="s">
        <v>3806</v>
      </c>
      <c r="D547" s="308"/>
    </row>
    <row r="548" spans="1:4" x14ac:dyDescent="0.25">
      <c r="A548" s="304">
        <v>273</v>
      </c>
      <c r="B548" s="308" t="s">
        <v>3808</v>
      </c>
      <c r="C548" s="307" t="s">
        <v>3806</v>
      </c>
      <c r="D548" s="308"/>
    </row>
    <row r="549" spans="1:4" x14ac:dyDescent="0.25">
      <c r="A549" s="304">
        <v>274</v>
      </c>
      <c r="B549" s="308" t="s">
        <v>3807</v>
      </c>
      <c r="C549" s="307" t="s">
        <v>3806</v>
      </c>
      <c r="D549" s="308"/>
    </row>
    <row r="550" spans="1:4" x14ac:dyDescent="0.25">
      <c r="A550" s="304">
        <v>275</v>
      </c>
      <c r="B550" s="308">
        <v>16018</v>
      </c>
      <c r="C550" s="307" t="s">
        <v>3805</v>
      </c>
      <c r="D550" s="308"/>
    </row>
    <row r="551" spans="1:4" x14ac:dyDescent="0.25">
      <c r="A551" s="304">
        <v>276</v>
      </c>
      <c r="B551" s="308">
        <v>16019</v>
      </c>
      <c r="C551" s="307" t="s">
        <v>3415</v>
      </c>
      <c r="D551" s="308"/>
    </row>
    <row r="552" spans="1:4" x14ac:dyDescent="0.25">
      <c r="A552" s="304">
        <v>277</v>
      </c>
      <c r="B552" s="308">
        <v>16020</v>
      </c>
      <c r="C552" s="307" t="s">
        <v>3804</v>
      </c>
      <c r="D552" s="308"/>
    </row>
    <row r="553" spans="1:4" x14ac:dyDescent="0.25">
      <c r="A553" s="304">
        <v>278</v>
      </c>
      <c r="B553" s="308">
        <v>16022</v>
      </c>
      <c r="C553" s="307" t="s">
        <v>3307</v>
      </c>
      <c r="D553" s="308"/>
    </row>
    <row r="554" spans="1:4" x14ac:dyDescent="0.25">
      <c r="A554" s="304">
        <v>279</v>
      </c>
      <c r="B554" s="308" t="s">
        <v>3803</v>
      </c>
      <c r="C554" s="307" t="s">
        <v>3307</v>
      </c>
      <c r="D554" s="308"/>
    </row>
    <row r="555" spans="1:4" x14ac:dyDescent="0.25">
      <c r="A555" s="304">
        <v>280</v>
      </c>
      <c r="B555" s="308" t="s">
        <v>3802</v>
      </c>
      <c r="C555" s="307" t="s">
        <v>3307</v>
      </c>
      <c r="D555" s="308"/>
    </row>
    <row r="556" spans="1:4" x14ac:dyDescent="0.25">
      <c r="A556" s="304">
        <v>281</v>
      </c>
      <c r="B556" s="308" t="s">
        <v>3801</v>
      </c>
      <c r="C556" s="307" t="s">
        <v>3307</v>
      </c>
      <c r="D556" s="308"/>
    </row>
    <row r="557" spans="1:4" x14ac:dyDescent="0.25">
      <c r="A557" s="304">
        <v>282</v>
      </c>
      <c r="B557" s="308">
        <v>16023</v>
      </c>
      <c r="C557" s="307" t="s">
        <v>2835</v>
      </c>
      <c r="D557" s="308"/>
    </row>
    <row r="558" spans="1:4" x14ac:dyDescent="0.25">
      <c r="A558" s="304">
        <v>283</v>
      </c>
      <c r="B558" s="308">
        <v>16024</v>
      </c>
      <c r="C558" s="307" t="s">
        <v>2724</v>
      </c>
      <c r="D558" s="308"/>
    </row>
    <row r="559" spans="1:4" x14ac:dyDescent="0.25">
      <c r="A559" s="304">
        <v>284</v>
      </c>
      <c r="B559" s="308">
        <v>16028</v>
      </c>
      <c r="C559" s="307" t="s">
        <v>3800</v>
      </c>
      <c r="D559" s="308"/>
    </row>
    <row r="560" spans="1:4" x14ac:dyDescent="0.25">
      <c r="A560" s="304">
        <v>285</v>
      </c>
      <c r="B560" s="308">
        <v>16029</v>
      </c>
      <c r="C560" s="307" t="s">
        <v>3800</v>
      </c>
      <c r="D560" s="308"/>
    </row>
    <row r="561" spans="1:4" x14ac:dyDescent="0.25">
      <c r="A561" s="304">
        <v>286</v>
      </c>
      <c r="B561" s="308">
        <v>16031</v>
      </c>
      <c r="C561" s="307" t="s">
        <v>3799</v>
      </c>
      <c r="D561" s="308"/>
    </row>
    <row r="562" spans="1:4" x14ac:dyDescent="0.25">
      <c r="A562" s="304">
        <v>287</v>
      </c>
      <c r="B562" s="308">
        <v>16032</v>
      </c>
      <c r="C562" s="307" t="s">
        <v>3445</v>
      </c>
      <c r="D562" s="308"/>
    </row>
    <row r="563" spans="1:4" x14ac:dyDescent="0.25">
      <c r="A563" s="304">
        <v>288</v>
      </c>
      <c r="B563" s="308">
        <v>16033</v>
      </c>
      <c r="C563" s="307" t="s">
        <v>3445</v>
      </c>
      <c r="D563" s="308"/>
    </row>
    <row r="564" spans="1:4" x14ac:dyDescent="0.25">
      <c r="A564" s="304">
        <v>289</v>
      </c>
      <c r="B564" s="308">
        <v>16034</v>
      </c>
      <c r="C564" s="307" t="s">
        <v>3445</v>
      </c>
      <c r="D564" s="308"/>
    </row>
    <row r="565" spans="1:4" x14ac:dyDescent="0.25">
      <c r="A565" s="304">
        <v>292</v>
      </c>
      <c r="B565" s="308">
        <v>16040</v>
      </c>
      <c r="C565" s="307" t="s">
        <v>3798</v>
      </c>
      <c r="D565" s="308"/>
    </row>
    <row r="566" spans="1:4" x14ac:dyDescent="0.25">
      <c r="A566" s="304">
        <v>293</v>
      </c>
      <c r="B566" s="308">
        <v>16041</v>
      </c>
      <c r="C566" s="307" t="s">
        <v>3797</v>
      </c>
      <c r="D566" s="308"/>
    </row>
    <row r="567" spans="1:4" x14ac:dyDescent="0.25">
      <c r="A567" s="304">
        <v>294</v>
      </c>
      <c r="B567" s="308">
        <v>16044</v>
      </c>
      <c r="C567" s="307" t="s">
        <v>3796</v>
      </c>
      <c r="D567" s="308"/>
    </row>
    <row r="568" spans="1:4" x14ac:dyDescent="0.25">
      <c r="A568" s="304">
        <v>296</v>
      </c>
      <c r="B568" s="308">
        <v>16048</v>
      </c>
      <c r="C568" s="307" t="s">
        <v>3795</v>
      </c>
      <c r="D568" s="308"/>
    </row>
    <row r="569" spans="1:4" x14ac:dyDescent="0.25">
      <c r="A569" s="304">
        <v>297</v>
      </c>
      <c r="B569" s="308" t="s">
        <v>3794</v>
      </c>
      <c r="C569" s="307" t="s">
        <v>3792</v>
      </c>
      <c r="D569" s="308"/>
    </row>
    <row r="570" spans="1:4" x14ac:dyDescent="0.25">
      <c r="A570" s="304">
        <v>298</v>
      </c>
      <c r="B570" s="308" t="s">
        <v>3793</v>
      </c>
      <c r="C570" s="307" t="s">
        <v>3792</v>
      </c>
      <c r="D570" s="308"/>
    </row>
    <row r="571" spans="1:4" x14ac:dyDescent="0.25">
      <c r="A571" s="304">
        <v>299</v>
      </c>
      <c r="B571" s="308" t="s">
        <v>3791</v>
      </c>
      <c r="C571" s="307" t="s">
        <v>3790</v>
      </c>
      <c r="D571" s="308"/>
    </row>
    <row r="572" spans="1:4" x14ac:dyDescent="0.25">
      <c r="A572" s="304">
        <v>300</v>
      </c>
      <c r="B572" s="308">
        <v>16049</v>
      </c>
      <c r="C572" s="307" t="s">
        <v>3789</v>
      </c>
      <c r="D572" s="308"/>
    </row>
    <row r="573" spans="1:4" x14ac:dyDescent="0.25">
      <c r="A573" s="304">
        <v>301</v>
      </c>
      <c r="B573" s="308">
        <v>16050</v>
      </c>
      <c r="C573" s="307" t="s">
        <v>3598</v>
      </c>
      <c r="D573" s="308"/>
    </row>
    <row r="574" spans="1:4" x14ac:dyDescent="0.25">
      <c r="A574" s="304">
        <v>302</v>
      </c>
      <c r="B574" s="308">
        <v>16051</v>
      </c>
      <c r="C574" s="307" t="s">
        <v>3788</v>
      </c>
      <c r="D574" s="308"/>
    </row>
    <row r="575" spans="1:4" x14ac:dyDescent="0.25">
      <c r="A575" s="304">
        <v>303</v>
      </c>
      <c r="B575" s="308">
        <v>16053</v>
      </c>
      <c r="C575" s="307" t="s">
        <v>3787</v>
      </c>
      <c r="D575" s="308"/>
    </row>
    <row r="576" spans="1:4" x14ac:dyDescent="0.25">
      <c r="A576" s="304">
        <v>304</v>
      </c>
      <c r="B576" s="308" t="s">
        <v>3786</v>
      </c>
      <c r="C576" s="307" t="s">
        <v>3299</v>
      </c>
      <c r="D576" s="308"/>
    </row>
    <row r="577" spans="1:4" x14ac:dyDescent="0.25">
      <c r="A577" s="304">
        <v>305</v>
      </c>
      <c r="B577" s="308" t="s">
        <v>3785</v>
      </c>
      <c r="C577" s="307" t="s">
        <v>3299</v>
      </c>
      <c r="D577" s="308"/>
    </row>
    <row r="578" spans="1:4" x14ac:dyDescent="0.25">
      <c r="A578" s="304">
        <v>306</v>
      </c>
      <c r="B578" s="308" t="s">
        <v>3784</v>
      </c>
      <c r="C578" s="307" t="s">
        <v>3299</v>
      </c>
      <c r="D578" s="308"/>
    </row>
    <row r="579" spans="1:4" x14ac:dyDescent="0.25">
      <c r="A579" s="304">
        <v>307</v>
      </c>
      <c r="B579" s="308">
        <v>16054</v>
      </c>
      <c r="C579" s="307" t="s">
        <v>3783</v>
      </c>
      <c r="D579" s="308"/>
    </row>
    <row r="580" spans="1:4" x14ac:dyDescent="0.25">
      <c r="A580" s="304">
        <v>308</v>
      </c>
      <c r="B580" s="308">
        <v>16055</v>
      </c>
      <c r="C580" s="307" t="s">
        <v>3782</v>
      </c>
      <c r="D580" s="308"/>
    </row>
    <row r="581" spans="1:4" x14ac:dyDescent="0.25">
      <c r="A581" s="304">
        <v>309</v>
      </c>
      <c r="B581" s="308">
        <v>16056</v>
      </c>
      <c r="C581" s="307" t="s">
        <v>3781</v>
      </c>
      <c r="D581" s="308"/>
    </row>
    <row r="582" spans="1:4" x14ac:dyDescent="0.25">
      <c r="A582" s="304">
        <v>311</v>
      </c>
      <c r="B582" s="308" t="s">
        <v>3780</v>
      </c>
      <c r="C582" s="307" t="s">
        <v>2869</v>
      </c>
      <c r="D582" s="308"/>
    </row>
    <row r="583" spans="1:4" x14ac:dyDescent="0.25">
      <c r="A583" s="304">
        <v>312</v>
      </c>
      <c r="B583" s="308" t="s">
        <v>3779</v>
      </c>
      <c r="C583" s="307" t="s">
        <v>3778</v>
      </c>
      <c r="D583" s="308"/>
    </row>
    <row r="584" spans="1:4" x14ac:dyDescent="0.25">
      <c r="A584" s="304">
        <v>313</v>
      </c>
      <c r="B584" s="308" t="s">
        <v>3777</v>
      </c>
      <c r="C584" s="307" t="s">
        <v>2869</v>
      </c>
      <c r="D584" s="308"/>
    </row>
    <row r="585" spans="1:4" x14ac:dyDescent="0.25">
      <c r="A585" s="304">
        <v>314</v>
      </c>
      <c r="B585" s="308">
        <v>16059</v>
      </c>
      <c r="C585" s="307" t="s">
        <v>3776</v>
      </c>
      <c r="D585" s="308"/>
    </row>
    <row r="586" spans="1:4" x14ac:dyDescent="0.25">
      <c r="A586" s="304">
        <v>315</v>
      </c>
      <c r="B586" s="308">
        <v>16060</v>
      </c>
      <c r="C586" s="307" t="s">
        <v>3775</v>
      </c>
      <c r="D586" s="308"/>
    </row>
    <row r="587" spans="1:4" x14ac:dyDescent="0.25">
      <c r="A587" s="304">
        <v>316</v>
      </c>
      <c r="B587" s="308">
        <v>16063</v>
      </c>
      <c r="C587" s="307" t="s">
        <v>3771</v>
      </c>
      <c r="D587" s="308"/>
    </row>
    <row r="588" spans="1:4" x14ac:dyDescent="0.25">
      <c r="A588" s="304">
        <v>317</v>
      </c>
      <c r="B588" s="308" t="s">
        <v>3774</v>
      </c>
      <c r="C588" s="307" t="s">
        <v>3771</v>
      </c>
      <c r="D588" s="308"/>
    </row>
    <row r="589" spans="1:4" x14ac:dyDescent="0.25">
      <c r="A589" s="304">
        <v>318</v>
      </c>
      <c r="B589" s="308" t="s">
        <v>3773</v>
      </c>
      <c r="C589" s="307" t="s">
        <v>3771</v>
      </c>
      <c r="D589" s="308"/>
    </row>
    <row r="590" spans="1:4" x14ac:dyDescent="0.25">
      <c r="A590" s="304">
        <v>319</v>
      </c>
      <c r="B590" s="308" t="s">
        <v>3772</v>
      </c>
      <c r="C590" s="307" t="s">
        <v>3771</v>
      </c>
      <c r="D590" s="308"/>
    </row>
    <row r="591" spans="1:4" x14ac:dyDescent="0.25">
      <c r="A591" s="304">
        <v>320</v>
      </c>
      <c r="B591" s="308">
        <v>16064</v>
      </c>
      <c r="C591" s="307" t="s">
        <v>3770</v>
      </c>
      <c r="D591" s="308"/>
    </row>
    <row r="592" spans="1:4" x14ac:dyDescent="0.25">
      <c r="A592" s="304">
        <v>321</v>
      </c>
      <c r="B592" s="308">
        <v>16066</v>
      </c>
      <c r="C592" s="307" t="s">
        <v>3769</v>
      </c>
      <c r="D592" s="308"/>
    </row>
    <row r="593" spans="1:4" x14ac:dyDescent="0.25">
      <c r="A593" s="304">
        <v>322</v>
      </c>
      <c r="B593" s="308">
        <v>16068</v>
      </c>
      <c r="C593" s="307" t="s">
        <v>3768</v>
      </c>
      <c r="D593" s="308"/>
    </row>
    <row r="594" spans="1:4" x14ac:dyDescent="0.25">
      <c r="A594" s="304">
        <v>323</v>
      </c>
      <c r="B594" s="308" t="s">
        <v>3767</v>
      </c>
      <c r="C594" s="307" t="s">
        <v>3764</v>
      </c>
      <c r="D594" s="308"/>
    </row>
    <row r="595" spans="1:4" x14ac:dyDescent="0.25">
      <c r="A595" s="304">
        <v>324</v>
      </c>
      <c r="B595" s="308" t="s">
        <v>3766</v>
      </c>
      <c r="C595" s="307" t="s">
        <v>3764</v>
      </c>
      <c r="D595" s="308"/>
    </row>
    <row r="596" spans="1:4" x14ac:dyDescent="0.25">
      <c r="A596" s="304">
        <v>325</v>
      </c>
      <c r="B596" s="308" t="s">
        <v>3765</v>
      </c>
      <c r="C596" s="307" t="s">
        <v>3764</v>
      </c>
      <c r="D596" s="308"/>
    </row>
    <row r="597" spans="1:4" x14ac:dyDescent="0.25">
      <c r="A597" s="304">
        <v>326</v>
      </c>
      <c r="B597" s="308">
        <v>16069</v>
      </c>
      <c r="C597" s="307" t="s">
        <v>3763</v>
      </c>
      <c r="D597" s="308"/>
    </row>
    <row r="598" spans="1:4" x14ac:dyDescent="0.25">
      <c r="A598" s="304">
        <v>327</v>
      </c>
      <c r="B598" s="308">
        <v>16070</v>
      </c>
      <c r="C598" s="307" t="s">
        <v>3762</v>
      </c>
      <c r="D598" s="308"/>
    </row>
    <row r="599" spans="1:4" x14ac:dyDescent="0.25">
      <c r="A599" s="304">
        <v>328</v>
      </c>
      <c r="B599" s="308">
        <v>16071</v>
      </c>
      <c r="C599" s="307" t="s">
        <v>3761</v>
      </c>
      <c r="D599" s="308"/>
    </row>
    <row r="600" spans="1:4" x14ac:dyDescent="0.25">
      <c r="A600" s="304">
        <v>329</v>
      </c>
      <c r="B600" s="308">
        <v>16076</v>
      </c>
      <c r="C600" s="307" t="s">
        <v>3760</v>
      </c>
      <c r="D600" s="308"/>
    </row>
    <row r="601" spans="1:4" x14ac:dyDescent="0.25">
      <c r="A601" s="304">
        <v>330</v>
      </c>
      <c r="B601" s="308">
        <v>16077</v>
      </c>
      <c r="C601" s="307" t="s">
        <v>3067</v>
      </c>
      <c r="D601" s="308"/>
    </row>
    <row r="602" spans="1:4" x14ac:dyDescent="0.25">
      <c r="A602" s="304">
        <v>331</v>
      </c>
      <c r="B602" s="308">
        <v>16078</v>
      </c>
      <c r="C602" s="307" t="s">
        <v>3065</v>
      </c>
      <c r="D602" s="308"/>
    </row>
    <row r="603" spans="1:4" x14ac:dyDescent="0.25">
      <c r="A603" s="304">
        <v>332</v>
      </c>
      <c r="B603" s="308">
        <v>16079</v>
      </c>
      <c r="C603" s="307" t="s">
        <v>3747</v>
      </c>
      <c r="D603" s="308"/>
    </row>
    <row r="604" spans="1:4" x14ac:dyDescent="0.25">
      <c r="A604" s="304">
        <v>333</v>
      </c>
      <c r="B604" s="308">
        <v>16081</v>
      </c>
      <c r="C604" s="307" t="s">
        <v>3759</v>
      </c>
      <c r="D604" s="308"/>
    </row>
    <row r="605" spans="1:4" x14ac:dyDescent="0.25">
      <c r="A605" s="304">
        <v>334</v>
      </c>
      <c r="B605" s="308">
        <v>16082</v>
      </c>
      <c r="C605" s="307" t="s">
        <v>2647</v>
      </c>
      <c r="D605" s="308"/>
    </row>
    <row r="606" spans="1:4" x14ac:dyDescent="0.25">
      <c r="A606" s="304">
        <v>335</v>
      </c>
      <c r="B606" s="308">
        <v>16083</v>
      </c>
      <c r="C606" s="307" t="s">
        <v>3758</v>
      </c>
      <c r="D606" s="308"/>
    </row>
    <row r="607" spans="1:4" x14ac:dyDescent="0.25">
      <c r="A607" s="304">
        <v>336</v>
      </c>
      <c r="B607" s="308">
        <v>16102</v>
      </c>
      <c r="C607" s="307" t="s">
        <v>3757</v>
      </c>
      <c r="D607" s="308"/>
    </row>
    <row r="608" spans="1:4" x14ac:dyDescent="0.25">
      <c r="A608" s="304">
        <v>337</v>
      </c>
      <c r="B608" s="308">
        <v>16104</v>
      </c>
      <c r="C608" s="307" t="s">
        <v>3756</v>
      </c>
      <c r="D608" s="308"/>
    </row>
    <row r="609" spans="1:4" x14ac:dyDescent="0.25">
      <c r="A609" s="304">
        <v>338</v>
      </c>
      <c r="B609" s="308">
        <v>16105</v>
      </c>
      <c r="C609" s="307" t="s">
        <v>3755</v>
      </c>
      <c r="D609" s="308"/>
    </row>
    <row r="610" spans="1:4" x14ac:dyDescent="0.25">
      <c r="A610" s="304">
        <v>339</v>
      </c>
      <c r="B610" s="308">
        <v>16106</v>
      </c>
      <c r="C610" s="307" t="s">
        <v>3754</v>
      </c>
      <c r="D610" s="308"/>
    </row>
    <row r="611" spans="1:4" x14ac:dyDescent="0.25">
      <c r="A611" s="304">
        <v>340</v>
      </c>
      <c r="B611" s="308">
        <v>16107</v>
      </c>
      <c r="C611" s="307" t="s">
        <v>3753</v>
      </c>
      <c r="D611" s="308"/>
    </row>
    <row r="612" spans="1:4" x14ac:dyDescent="0.25">
      <c r="A612" s="304">
        <v>341</v>
      </c>
      <c r="B612" s="308">
        <v>16110</v>
      </c>
      <c r="C612" s="307" t="s">
        <v>3752</v>
      </c>
      <c r="D612" s="308"/>
    </row>
    <row r="613" spans="1:4" x14ac:dyDescent="0.25">
      <c r="A613" s="304">
        <v>342</v>
      </c>
      <c r="B613" s="308">
        <v>16111</v>
      </c>
      <c r="C613" s="307" t="s">
        <v>3751</v>
      </c>
      <c r="D613" s="308"/>
    </row>
    <row r="614" spans="1:4" x14ac:dyDescent="0.25">
      <c r="A614" s="304">
        <v>343</v>
      </c>
      <c r="B614" s="308">
        <v>16112</v>
      </c>
      <c r="C614" s="307" t="s">
        <v>3750</v>
      </c>
      <c r="D614" s="308"/>
    </row>
    <row r="615" spans="1:4" x14ac:dyDescent="0.25">
      <c r="A615" s="304">
        <v>344</v>
      </c>
      <c r="B615" s="308">
        <v>16113</v>
      </c>
      <c r="C615" s="307" t="s">
        <v>2631</v>
      </c>
      <c r="D615" s="308"/>
    </row>
    <row r="616" spans="1:4" x14ac:dyDescent="0.25">
      <c r="A616" s="304">
        <v>346</v>
      </c>
      <c r="B616" s="308">
        <v>16122</v>
      </c>
      <c r="C616" s="307" t="s">
        <v>3749</v>
      </c>
      <c r="D616" s="308"/>
    </row>
    <row r="617" spans="1:4" x14ac:dyDescent="0.25">
      <c r="A617" s="304">
        <v>347</v>
      </c>
      <c r="B617" s="308">
        <v>16123</v>
      </c>
      <c r="C617" s="307" t="s">
        <v>3748</v>
      </c>
      <c r="D617" s="308"/>
    </row>
    <row r="618" spans="1:4" x14ac:dyDescent="0.25">
      <c r="A618" s="304">
        <v>348</v>
      </c>
      <c r="B618" s="308">
        <v>16130</v>
      </c>
      <c r="C618" s="307" t="s">
        <v>3747</v>
      </c>
      <c r="D618" s="308"/>
    </row>
    <row r="619" spans="1:4" x14ac:dyDescent="0.25">
      <c r="A619" s="304">
        <v>349</v>
      </c>
      <c r="B619" s="308">
        <v>16132</v>
      </c>
      <c r="C619" s="307" t="s">
        <v>3746</v>
      </c>
      <c r="D619" s="308"/>
    </row>
    <row r="620" spans="1:4" x14ac:dyDescent="0.25">
      <c r="A620" s="304">
        <v>350</v>
      </c>
      <c r="B620" s="308">
        <v>16135</v>
      </c>
      <c r="C620" s="307" t="s">
        <v>3745</v>
      </c>
      <c r="D620" s="308"/>
    </row>
    <row r="621" spans="1:4" x14ac:dyDescent="0.25">
      <c r="A621" s="304">
        <v>351</v>
      </c>
      <c r="B621" s="308">
        <v>16137</v>
      </c>
      <c r="C621" s="307" t="s">
        <v>3744</v>
      </c>
      <c r="D621" s="308"/>
    </row>
    <row r="622" spans="1:4" x14ac:dyDescent="0.25">
      <c r="A622" s="304">
        <v>352</v>
      </c>
      <c r="B622" s="308">
        <v>16140</v>
      </c>
      <c r="C622" s="307" t="s">
        <v>3743</v>
      </c>
      <c r="D622" s="308"/>
    </row>
    <row r="623" spans="1:4" x14ac:dyDescent="0.25">
      <c r="A623" s="304">
        <v>353</v>
      </c>
      <c r="B623" s="308">
        <v>16142</v>
      </c>
      <c r="C623" s="307" t="s">
        <v>3742</v>
      </c>
      <c r="D623" s="308"/>
    </row>
    <row r="624" spans="1:4" x14ac:dyDescent="0.25">
      <c r="A624" s="304">
        <v>354</v>
      </c>
      <c r="B624" s="308">
        <v>16146</v>
      </c>
      <c r="C624" s="307" t="s">
        <v>3741</v>
      </c>
      <c r="D624" s="308"/>
    </row>
    <row r="625" spans="1:4" x14ac:dyDescent="0.25">
      <c r="A625" s="304">
        <v>355</v>
      </c>
      <c r="B625" s="308">
        <v>16147</v>
      </c>
      <c r="C625" s="307" t="s">
        <v>3740</v>
      </c>
      <c r="D625" s="308"/>
    </row>
    <row r="626" spans="1:4" x14ac:dyDescent="0.25">
      <c r="A626" s="304">
        <v>356</v>
      </c>
      <c r="B626" s="308">
        <v>16161</v>
      </c>
      <c r="C626" s="307" t="s">
        <v>2691</v>
      </c>
      <c r="D626" s="308"/>
    </row>
    <row r="627" spans="1:4" x14ac:dyDescent="0.25">
      <c r="A627" s="304">
        <v>357</v>
      </c>
      <c r="B627" s="308">
        <v>16162</v>
      </c>
      <c r="C627" s="307" t="s">
        <v>3739</v>
      </c>
      <c r="D627" s="308"/>
    </row>
    <row r="628" spans="1:4" x14ac:dyDescent="0.25">
      <c r="A628" s="304">
        <v>358</v>
      </c>
      <c r="B628" s="308">
        <v>16250</v>
      </c>
      <c r="C628" s="307" t="s">
        <v>3738</v>
      </c>
      <c r="D628" s="308"/>
    </row>
    <row r="629" spans="1:4" x14ac:dyDescent="0.25">
      <c r="A629" s="304">
        <v>359</v>
      </c>
      <c r="B629" s="308">
        <v>16251</v>
      </c>
      <c r="C629" s="307" t="s">
        <v>3737</v>
      </c>
      <c r="D629" s="308"/>
    </row>
    <row r="630" spans="1:4" x14ac:dyDescent="0.25">
      <c r="A630" s="304">
        <v>360</v>
      </c>
      <c r="B630" s="308">
        <v>16256</v>
      </c>
      <c r="C630" s="307" t="s">
        <v>3736</v>
      </c>
      <c r="D630" s="308"/>
    </row>
    <row r="631" spans="1:4" x14ac:dyDescent="0.25">
      <c r="A631" s="304">
        <v>361</v>
      </c>
      <c r="B631" s="308">
        <v>16257</v>
      </c>
      <c r="C631" s="307" t="s">
        <v>3735</v>
      </c>
      <c r="D631" s="308"/>
    </row>
    <row r="632" spans="1:4" x14ac:dyDescent="0.25">
      <c r="A632" s="304">
        <v>362</v>
      </c>
      <c r="B632" s="308">
        <v>16258</v>
      </c>
      <c r="C632" s="307" t="s">
        <v>3734</v>
      </c>
      <c r="D632" s="308"/>
    </row>
    <row r="633" spans="1:4" x14ac:dyDescent="0.25">
      <c r="A633" s="304">
        <v>363</v>
      </c>
      <c r="B633" s="308">
        <v>16259</v>
      </c>
      <c r="C633" s="307" t="s">
        <v>3733</v>
      </c>
      <c r="D633" s="308"/>
    </row>
    <row r="634" spans="1:4" x14ac:dyDescent="0.25">
      <c r="A634" s="304">
        <v>364</v>
      </c>
      <c r="B634" s="308">
        <v>16260</v>
      </c>
      <c r="C634" s="307" t="s">
        <v>3732</v>
      </c>
      <c r="D634" s="308"/>
    </row>
    <row r="635" spans="1:4" x14ac:dyDescent="0.25">
      <c r="A635" s="304">
        <v>365</v>
      </c>
      <c r="B635" s="308">
        <v>16261</v>
      </c>
      <c r="C635" s="307" t="s">
        <v>3731</v>
      </c>
      <c r="D635" s="308"/>
    </row>
    <row r="636" spans="1:4" x14ac:dyDescent="0.25">
      <c r="A636" s="304">
        <v>366</v>
      </c>
      <c r="B636" s="308">
        <v>16267</v>
      </c>
      <c r="C636" s="307" t="s">
        <v>3730</v>
      </c>
      <c r="D636" s="308"/>
    </row>
    <row r="637" spans="1:4" x14ac:dyDescent="0.25">
      <c r="A637" s="304">
        <v>367</v>
      </c>
      <c r="B637" s="308">
        <v>16268</v>
      </c>
      <c r="C637" s="307" t="s">
        <v>3729</v>
      </c>
      <c r="D637" s="308"/>
    </row>
    <row r="638" spans="1:4" x14ac:dyDescent="0.25">
      <c r="A638" s="304">
        <v>368</v>
      </c>
      <c r="B638" s="308">
        <v>16300</v>
      </c>
      <c r="C638" s="307" t="s">
        <v>3728</v>
      </c>
      <c r="D638" s="308"/>
    </row>
    <row r="639" spans="1:4" x14ac:dyDescent="0.25">
      <c r="A639" s="304">
        <v>369</v>
      </c>
      <c r="B639" s="308">
        <v>16301</v>
      </c>
      <c r="C639" s="307" t="s">
        <v>3727</v>
      </c>
      <c r="D639" s="308"/>
    </row>
    <row r="640" spans="1:4" x14ac:dyDescent="0.25">
      <c r="A640" s="304">
        <v>370</v>
      </c>
      <c r="B640" s="308">
        <v>16307</v>
      </c>
      <c r="C640" s="307" t="s">
        <v>3726</v>
      </c>
      <c r="D640" s="308"/>
    </row>
    <row r="641" spans="1:4" x14ac:dyDescent="0.25">
      <c r="A641" s="304">
        <v>371</v>
      </c>
      <c r="B641" s="308">
        <v>16308</v>
      </c>
      <c r="C641" s="307" t="s">
        <v>3725</v>
      </c>
      <c r="D641" s="308"/>
    </row>
    <row r="642" spans="1:4" x14ac:dyDescent="0.25">
      <c r="A642" s="304">
        <v>372</v>
      </c>
      <c r="B642" s="308">
        <v>16309</v>
      </c>
      <c r="C642" s="307" t="s">
        <v>3724</v>
      </c>
      <c r="D642" s="308"/>
    </row>
    <row r="643" spans="1:4" x14ac:dyDescent="0.25">
      <c r="A643" s="304">
        <v>373</v>
      </c>
      <c r="B643" s="308">
        <v>16310</v>
      </c>
      <c r="C643" s="307" t="s">
        <v>3723</v>
      </c>
      <c r="D643" s="308"/>
    </row>
    <row r="644" spans="1:4" x14ac:dyDescent="0.25">
      <c r="A644" s="304">
        <v>374</v>
      </c>
      <c r="B644" s="308">
        <v>16311</v>
      </c>
      <c r="C644" s="307" t="s">
        <v>3722</v>
      </c>
      <c r="D644" s="308"/>
    </row>
    <row r="645" spans="1:4" x14ac:dyDescent="0.25">
      <c r="A645" s="304">
        <v>375</v>
      </c>
      <c r="B645" s="308">
        <v>16312</v>
      </c>
      <c r="C645" s="307" t="s">
        <v>3721</v>
      </c>
      <c r="D645" s="308"/>
    </row>
    <row r="646" spans="1:4" x14ac:dyDescent="0.25">
      <c r="A646" s="304">
        <v>376</v>
      </c>
      <c r="B646" s="308">
        <v>16313</v>
      </c>
      <c r="C646" s="307" t="s">
        <v>3720</v>
      </c>
      <c r="D646" s="308"/>
    </row>
    <row r="647" spans="1:4" x14ac:dyDescent="0.25">
      <c r="A647" s="304">
        <v>377</v>
      </c>
      <c r="B647" s="308">
        <v>16314</v>
      </c>
      <c r="C647" s="307" t="s">
        <v>3662</v>
      </c>
      <c r="D647" s="308"/>
    </row>
    <row r="648" spans="1:4" x14ac:dyDescent="0.25">
      <c r="A648" s="304">
        <v>378</v>
      </c>
      <c r="B648" s="308">
        <v>16315</v>
      </c>
      <c r="C648" s="307" t="s">
        <v>3719</v>
      </c>
      <c r="D648" s="308"/>
    </row>
    <row r="649" spans="1:4" x14ac:dyDescent="0.25">
      <c r="A649" s="304">
        <v>379</v>
      </c>
      <c r="B649" s="308">
        <v>16316</v>
      </c>
      <c r="C649" s="307" t="s">
        <v>3718</v>
      </c>
      <c r="D649" s="308"/>
    </row>
    <row r="650" spans="1:4" x14ac:dyDescent="0.25">
      <c r="A650" s="304">
        <v>380</v>
      </c>
      <c r="B650" s="308">
        <v>16317</v>
      </c>
      <c r="C650" s="307" t="s">
        <v>2655</v>
      </c>
      <c r="D650" s="308"/>
    </row>
    <row r="651" spans="1:4" x14ac:dyDescent="0.25">
      <c r="A651" s="304">
        <v>381</v>
      </c>
      <c r="B651" s="308">
        <v>16318</v>
      </c>
      <c r="C651" s="307" t="s">
        <v>3717</v>
      </c>
      <c r="D651" s="308"/>
    </row>
    <row r="652" spans="1:4" x14ac:dyDescent="0.25">
      <c r="A652" s="304">
        <v>382</v>
      </c>
      <c r="B652" s="308">
        <v>16319</v>
      </c>
      <c r="C652" s="307" t="s">
        <v>3716</v>
      </c>
      <c r="D652" s="308"/>
    </row>
    <row r="653" spans="1:4" x14ac:dyDescent="0.25">
      <c r="A653" s="304">
        <v>383</v>
      </c>
      <c r="B653" s="308">
        <v>16401</v>
      </c>
      <c r="C653" s="307" t="s">
        <v>2742</v>
      </c>
      <c r="D653" s="308"/>
    </row>
    <row r="654" spans="1:4" x14ac:dyDescent="0.25">
      <c r="A654" s="304">
        <v>384</v>
      </c>
      <c r="B654" s="308">
        <v>16405</v>
      </c>
      <c r="C654" s="307" t="s">
        <v>3715</v>
      </c>
      <c r="D654" s="308"/>
    </row>
    <row r="655" spans="1:4" x14ac:dyDescent="0.25">
      <c r="A655" s="304">
        <v>386</v>
      </c>
      <c r="B655" s="308">
        <v>16407</v>
      </c>
      <c r="C655" s="307" t="s">
        <v>3714</v>
      </c>
      <c r="D655" s="308"/>
    </row>
    <row r="656" spans="1:4" x14ac:dyDescent="0.25">
      <c r="A656" s="304">
        <v>387</v>
      </c>
      <c r="B656" s="308">
        <v>16408</v>
      </c>
      <c r="C656" s="307" t="s">
        <v>2797</v>
      </c>
      <c r="D656" s="308"/>
    </row>
    <row r="657" spans="1:4" x14ac:dyDescent="0.25">
      <c r="A657" s="304">
        <v>388</v>
      </c>
      <c r="B657" s="308">
        <v>16409</v>
      </c>
      <c r="C657" s="307" t="s">
        <v>3713</v>
      </c>
      <c r="D657" s="308"/>
    </row>
    <row r="658" spans="1:4" x14ac:dyDescent="0.25">
      <c r="A658" s="304">
        <v>389</v>
      </c>
      <c r="B658" s="308">
        <v>16412</v>
      </c>
      <c r="C658" s="307" t="s">
        <v>3712</v>
      </c>
      <c r="D658" s="308"/>
    </row>
    <row r="659" spans="1:4" x14ac:dyDescent="0.25">
      <c r="A659" s="304">
        <v>390</v>
      </c>
      <c r="B659" s="308">
        <v>16414</v>
      </c>
      <c r="C659" s="307" t="s">
        <v>3711</v>
      </c>
      <c r="D659" s="308"/>
    </row>
    <row r="660" spans="1:4" x14ac:dyDescent="0.25">
      <c r="A660" s="304">
        <v>391</v>
      </c>
      <c r="B660" s="308">
        <v>16415</v>
      </c>
      <c r="C660" s="307" t="s">
        <v>3710</v>
      </c>
      <c r="D660" s="308"/>
    </row>
    <row r="661" spans="1:4" x14ac:dyDescent="0.25">
      <c r="A661" s="304">
        <v>392</v>
      </c>
      <c r="B661" s="308">
        <v>16501</v>
      </c>
      <c r="C661" s="307" t="s">
        <v>2718</v>
      </c>
      <c r="D661" s="308"/>
    </row>
    <row r="662" spans="1:4" x14ac:dyDescent="0.25">
      <c r="A662" s="304">
        <v>393</v>
      </c>
      <c r="B662" s="308">
        <v>16503</v>
      </c>
      <c r="C662" s="307" t="s">
        <v>3709</v>
      </c>
      <c r="D662" s="308"/>
    </row>
    <row r="663" spans="1:4" x14ac:dyDescent="0.25">
      <c r="A663" s="304">
        <v>394</v>
      </c>
      <c r="B663" s="308">
        <v>16504</v>
      </c>
      <c r="C663" s="307" t="s">
        <v>3708</v>
      </c>
      <c r="D663" s="308"/>
    </row>
    <row r="664" spans="1:4" x14ac:dyDescent="0.25">
      <c r="A664" s="304">
        <v>395</v>
      </c>
      <c r="B664" s="308">
        <v>16505</v>
      </c>
      <c r="C664" s="307" t="s">
        <v>3707</v>
      </c>
      <c r="D664" s="308"/>
    </row>
    <row r="665" spans="1:4" x14ac:dyDescent="0.25">
      <c r="A665" s="304">
        <v>396</v>
      </c>
      <c r="B665" s="308">
        <v>16506</v>
      </c>
      <c r="C665" s="307" t="s">
        <v>3706</v>
      </c>
      <c r="D665" s="308"/>
    </row>
    <row r="666" spans="1:4" x14ac:dyDescent="0.25">
      <c r="A666" s="304">
        <v>397</v>
      </c>
      <c r="B666" s="308">
        <v>16507</v>
      </c>
      <c r="C666" s="307" t="s">
        <v>3705</v>
      </c>
      <c r="D666" s="308"/>
    </row>
    <row r="667" spans="1:4" x14ac:dyDescent="0.25">
      <c r="A667" s="304">
        <v>398</v>
      </c>
      <c r="B667" s="308">
        <v>16508</v>
      </c>
      <c r="C667" s="307" t="s">
        <v>3704</v>
      </c>
      <c r="D667" s="308"/>
    </row>
    <row r="668" spans="1:4" x14ac:dyDescent="0.25">
      <c r="A668" s="304">
        <v>399</v>
      </c>
      <c r="B668" s="308">
        <v>16513</v>
      </c>
      <c r="C668" s="307" t="s">
        <v>2664</v>
      </c>
      <c r="D668" s="308"/>
    </row>
    <row r="669" spans="1:4" x14ac:dyDescent="0.25">
      <c r="A669" s="304">
        <v>400</v>
      </c>
      <c r="B669" s="308">
        <v>16600</v>
      </c>
      <c r="C669" s="307" t="s">
        <v>3703</v>
      </c>
      <c r="D669" s="308"/>
    </row>
    <row r="670" spans="1:4" x14ac:dyDescent="0.25">
      <c r="A670" s="304">
        <v>401</v>
      </c>
      <c r="B670" s="308">
        <v>16601</v>
      </c>
      <c r="C670" s="307" t="s">
        <v>3702</v>
      </c>
      <c r="D670" s="308"/>
    </row>
    <row r="671" spans="1:4" x14ac:dyDescent="0.25">
      <c r="A671" s="304">
        <v>402</v>
      </c>
      <c r="B671" s="308" t="s">
        <v>3701</v>
      </c>
      <c r="C671" s="307" t="s">
        <v>3700</v>
      </c>
      <c r="D671" s="308"/>
    </row>
    <row r="672" spans="1:4" x14ac:dyDescent="0.25">
      <c r="A672" s="304">
        <v>403</v>
      </c>
      <c r="B672" s="308">
        <v>16602</v>
      </c>
      <c r="C672" s="307" t="s">
        <v>3699</v>
      </c>
      <c r="D672" s="308"/>
    </row>
    <row r="673" spans="1:4" x14ac:dyDescent="0.25">
      <c r="A673" s="304">
        <v>404</v>
      </c>
      <c r="B673" s="308" t="s">
        <v>3698</v>
      </c>
      <c r="C673" s="307" t="s">
        <v>3063</v>
      </c>
      <c r="D673" s="308"/>
    </row>
    <row r="674" spans="1:4" x14ac:dyDescent="0.25">
      <c r="A674" s="304">
        <v>406</v>
      </c>
      <c r="B674" s="308">
        <v>16604</v>
      </c>
      <c r="C674" s="307" t="s">
        <v>3445</v>
      </c>
      <c r="D674" s="308"/>
    </row>
    <row r="675" spans="1:4" x14ac:dyDescent="0.25">
      <c r="A675" s="304">
        <v>411</v>
      </c>
      <c r="B675" s="308">
        <v>16609</v>
      </c>
      <c r="C675" s="307" t="s">
        <v>3697</v>
      </c>
      <c r="D675" s="308"/>
    </row>
    <row r="676" spans="1:4" x14ac:dyDescent="0.25">
      <c r="A676" s="304">
        <v>412</v>
      </c>
      <c r="B676" s="308">
        <v>16610</v>
      </c>
      <c r="C676" s="307" t="s">
        <v>3696</v>
      </c>
      <c r="D676" s="308"/>
    </row>
    <row r="677" spans="1:4" x14ac:dyDescent="0.25">
      <c r="A677" s="304">
        <v>416</v>
      </c>
      <c r="B677" s="308">
        <v>16629</v>
      </c>
      <c r="C677" s="307" t="s">
        <v>3695</v>
      </c>
      <c r="D677" s="308"/>
    </row>
    <row r="678" spans="1:4" x14ac:dyDescent="0.25">
      <c r="A678" s="304">
        <v>417</v>
      </c>
      <c r="B678" s="308">
        <v>16630</v>
      </c>
      <c r="C678" s="307" t="s">
        <v>3694</v>
      </c>
      <c r="D678" s="308"/>
    </row>
    <row r="679" spans="1:4" x14ac:dyDescent="0.25">
      <c r="A679" s="304">
        <v>419</v>
      </c>
      <c r="B679" s="308">
        <v>16701</v>
      </c>
      <c r="C679" s="307" t="s">
        <v>3693</v>
      </c>
      <c r="D679" s="308"/>
    </row>
    <row r="680" spans="1:4" x14ac:dyDescent="0.25">
      <c r="A680" s="304">
        <v>420</v>
      </c>
      <c r="B680" s="308">
        <v>16702</v>
      </c>
      <c r="C680" s="307" t="s">
        <v>3692</v>
      </c>
      <c r="D680" s="308"/>
    </row>
    <row r="681" spans="1:4" x14ac:dyDescent="0.25">
      <c r="A681" s="304">
        <v>421</v>
      </c>
      <c r="B681" s="308">
        <v>16703</v>
      </c>
      <c r="C681" s="307" t="s">
        <v>3691</v>
      </c>
      <c r="D681" s="308"/>
    </row>
    <row r="682" spans="1:4" x14ac:dyDescent="0.25">
      <c r="A682" s="304">
        <v>422</v>
      </c>
      <c r="B682" s="308">
        <v>16709</v>
      </c>
      <c r="C682" s="307" t="s">
        <v>3690</v>
      </c>
      <c r="D682" s="308"/>
    </row>
    <row r="683" spans="1:4" x14ac:dyDescent="0.25">
      <c r="A683" s="304">
        <v>423</v>
      </c>
      <c r="B683" s="308">
        <v>16711</v>
      </c>
      <c r="C683" s="307" t="s">
        <v>3689</v>
      </c>
      <c r="D683" s="308"/>
    </row>
    <row r="684" spans="1:4" x14ac:dyDescent="0.25">
      <c r="A684" s="304">
        <v>424</v>
      </c>
      <c r="B684" s="308">
        <v>16716</v>
      </c>
      <c r="C684" s="307" t="s">
        <v>3688</v>
      </c>
      <c r="D684" s="308"/>
    </row>
    <row r="685" spans="1:4" x14ac:dyDescent="0.25">
      <c r="A685" s="304">
        <v>425</v>
      </c>
      <c r="B685" s="308">
        <v>16733</v>
      </c>
      <c r="C685" s="307" t="s">
        <v>3687</v>
      </c>
      <c r="D685" s="308"/>
    </row>
    <row r="686" spans="1:4" x14ac:dyDescent="0.25">
      <c r="A686" s="304">
        <v>426</v>
      </c>
      <c r="B686" s="308">
        <v>16734</v>
      </c>
      <c r="C686" s="307" t="s">
        <v>3686</v>
      </c>
      <c r="D686" s="308"/>
    </row>
    <row r="687" spans="1:4" x14ac:dyDescent="0.25">
      <c r="A687" s="304">
        <v>427</v>
      </c>
      <c r="B687" s="308">
        <v>16740</v>
      </c>
      <c r="C687" s="307" t="s">
        <v>3685</v>
      </c>
      <c r="D687" s="308"/>
    </row>
    <row r="688" spans="1:4" x14ac:dyDescent="0.25">
      <c r="A688" s="304">
        <v>428</v>
      </c>
      <c r="B688" s="308">
        <v>16744</v>
      </c>
      <c r="C688" s="307" t="s">
        <v>3684</v>
      </c>
      <c r="D688" s="308"/>
    </row>
    <row r="689" spans="1:4" x14ac:dyDescent="0.25">
      <c r="A689" s="304">
        <v>429</v>
      </c>
      <c r="B689" s="308">
        <v>16745</v>
      </c>
      <c r="C689" s="307" t="s">
        <v>3683</v>
      </c>
      <c r="D689" s="308"/>
    </row>
    <row r="690" spans="1:4" x14ac:dyDescent="0.25">
      <c r="A690" s="304">
        <v>431</v>
      </c>
      <c r="B690" s="308">
        <v>16841</v>
      </c>
      <c r="C690" s="307" t="s">
        <v>3682</v>
      </c>
      <c r="D690" s="308"/>
    </row>
    <row r="691" spans="1:4" x14ac:dyDescent="0.25">
      <c r="A691" s="304">
        <v>432</v>
      </c>
      <c r="B691" s="308">
        <v>16842</v>
      </c>
      <c r="C691" s="307" t="s">
        <v>3681</v>
      </c>
      <c r="D691" s="308"/>
    </row>
    <row r="692" spans="1:4" x14ac:dyDescent="0.25">
      <c r="A692" s="304">
        <v>434</v>
      </c>
      <c r="B692" s="308">
        <v>16901</v>
      </c>
      <c r="C692" s="307" t="s">
        <v>2978</v>
      </c>
      <c r="D692" s="308"/>
    </row>
    <row r="693" spans="1:4" x14ac:dyDescent="0.25">
      <c r="A693" s="304">
        <v>435</v>
      </c>
      <c r="B693" s="308">
        <v>16902</v>
      </c>
      <c r="C693" s="307" t="s">
        <v>2976</v>
      </c>
      <c r="D693" s="308"/>
    </row>
    <row r="694" spans="1:4" x14ac:dyDescent="0.25">
      <c r="A694" s="304">
        <v>436</v>
      </c>
      <c r="B694" s="308">
        <v>16903</v>
      </c>
      <c r="C694" s="307" t="s">
        <v>3680</v>
      </c>
      <c r="D694" s="308"/>
    </row>
    <row r="695" spans="1:4" x14ac:dyDescent="0.25">
      <c r="A695" s="304">
        <v>437</v>
      </c>
      <c r="B695" s="308">
        <v>16904</v>
      </c>
      <c r="C695" s="307" t="s">
        <v>3679</v>
      </c>
      <c r="D695" s="308"/>
    </row>
    <row r="696" spans="1:4" x14ac:dyDescent="0.25">
      <c r="A696" s="304">
        <v>438</v>
      </c>
      <c r="B696" s="308">
        <v>16905</v>
      </c>
      <c r="C696" s="307" t="s">
        <v>3678</v>
      </c>
      <c r="D696" s="308"/>
    </row>
    <row r="697" spans="1:4" x14ac:dyDescent="0.25">
      <c r="A697" s="304">
        <v>439</v>
      </c>
      <c r="B697" s="308">
        <v>16906</v>
      </c>
      <c r="C697" s="307" t="s">
        <v>3677</v>
      </c>
      <c r="D697" s="308"/>
    </row>
    <row r="698" spans="1:4" x14ac:dyDescent="0.25">
      <c r="A698" s="304">
        <v>441</v>
      </c>
      <c r="B698" s="308">
        <v>16908</v>
      </c>
      <c r="C698" s="307" t="s">
        <v>3676</v>
      </c>
      <c r="D698" s="308"/>
    </row>
    <row r="699" spans="1:4" x14ac:dyDescent="0.25">
      <c r="A699" s="304">
        <v>442</v>
      </c>
      <c r="B699" s="308">
        <v>16922</v>
      </c>
      <c r="C699" s="307" t="s">
        <v>3675</v>
      </c>
      <c r="D699" s="308"/>
    </row>
    <row r="700" spans="1:4" x14ac:dyDescent="0.25">
      <c r="A700" s="304">
        <v>443</v>
      </c>
      <c r="B700" s="308">
        <v>16923</v>
      </c>
      <c r="C700" s="307" t="s">
        <v>3674</v>
      </c>
      <c r="D700" s="308"/>
    </row>
    <row r="701" spans="1:4" x14ac:dyDescent="0.25">
      <c r="A701" s="304">
        <v>445</v>
      </c>
      <c r="B701" s="308">
        <v>16925</v>
      </c>
      <c r="C701" s="307" t="s">
        <v>3673</v>
      </c>
      <c r="D701" s="308"/>
    </row>
    <row r="702" spans="1:4" x14ac:dyDescent="0.25">
      <c r="A702" s="304">
        <v>446</v>
      </c>
      <c r="B702" s="308">
        <v>16926</v>
      </c>
      <c r="C702" s="307" t="s">
        <v>3672</v>
      </c>
      <c r="D702" s="308"/>
    </row>
    <row r="703" spans="1:4" x14ac:dyDescent="0.25">
      <c r="A703" s="304">
        <v>447</v>
      </c>
      <c r="B703" s="308">
        <v>16927</v>
      </c>
      <c r="C703" s="307" t="s">
        <v>2678</v>
      </c>
      <c r="D703" s="308"/>
    </row>
    <row r="704" spans="1:4" x14ac:dyDescent="0.25">
      <c r="A704" s="304">
        <v>448</v>
      </c>
      <c r="B704" s="308">
        <v>16928</v>
      </c>
      <c r="C704" s="307" t="s">
        <v>3671</v>
      </c>
      <c r="D704" s="308"/>
    </row>
    <row r="705" spans="1:4" x14ac:dyDescent="0.25">
      <c r="A705" s="304">
        <v>449</v>
      </c>
      <c r="B705" s="308">
        <v>16929</v>
      </c>
      <c r="C705" s="307" t="s">
        <v>3670</v>
      </c>
      <c r="D705" s="308"/>
    </row>
    <row r="706" spans="1:4" x14ac:dyDescent="0.25">
      <c r="A706" s="304">
        <v>450</v>
      </c>
      <c r="B706" s="308">
        <v>16930</v>
      </c>
      <c r="C706" s="307" t="s">
        <v>3669</v>
      </c>
      <c r="D706" s="308"/>
    </row>
    <row r="707" spans="1:4" x14ac:dyDescent="0.25">
      <c r="A707" s="304">
        <v>451</v>
      </c>
      <c r="B707" s="308">
        <v>16931</v>
      </c>
      <c r="C707" s="307" t="s">
        <v>3668</v>
      </c>
      <c r="D707" s="308"/>
    </row>
    <row r="708" spans="1:4" x14ac:dyDescent="0.25">
      <c r="A708" s="304">
        <v>452</v>
      </c>
      <c r="B708" s="308">
        <v>16932</v>
      </c>
      <c r="C708" s="307" t="s">
        <v>3667</v>
      </c>
      <c r="D708" s="308"/>
    </row>
    <row r="709" spans="1:4" x14ac:dyDescent="0.25">
      <c r="A709" s="304">
        <v>453</v>
      </c>
      <c r="B709" s="308">
        <v>16933</v>
      </c>
      <c r="C709" s="307" t="s">
        <v>2707</v>
      </c>
      <c r="D709" s="308"/>
    </row>
    <row r="710" spans="1:4" x14ac:dyDescent="0.25">
      <c r="A710" s="304">
        <v>454</v>
      </c>
      <c r="B710" s="308">
        <v>16934</v>
      </c>
      <c r="C710" s="307" t="s">
        <v>3666</v>
      </c>
      <c r="D710" s="308"/>
    </row>
    <row r="711" spans="1:4" x14ac:dyDescent="0.25">
      <c r="A711" s="304">
        <v>455</v>
      </c>
      <c r="B711" s="308">
        <v>16935</v>
      </c>
      <c r="C711" s="307" t="s">
        <v>3665</v>
      </c>
      <c r="D711" s="308"/>
    </row>
    <row r="712" spans="1:4" x14ac:dyDescent="0.25">
      <c r="A712" s="304">
        <v>456</v>
      </c>
      <c r="B712" s="308">
        <v>16936</v>
      </c>
      <c r="C712" s="307" t="s">
        <v>3664</v>
      </c>
      <c r="D712" s="308"/>
    </row>
    <row r="713" spans="1:4" x14ac:dyDescent="0.25">
      <c r="A713" s="304">
        <v>457</v>
      </c>
      <c r="B713" s="308">
        <v>16937</v>
      </c>
      <c r="C713" s="307" t="s">
        <v>3663</v>
      </c>
      <c r="D713" s="308"/>
    </row>
    <row r="714" spans="1:4" x14ac:dyDescent="0.25">
      <c r="A714" s="304">
        <v>458</v>
      </c>
      <c r="B714" s="308">
        <v>16938</v>
      </c>
      <c r="C714" s="307" t="s">
        <v>3662</v>
      </c>
      <c r="D714" s="308"/>
    </row>
    <row r="715" spans="1:4" x14ac:dyDescent="0.25">
      <c r="A715" s="304">
        <v>459</v>
      </c>
      <c r="B715" s="308">
        <v>16939</v>
      </c>
      <c r="C715" s="307" t="s">
        <v>3661</v>
      </c>
      <c r="D715" s="308"/>
    </row>
    <row r="716" spans="1:4" x14ac:dyDescent="0.25">
      <c r="A716" s="304">
        <v>460</v>
      </c>
      <c r="B716" s="308">
        <v>16940</v>
      </c>
      <c r="C716" s="307" t="s">
        <v>3658</v>
      </c>
      <c r="D716" s="308"/>
    </row>
    <row r="717" spans="1:4" x14ac:dyDescent="0.25">
      <c r="A717" s="304">
        <v>461</v>
      </c>
      <c r="B717" s="308">
        <v>16941</v>
      </c>
      <c r="C717" s="307" t="s">
        <v>3660</v>
      </c>
      <c r="D717" s="308"/>
    </row>
    <row r="718" spans="1:4" x14ac:dyDescent="0.25">
      <c r="A718" s="304">
        <v>462</v>
      </c>
      <c r="B718" s="308">
        <v>16942</v>
      </c>
      <c r="C718" s="307" t="s">
        <v>3659</v>
      </c>
      <c r="D718" s="308"/>
    </row>
    <row r="719" spans="1:4" x14ac:dyDescent="0.25">
      <c r="A719" s="304">
        <v>463</v>
      </c>
      <c r="B719" s="308">
        <v>16943</v>
      </c>
      <c r="C719" s="307" t="s">
        <v>3658</v>
      </c>
      <c r="D719" s="308"/>
    </row>
    <row r="720" spans="1:4" x14ac:dyDescent="0.25">
      <c r="A720" s="304">
        <v>464</v>
      </c>
      <c r="B720" s="308">
        <v>16944</v>
      </c>
      <c r="C720" s="307" t="s">
        <v>3657</v>
      </c>
      <c r="D720" s="308"/>
    </row>
    <row r="721" spans="1:4" x14ac:dyDescent="0.25">
      <c r="A721" s="304">
        <v>466</v>
      </c>
      <c r="B721" s="308">
        <v>16952</v>
      </c>
      <c r="C721" s="307" t="s">
        <v>3656</v>
      </c>
      <c r="D721" s="308"/>
    </row>
    <row r="722" spans="1:4" x14ac:dyDescent="0.25">
      <c r="A722" s="304">
        <v>467</v>
      </c>
      <c r="B722" s="308">
        <v>17</v>
      </c>
      <c r="C722" s="307" t="s">
        <v>3655</v>
      </c>
      <c r="D722" s="308"/>
    </row>
    <row r="723" spans="1:4" x14ac:dyDescent="0.25">
      <c r="A723" s="304">
        <v>468</v>
      </c>
      <c r="B723" s="308">
        <v>177</v>
      </c>
      <c r="C723" s="307" t="s">
        <v>3654</v>
      </c>
      <c r="D723" s="308"/>
    </row>
    <row r="724" spans="1:4" x14ac:dyDescent="0.25">
      <c r="A724" s="304">
        <v>469</v>
      </c>
      <c r="B724" s="308">
        <v>1789</v>
      </c>
      <c r="C724" s="307" t="s">
        <v>3653</v>
      </c>
      <c r="D724" s="308"/>
    </row>
    <row r="725" spans="1:4" x14ac:dyDescent="0.25">
      <c r="A725" s="304">
        <v>470</v>
      </c>
      <c r="B725" s="308">
        <v>179</v>
      </c>
      <c r="C725" s="307" t="s">
        <v>3652</v>
      </c>
      <c r="D725" s="308"/>
    </row>
    <row r="726" spans="1:4" x14ac:dyDescent="0.25">
      <c r="A726" s="304">
        <v>472</v>
      </c>
      <c r="B726" s="308">
        <v>18</v>
      </c>
      <c r="C726" s="307" t="s">
        <v>3651</v>
      </c>
      <c r="D726" s="308"/>
    </row>
    <row r="727" spans="1:4" x14ac:dyDescent="0.25">
      <c r="A727" s="304">
        <v>473</v>
      </c>
      <c r="B727" s="308">
        <v>1814</v>
      </c>
      <c r="C727" s="307" t="s">
        <v>3650</v>
      </c>
      <c r="D727" s="308"/>
    </row>
    <row r="728" spans="1:4" x14ac:dyDescent="0.25">
      <c r="A728" s="304">
        <v>474</v>
      </c>
      <c r="B728" s="308">
        <v>1815</v>
      </c>
      <c r="C728" s="307" t="s">
        <v>3649</v>
      </c>
      <c r="D728" s="308"/>
    </row>
    <row r="729" spans="1:4" x14ac:dyDescent="0.25">
      <c r="A729" s="304">
        <v>475</v>
      </c>
      <c r="B729" s="308">
        <v>1816</v>
      </c>
      <c r="C729" s="307" t="s">
        <v>3648</v>
      </c>
      <c r="D729" s="308"/>
    </row>
    <row r="730" spans="1:4" x14ac:dyDescent="0.25">
      <c r="A730" s="304">
        <v>476</v>
      </c>
      <c r="B730" s="308">
        <v>1817</v>
      </c>
      <c r="C730" s="307" t="s">
        <v>3647</v>
      </c>
      <c r="D730" s="308"/>
    </row>
    <row r="731" spans="1:4" x14ac:dyDescent="0.25">
      <c r="A731" s="304">
        <v>477</v>
      </c>
      <c r="B731" s="308">
        <v>1818</v>
      </c>
      <c r="C731" s="307" t="s">
        <v>3646</v>
      </c>
      <c r="D731" s="308"/>
    </row>
    <row r="732" spans="1:4" x14ac:dyDescent="0.25">
      <c r="A732" s="304">
        <v>478</v>
      </c>
      <c r="B732" s="308">
        <v>1819</v>
      </c>
      <c r="C732" s="307" t="s">
        <v>3645</v>
      </c>
      <c r="D732" s="308"/>
    </row>
    <row r="733" spans="1:4" x14ac:dyDescent="0.25">
      <c r="A733" s="304">
        <v>479</v>
      </c>
      <c r="B733" s="308">
        <v>1961</v>
      </c>
      <c r="C733" s="307" t="s">
        <v>3641</v>
      </c>
      <c r="D733" s="308"/>
    </row>
    <row r="734" spans="1:4" x14ac:dyDescent="0.25">
      <c r="A734" s="304">
        <v>480</v>
      </c>
      <c r="B734" s="308">
        <v>1962</v>
      </c>
      <c r="C734" s="307" t="s">
        <v>3644</v>
      </c>
      <c r="D734" s="308"/>
    </row>
    <row r="735" spans="1:4" x14ac:dyDescent="0.25">
      <c r="A735" s="304">
        <v>481</v>
      </c>
      <c r="B735" s="308">
        <v>1963</v>
      </c>
      <c r="C735" s="307" t="s">
        <v>2838</v>
      </c>
      <c r="D735" s="308"/>
    </row>
    <row r="736" spans="1:4" x14ac:dyDescent="0.25">
      <c r="A736" s="304">
        <v>482</v>
      </c>
      <c r="B736" s="308">
        <v>1964</v>
      </c>
      <c r="C736" s="307" t="s">
        <v>3643</v>
      </c>
      <c r="D736" s="308"/>
    </row>
    <row r="737" spans="1:4" x14ac:dyDescent="0.25">
      <c r="A737" s="304">
        <v>483</v>
      </c>
      <c r="B737" s="308">
        <v>1967</v>
      </c>
      <c r="C737" s="307" t="s">
        <v>3642</v>
      </c>
      <c r="D737" s="308"/>
    </row>
    <row r="738" spans="1:4" x14ac:dyDescent="0.25">
      <c r="A738" s="304">
        <v>485</v>
      </c>
      <c r="B738" s="308">
        <v>1971</v>
      </c>
      <c r="C738" s="307" t="s">
        <v>3641</v>
      </c>
      <c r="D738" s="308"/>
    </row>
    <row r="739" spans="1:4" x14ac:dyDescent="0.25">
      <c r="A739" s="304">
        <v>486</v>
      </c>
      <c r="B739" s="308">
        <v>1972</v>
      </c>
      <c r="C739" s="307" t="s">
        <v>3640</v>
      </c>
      <c r="D739" s="308"/>
    </row>
    <row r="740" spans="1:4" x14ac:dyDescent="0.25">
      <c r="A740" s="304">
        <v>487</v>
      </c>
      <c r="B740" s="308">
        <v>1973</v>
      </c>
      <c r="C740" s="307" t="s">
        <v>3639</v>
      </c>
      <c r="D740" s="308"/>
    </row>
    <row r="741" spans="1:4" x14ac:dyDescent="0.25">
      <c r="A741" s="304">
        <v>488</v>
      </c>
      <c r="B741" s="308">
        <v>1974</v>
      </c>
      <c r="C741" s="307" t="s">
        <v>3638</v>
      </c>
      <c r="D741" s="308"/>
    </row>
    <row r="742" spans="1:4" x14ac:dyDescent="0.25">
      <c r="A742" s="304">
        <v>489</v>
      </c>
      <c r="B742" s="308">
        <v>1975</v>
      </c>
      <c r="C742" s="307" t="s">
        <v>3637</v>
      </c>
      <c r="D742" s="308"/>
    </row>
    <row r="743" spans="1:4" x14ac:dyDescent="0.25">
      <c r="A743" s="304">
        <v>490</v>
      </c>
      <c r="B743" s="308">
        <v>20</v>
      </c>
      <c r="C743" s="307" t="s">
        <v>3636</v>
      </c>
      <c r="D743" s="308"/>
    </row>
    <row r="744" spans="1:4" x14ac:dyDescent="0.25">
      <c r="A744" s="304">
        <v>491</v>
      </c>
      <c r="B744" s="308">
        <v>200</v>
      </c>
      <c r="C744" s="307" t="s">
        <v>3635</v>
      </c>
      <c r="D744" s="308"/>
    </row>
    <row r="745" spans="1:4" x14ac:dyDescent="0.25">
      <c r="A745" s="304">
        <v>492</v>
      </c>
      <c r="B745" s="308">
        <v>205</v>
      </c>
      <c r="C745" s="307" t="s">
        <v>3634</v>
      </c>
      <c r="D745" s="308"/>
    </row>
    <row r="746" spans="1:4" x14ac:dyDescent="0.25">
      <c r="A746" s="304">
        <v>493</v>
      </c>
      <c r="B746" s="308">
        <v>235</v>
      </c>
      <c r="C746" s="307" t="s">
        <v>3633</v>
      </c>
      <c r="D746" s="308"/>
    </row>
    <row r="747" spans="1:4" x14ac:dyDescent="0.25">
      <c r="A747" s="304">
        <v>494</v>
      </c>
      <c r="B747" s="308">
        <v>236</v>
      </c>
      <c r="C747" s="307" t="s">
        <v>3632</v>
      </c>
      <c r="D747" s="308"/>
    </row>
    <row r="748" spans="1:4" x14ac:dyDescent="0.25">
      <c r="A748" s="304">
        <v>495</v>
      </c>
      <c r="B748" s="308">
        <v>237</v>
      </c>
      <c r="C748" s="307" t="s">
        <v>3631</v>
      </c>
      <c r="D748" s="308"/>
    </row>
    <row r="749" spans="1:4" x14ac:dyDescent="0.25">
      <c r="A749" s="304">
        <v>496</v>
      </c>
      <c r="B749" s="308">
        <v>240</v>
      </c>
      <c r="C749" s="307" t="s">
        <v>3630</v>
      </c>
      <c r="D749" s="308"/>
    </row>
    <row r="750" spans="1:4" x14ac:dyDescent="0.25">
      <c r="A750" s="304">
        <v>497</v>
      </c>
      <c r="B750" s="308">
        <v>242</v>
      </c>
      <c r="C750" s="307" t="s">
        <v>3629</v>
      </c>
      <c r="D750" s="308"/>
    </row>
    <row r="751" spans="1:4" x14ac:dyDescent="0.25">
      <c r="A751" s="304">
        <v>498</v>
      </c>
      <c r="B751" s="308">
        <v>256</v>
      </c>
      <c r="C751" s="307" t="s">
        <v>3628</v>
      </c>
      <c r="D751" s="308"/>
    </row>
    <row r="752" spans="1:4" x14ac:dyDescent="0.25">
      <c r="A752" s="304">
        <v>499</v>
      </c>
      <c r="B752" s="308">
        <v>257</v>
      </c>
      <c r="C752" s="307" t="s">
        <v>3627</v>
      </c>
      <c r="D752" s="308"/>
    </row>
    <row r="753" spans="1:4" x14ac:dyDescent="0.25">
      <c r="A753" s="304">
        <v>500</v>
      </c>
      <c r="B753" s="308">
        <v>258</v>
      </c>
      <c r="C753" s="307" t="s">
        <v>3626</v>
      </c>
      <c r="D753" s="308"/>
    </row>
    <row r="754" spans="1:4" x14ac:dyDescent="0.25">
      <c r="A754" s="304">
        <v>501</v>
      </c>
      <c r="B754" s="308">
        <v>262</v>
      </c>
      <c r="C754" s="307" t="s">
        <v>3625</v>
      </c>
      <c r="D754" s="308"/>
    </row>
    <row r="755" spans="1:4" x14ac:dyDescent="0.25">
      <c r="A755" s="304">
        <v>502</v>
      </c>
      <c r="B755" s="308">
        <v>263</v>
      </c>
      <c r="C755" s="307" t="s">
        <v>3624</v>
      </c>
      <c r="D755" s="308"/>
    </row>
    <row r="756" spans="1:4" x14ac:dyDescent="0.25">
      <c r="A756" s="304">
        <v>503</v>
      </c>
      <c r="B756" s="308">
        <v>264</v>
      </c>
      <c r="C756" s="307" t="s">
        <v>3623</v>
      </c>
      <c r="D756" s="308"/>
    </row>
    <row r="757" spans="1:4" x14ac:dyDescent="0.25">
      <c r="A757" s="304">
        <v>504</v>
      </c>
      <c r="B757" s="308">
        <v>272</v>
      </c>
      <c r="C757" s="307" t="s">
        <v>3622</v>
      </c>
      <c r="D757" s="308"/>
    </row>
    <row r="758" spans="1:4" x14ac:dyDescent="0.25">
      <c r="A758" s="304">
        <v>505</v>
      </c>
      <c r="B758" s="308">
        <v>273</v>
      </c>
      <c r="C758" s="307" t="s">
        <v>3621</v>
      </c>
      <c r="D758" s="308"/>
    </row>
    <row r="759" spans="1:4" x14ac:dyDescent="0.25">
      <c r="A759" s="304">
        <v>506</v>
      </c>
      <c r="B759" s="308">
        <v>274</v>
      </c>
      <c r="C759" s="307" t="s">
        <v>3620</v>
      </c>
      <c r="D759" s="308"/>
    </row>
    <row r="760" spans="1:4" x14ac:dyDescent="0.25">
      <c r="A760" s="304">
        <v>507</v>
      </c>
      <c r="B760" s="308">
        <v>277</v>
      </c>
      <c r="C760" s="307" t="s">
        <v>3619</v>
      </c>
      <c r="D760" s="308"/>
    </row>
    <row r="761" spans="1:4" x14ac:dyDescent="0.25">
      <c r="A761" s="304">
        <v>508</v>
      </c>
      <c r="B761" s="308">
        <v>279</v>
      </c>
      <c r="C761" s="307" t="s">
        <v>3618</v>
      </c>
      <c r="D761" s="308"/>
    </row>
    <row r="762" spans="1:4" x14ac:dyDescent="0.25">
      <c r="A762" s="304">
        <v>509</v>
      </c>
      <c r="B762" s="308">
        <v>284</v>
      </c>
      <c r="C762" s="307" t="s">
        <v>3617</v>
      </c>
      <c r="D762" s="308"/>
    </row>
    <row r="763" spans="1:4" x14ac:dyDescent="0.25">
      <c r="A763" s="304">
        <v>510</v>
      </c>
      <c r="B763" s="308">
        <v>286</v>
      </c>
      <c r="C763" s="307" t="s">
        <v>3616</v>
      </c>
      <c r="D763" s="308"/>
    </row>
    <row r="764" spans="1:4" x14ac:dyDescent="0.25">
      <c r="A764" s="304">
        <v>512</v>
      </c>
      <c r="B764" s="308">
        <v>294</v>
      </c>
      <c r="C764" s="307" t="s">
        <v>3615</v>
      </c>
      <c r="D764" s="308"/>
    </row>
    <row r="765" spans="1:4" x14ac:dyDescent="0.25">
      <c r="A765" s="304">
        <v>513</v>
      </c>
      <c r="B765" s="308">
        <v>2942</v>
      </c>
      <c r="C765" s="307" t="s">
        <v>3614</v>
      </c>
      <c r="D765" s="308"/>
    </row>
    <row r="766" spans="1:4" x14ac:dyDescent="0.25">
      <c r="A766" s="304">
        <v>515</v>
      </c>
      <c r="B766" s="308">
        <v>295</v>
      </c>
      <c r="C766" s="307" t="s">
        <v>3613</v>
      </c>
      <c r="D766" s="308"/>
    </row>
    <row r="767" spans="1:4" x14ac:dyDescent="0.25">
      <c r="A767" s="304">
        <v>516</v>
      </c>
      <c r="B767" s="308">
        <v>296</v>
      </c>
      <c r="C767" s="307" t="s">
        <v>3612</v>
      </c>
      <c r="D767" s="308"/>
    </row>
    <row r="768" spans="1:4" x14ac:dyDescent="0.25">
      <c r="A768" s="304">
        <v>517</v>
      </c>
      <c r="B768" s="308">
        <v>297</v>
      </c>
      <c r="C768" s="307" t="s">
        <v>3611</v>
      </c>
      <c r="D768" s="308"/>
    </row>
    <row r="769" spans="1:4" x14ac:dyDescent="0.25">
      <c r="A769" s="304">
        <v>518</v>
      </c>
      <c r="B769" s="308">
        <v>298</v>
      </c>
      <c r="C769" s="307" t="s">
        <v>3610</v>
      </c>
      <c r="D769" s="308"/>
    </row>
    <row r="770" spans="1:4" x14ac:dyDescent="0.25">
      <c r="A770" s="304">
        <v>519</v>
      </c>
      <c r="B770" s="308">
        <v>299</v>
      </c>
      <c r="C770" s="307" t="s">
        <v>3609</v>
      </c>
      <c r="D770" s="308"/>
    </row>
    <row r="771" spans="1:4" x14ac:dyDescent="0.25">
      <c r="A771" s="304">
        <v>520</v>
      </c>
      <c r="B771" s="308">
        <v>300</v>
      </c>
      <c r="C771" s="307" t="s">
        <v>3608</v>
      </c>
      <c r="D771" s="308"/>
    </row>
    <row r="772" spans="1:4" x14ac:dyDescent="0.25">
      <c r="A772" s="304">
        <v>521</v>
      </c>
      <c r="B772" s="308">
        <v>301</v>
      </c>
      <c r="C772" s="307" t="s">
        <v>3607</v>
      </c>
      <c r="D772" s="308"/>
    </row>
    <row r="773" spans="1:4" x14ac:dyDescent="0.25">
      <c r="A773" s="304">
        <v>522</v>
      </c>
      <c r="B773" s="308">
        <v>310</v>
      </c>
      <c r="C773" s="307" t="s">
        <v>3606</v>
      </c>
      <c r="D773" s="308"/>
    </row>
    <row r="774" spans="1:4" x14ac:dyDescent="0.25">
      <c r="A774" s="304">
        <v>523</v>
      </c>
      <c r="B774" s="308">
        <v>311</v>
      </c>
      <c r="C774" s="307" t="s">
        <v>3605</v>
      </c>
      <c r="D774" s="308"/>
    </row>
    <row r="775" spans="1:4" x14ac:dyDescent="0.25">
      <c r="A775" s="304">
        <v>524</v>
      </c>
      <c r="B775" s="308">
        <v>312</v>
      </c>
      <c r="C775" s="307" t="s">
        <v>3604</v>
      </c>
      <c r="D775" s="308"/>
    </row>
    <row r="776" spans="1:4" x14ac:dyDescent="0.25">
      <c r="A776" s="304">
        <v>525</v>
      </c>
      <c r="B776" s="308">
        <v>313</v>
      </c>
      <c r="C776" s="307" t="s">
        <v>3603</v>
      </c>
      <c r="D776" s="308"/>
    </row>
    <row r="777" spans="1:4" x14ac:dyDescent="0.25">
      <c r="A777" s="304">
        <v>526</v>
      </c>
      <c r="B777" s="308">
        <v>314</v>
      </c>
      <c r="C777" s="307" t="s">
        <v>3602</v>
      </c>
      <c r="D777" s="308"/>
    </row>
    <row r="778" spans="1:4" x14ac:dyDescent="0.25">
      <c r="A778" s="304">
        <v>527</v>
      </c>
      <c r="B778" s="308">
        <v>315</v>
      </c>
      <c r="C778" s="307" t="s">
        <v>3601</v>
      </c>
      <c r="D778" s="308"/>
    </row>
    <row r="779" spans="1:4" x14ac:dyDescent="0.25">
      <c r="A779" s="304">
        <v>528</v>
      </c>
      <c r="B779" s="308">
        <v>316</v>
      </c>
      <c r="C779" s="307" t="s">
        <v>3600</v>
      </c>
      <c r="D779" s="308"/>
    </row>
    <row r="780" spans="1:4" x14ac:dyDescent="0.25">
      <c r="A780" s="304">
        <v>529</v>
      </c>
      <c r="B780" s="308">
        <v>317</v>
      </c>
      <c r="C780" s="307" t="s">
        <v>3599</v>
      </c>
      <c r="D780" s="308"/>
    </row>
    <row r="781" spans="1:4" x14ac:dyDescent="0.25">
      <c r="A781" s="304">
        <v>530</v>
      </c>
      <c r="B781" s="308">
        <v>318</v>
      </c>
      <c r="C781" s="307" t="s">
        <v>3598</v>
      </c>
      <c r="D781" s="308"/>
    </row>
    <row r="782" spans="1:4" x14ac:dyDescent="0.25">
      <c r="A782" s="304">
        <v>531</v>
      </c>
      <c r="B782" s="308">
        <v>319</v>
      </c>
      <c r="C782" s="307" t="s">
        <v>3597</v>
      </c>
      <c r="D782" s="308"/>
    </row>
    <row r="783" spans="1:4" x14ac:dyDescent="0.25">
      <c r="A783" s="304">
        <v>532</v>
      </c>
      <c r="B783" s="308">
        <v>320</v>
      </c>
      <c r="C783" s="307" t="s">
        <v>3596</v>
      </c>
      <c r="D783" s="308"/>
    </row>
    <row r="784" spans="1:4" x14ac:dyDescent="0.25">
      <c r="A784" s="304">
        <v>533</v>
      </c>
      <c r="B784" s="308">
        <v>321</v>
      </c>
      <c r="C784" s="307" t="s">
        <v>3596</v>
      </c>
      <c r="D784" s="308"/>
    </row>
    <row r="785" spans="1:4" x14ac:dyDescent="0.25">
      <c r="A785" s="304">
        <v>534</v>
      </c>
      <c r="B785" s="308">
        <v>322</v>
      </c>
      <c r="C785" s="307" t="s">
        <v>3595</v>
      </c>
      <c r="D785" s="308"/>
    </row>
    <row r="786" spans="1:4" x14ac:dyDescent="0.25">
      <c r="A786" s="304">
        <v>535</v>
      </c>
      <c r="B786" s="308">
        <v>323</v>
      </c>
      <c r="C786" s="307" t="s">
        <v>3594</v>
      </c>
      <c r="D786" s="308"/>
    </row>
    <row r="787" spans="1:4" x14ac:dyDescent="0.25">
      <c r="A787" s="304">
        <v>536</v>
      </c>
      <c r="B787" s="308">
        <v>324</v>
      </c>
      <c r="C787" s="307" t="s">
        <v>3593</v>
      </c>
      <c r="D787" s="308"/>
    </row>
    <row r="788" spans="1:4" x14ac:dyDescent="0.25">
      <c r="A788" s="304">
        <v>537</v>
      </c>
      <c r="B788" s="308">
        <v>336</v>
      </c>
      <c r="C788" s="307" t="s">
        <v>3592</v>
      </c>
      <c r="D788" s="308"/>
    </row>
    <row r="789" spans="1:4" x14ac:dyDescent="0.25">
      <c r="A789" s="304">
        <v>538</v>
      </c>
      <c r="B789" s="308">
        <v>3470</v>
      </c>
      <c r="C789" s="307" t="s">
        <v>3591</v>
      </c>
      <c r="D789" s="308"/>
    </row>
    <row r="790" spans="1:4" x14ac:dyDescent="0.25">
      <c r="A790" s="304">
        <v>540</v>
      </c>
      <c r="B790" s="308">
        <v>357</v>
      </c>
      <c r="C790" s="307" t="s">
        <v>3590</v>
      </c>
      <c r="D790" s="308"/>
    </row>
    <row r="791" spans="1:4" x14ac:dyDescent="0.25">
      <c r="A791" s="304">
        <v>541</v>
      </c>
      <c r="B791" s="308">
        <v>361</v>
      </c>
      <c r="C791" s="307" t="s">
        <v>3589</v>
      </c>
      <c r="D791" s="308"/>
    </row>
    <row r="792" spans="1:4" x14ac:dyDescent="0.25">
      <c r="A792" s="304">
        <v>542</v>
      </c>
      <c r="B792" s="308">
        <v>366</v>
      </c>
      <c r="C792" s="307" t="s">
        <v>3588</v>
      </c>
      <c r="D792" s="308"/>
    </row>
    <row r="793" spans="1:4" x14ac:dyDescent="0.25">
      <c r="A793" s="304">
        <v>545</v>
      </c>
      <c r="B793" s="308">
        <v>370</v>
      </c>
      <c r="C793" s="307" t="s">
        <v>3587</v>
      </c>
      <c r="D793" s="308"/>
    </row>
    <row r="794" spans="1:4" x14ac:dyDescent="0.25">
      <c r="A794" s="304">
        <v>547</v>
      </c>
      <c r="B794" s="308">
        <v>375</v>
      </c>
      <c r="C794" s="307" t="s">
        <v>3586</v>
      </c>
      <c r="D794" s="308"/>
    </row>
    <row r="795" spans="1:4" x14ac:dyDescent="0.25">
      <c r="A795" s="304">
        <v>548</v>
      </c>
      <c r="B795" s="308">
        <v>376</v>
      </c>
      <c r="C795" s="307" t="s">
        <v>3585</v>
      </c>
      <c r="D795" s="308"/>
    </row>
    <row r="796" spans="1:4" x14ac:dyDescent="0.25">
      <c r="A796" s="304">
        <v>549</v>
      </c>
      <c r="B796" s="308">
        <v>377</v>
      </c>
      <c r="C796" s="307" t="s">
        <v>3584</v>
      </c>
      <c r="D796" s="308"/>
    </row>
    <row r="797" spans="1:4" x14ac:dyDescent="0.25">
      <c r="A797" s="304">
        <v>550</v>
      </c>
      <c r="B797" s="308">
        <v>378</v>
      </c>
      <c r="C797" s="307" t="s">
        <v>3583</v>
      </c>
      <c r="D797" s="308"/>
    </row>
    <row r="798" spans="1:4" x14ac:dyDescent="0.25">
      <c r="A798" s="304">
        <v>551</v>
      </c>
      <c r="B798" s="308">
        <v>379</v>
      </c>
      <c r="C798" s="307" t="s">
        <v>3582</v>
      </c>
      <c r="D798" s="308"/>
    </row>
    <row r="799" spans="1:4" x14ac:dyDescent="0.25">
      <c r="A799" s="304">
        <v>552</v>
      </c>
      <c r="B799" s="308">
        <v>380</v>
      </c>
      <c r="C799" s="307" t="s">
        <v>3581</v>
      </c>
      <c r="D799" s="308"/>
    </row>
    <row r="800" spans="1:4" x14ac:dyDescent="0.25">
      <c r="A800" s="304">
        <v>553</v>
      </c>
      <c r="B800" s="308">
        <v>38005</v>
      </c>
      <c r="C800" s="307" t="s">
        <v>3580</v>
      </c>
      <c r="D800" s="308"/>
    </row>
    <row r="801" spans="1:4" x14ac:dyDescent="0.25">
      <c r="A801" s="304">
        <v>554</v>
      </c>
      <c r="B801" s="308">
        <v>38006</v>
      </c>
      <c r="C801" s="307" t="s">
        <v>3579</v>
      </c>
      <c r="D801" s="308"/>
    </row>
    <row r="802" spans="1:4" x14ac:dyDescent="0.25">
      <c r="A802" s="304">
        <v>555</v>
      </c>
      <c r="B802" s="308">
        <v>38015</v>
      </c>
      <c r="C802" s="307" t="s">
        <v>3578</v>
      </c>
      <c r="D802" s="308"/>
    </row>
    <row r="803" spans="1:4" x14ac:dyDescent="0.25">
      <c r="A803" s="304">
        <v>556</v>
      </c>
      <c r="B803" s="308">
        <v>38016</v>
      </c>
      <c r="C803" s="307" t="s">
        <v>3577</v>
      </c>
      <c r="D803" s="308"/>
    </row>
    <row r="804" spans="1:4" x14ac:dyDescent="0.25">
      <c r="A804" s="304">
        <v>557</v>
      </c>
      <c r="B804" s="308">
        <v>38017</v>
      </c>
      <c r="C804" s="307" t="s">
        <v>3576</v>
      </c>
      <c r="D804" s="308"/>
    </row>
    <row r="805" spans="1:4" x14ac:dyDescent="0.25">
      <c r="A805" s="304">
        <v>558</v>
      </c>
      <c r="B805" s="308">
        <v>38018</v>
      </c>
      <c r="C805" s="307" t="s">
        <v>3575</v>
      </c>
      <c r="D805" s="308"/>
    </row>
    <row r="806" spans="1:4" x14ac:dyDescent="0.25">
      <c r="A806" s="304">
        <v>559</v>
      </c>
      <c r="B806" s="308">
        <v>38028</v>
      </c>
      <c r="C806" s="307" t="s">
        <v>3574</v>
      </c>
      <c r="D806" s="308"/>
    </row>
    <row r="807" spans="1:4" x14ac:dyDescent="0.25">
      <c r="A807" s="304">
        <v>560</v>
      </c>
      <c r="B807" s="308">
        <v>38030</v>
      </c>
      <c r="C807" s="307" t="s">
        <v>3573</v>
      </c>
      <c r="D807" s="308"/>
    </row>
    <row r="808" spans="1:4" x14ac:dyDescent="0.25">
      <c r="A808" s="304">
        <v>561</v>
      </c>
      <c r="B808" s="308">
        <v>38034</v>
      </c>
      <c r="C808" s="307" t="s">
        <v>3572</v>
      </c>
      <c r="D808" s="308"/>
    </row>
    <row r="809" spans="1:4" x14ac:dyDescent="0.25">
      <c r="A809" s="304">
        <v>562</v>
      </c>
      <c r="B809" s="308">
        <v>38035</v>
      </c>
      <c r="C809" s="307" t="s">
        <v>3571</v>
      </c>
      <c r="D809" s="308"/>
    </row>
    <row r="810" spans="1:4" x14ac:dyDescent="0.25">
      <c r="A810" s="304">
        <v>563</v>
      </c>
      <c r="B810" s="308">
        <v>38039</v>
      </c>
      <c r="C810" s="307" t="s">
        <v>3570</v>
      </c>
      <c r="D810" s="308"/>
    </row>
    <row r="811" spans="1:4" x14ac:dyDescent="0.25">
      <c r="A811" s="304">
        <v>564</v>
      </c>
      <c r="B811" s="308">
        <v>38040</v>
      </c>
      <c r="C811" s="307" t="s">
        <v>3569</v>
      </c>
      <c r="D811" s="308"/>
    </row>
    <row r="812" spans="1:4" x14ac:dyDescent="0.25">
      <c r="A812" s="304">
        <v>565</v>
      </c>
      <c r="B812" s="308">
        <v>38041</v>
      </c>
      <c r="C812" s="307" t="s">
        <v>3568</v>
      </c>
      <c r="D812" s="308"/>
    </row>
    <row r="813" spans="1:4" x14ac:dyDescent="0.25">
      <c r="A813" s="304">
        <v>566</v>
      </c>
      <c r="B813" s="308">
        <v>38048</v>
      </c>
      <c r="C813" s="307" t="s">
        <v>3567</v>
      </c>
      <c r="D813" s="308"/>
    </row>
    <row r="814" spans="1:4" x14ac:dyDescent="0.25">
      <c r="A814" s="304">
        <v>567</v>
      </c>
      <c r="B814" s="308">
        <v>38049</v>
      </c>
      <c r="C814" s="307" t="s">
        <v>3566</v>
      </c>
      <c r="D814" s="308"/>
    </row>
    <row r="815" spans="1:4" x14ac:dyDescent="0.25">
      <c r="A815" s="304">
        <v>568</v>
      </c>
      <c r="B815" s="308">
        <v>38063</v>
      </c>
      <c r="C815" s="307" t="s">
        <v>3565</v>
      </c>
      <c r="D815" s="308"/>
    </row>
    <row r="816" spans="1:4" x14ac:dyDescent="0.25">
      <c r="A816" s="304">
        <v>569</v>
      </c>
      <c r="B816" s="308">
        <v>38064</v>
      </c>
      <c r="C816" s="307" t="s">
        <v>3564</v>
      </c>
      <c r="D816" s="308"/>
    </row>
    <row r="817" spans="1:4" x14ac:dyDescent="0.25">
      <c r="A817" s="304">
        <v>570</v>
      </c>
      <c r="B817" s="308">
        <v>38065</v>
      </c>
      <c r="C817" s="307" t="s">
        <v>3563</v>
      </c>
      <c r="D817" s="308"/>
    </row>
    <row r="818" spans="1:4" x14ac:dyDescent="0.25">
      <c r="A818" s="304">
        <v>571</v>
      </c>
      <c r="B818" s="308">
        <v>38066</v>
      </c>
      <c r="C818" s="307" t="s">
        <v>3562</v>
      </c>
      <c r="D818" s="308"/>
    </row>
    <row r="819" spans="1:4" x14ac:dyDescent="0.25">
      <c r="A819" s="304">
        <v>572</v>
      </c>
      <c r="B819" s="308">
        <v>38067</v>
      </c>
      <c r="C819" s="307" t="s">
        <v>3561</v>
      </c>
      <c r="D819" s="308"/>
    </row>
    <row r="820" spans="1:4" x14ac:dyDescent="0.25">
      <c r="A820" s="304">
        <v>573</v>
      </c>
      <c r="B820" s="308">
        <v>38069</v>
      </c>
      <c r="C820" s="307" t="s">
        <v>3560</v>
      </c>
      <c r="D820" s="308"/>
    </row>
    <row r="821" spans="1:4" x14ac:dyDescent="0.25">
      <c r="A821" s="304">
        <v>574</v>
      </c>
      <c r="B821" s="308">
        <v>38070</v>
      </c>
      <c r="C821" s="307" t="s">
        <v>3559</v>
      </c>
      <c r="D821" s="308"/>
    </row>
    <row r="822" spans="1:4" x14ac:dyDescent="0.25">
      <c r="A822" s="304">
        <v>575</v>
      </c>
      <c r="B822" s="308">
        <v>38074</v>
      </c>
      <c r="C822" s="307" t="s">
        <v>3558</v>
      </c>
      <c r="D822" s="308"/>
    </row>
    <row r="823" spans="1:4" x14ac:dyDescent="0.25">
      <c r="A823" s="304">
        <v>576</v>
      </c>
      <c r="B823" s="308">
        <v>38075</v>
      </c>
      <c r="C823" s="307" t="s">
        <v>3557</v>
      </c>
      <c r="D823" s="308"/>
    </row>
    <row r="824" spans="1:4" x14ac:dyDescent="0.25">
      <c r="A824" s="304">
        <v>577</v>
      </c>
      <c r="B824" s="308">
        <v>38078</v>
      </c>
      <c r="C824" s="307" t="s">
        <v>3556</v>
      </c>
      <c r="D824" s="308"/>
    </row>
    <row r="825" spans="1:4" x14ac:dyDescent="0.25">
      <c r="A825" s="304">
        <v>578</v>
      </c>
      <c r="B825" s="308">
        <v>38079</v>
      </c>
      <c r="C825" s="307" t="s">
        <v>3555</v>
      </c>
      <c r="D825" s="308"/>
    </row>
    <row r="826" spans="1:4" x14ac:dyDescent="0.25">
      <c r="A826" s="304">
        <v>579</v>
      </c>
      <c r="B826" s="308">
        <v>382</v>
      </c>
      <c r="C826" s="307" t="s">
        <v>3554</v>
      </c>
      <c r="D826" s="308"/>
    </row>
    <row r="827" spans="1:4" x14ac:dyDescent="0.25">
      <c r="A827" s="304">
        <v>581</v>
      </c>
      <c r="B827" s="308">
        <v>392</v>
      </c>
      <c r="C827" s="307" t="s">
        <v>3553</v>
      </c>
      <c r="D827" s="308"/>
    </row>
    <row r="828" spans="1:4" x14ac:dyDescent="0.25">
      <c r="A828" s="304">
        <v>582</v>
      </c>
      <c r="B828" s="308">
        <v>393</v>
      </c>
      <c r="C828" s="307" t="s">
        <v>3552</v>
      </c>
      <c r="D828" s="308"/>
    </row>
    <row r="829" spans="1:4" x14ac:dyDescent="0.25">
      <c r="A829" s="304">
        <v>583</v>
      </c>
      <c r="B829" s="308">
        <v>40</v>
      </c>
      <c r="C829" s="307" t="s">
        <v>3551</v>
      </c>
      <c r="D829" s="308"/>
    </row>
    <row r="830" spans="1:4" x14ac:dyDescent="0.25">
      <c r="A830" s="304">
        <v>584</v>
      </c>
      <c r="B830" s="308">
        <v>4000028</v>
      </c>
      <c r="C830" s="307" t="s">
        <v>3550</v>
      </c>
      <c r="D830" s="308"/>
    </row>
    <row r="831" spans="1:4" x14ac:dyDescent="0.25">
      <c r="A831" s="304">
        <v>585</v>
      </c>
      <c r="B831" s="308">
        <v>4000346</v>
      </c>
      <c r="C831" s="307" t="s">
        <v>3549</v>
      </c>
      <c r="D831" s="308"/>
    </row>
    <row r="832" spans="1:4" x14ac:dyDescent="0.25">
      <c r="A832" s="304">
        <v>586</v>
      </c>
      <c r="B832" s="308">
        <v>40022</v>
      </c>
      <c r="C832" s="307" t="s">
        <v>3548</v>
      </c>
      <c r="D832" s="308"/>
    </row>
    <row r="833" spans="1:4" x14ac:dyDescent="0.25">
      <c r="A833" s="304">
        <v>587</v>
      </c>
      <c r="B833" s="308">
        <v>40027</v>
      </c>
      <c r="C833" s="307" t="s">
        <v>3547</v>
      </c>
      <c r="D833" s="308"/>
    </row>
    <row r="834" spans="1:4" x14ac:dyDescent="0.25">
      <c r="A834" s="304">
        <v>588</v>
      </c>
      <c r="B834" s="308">
        <v>40040</v>
      </c>
      <c r="C834" s="307" t="s">
        <v>3546</v>
      </c>
      <c r="D834" s="308"/>
    </row>
    <row r="835" spans="1:4" x14ac:dyDescent="0.25">
      <c r="A835" s="304">
        <v>589</v>
      </c>
      <c r="B835" s="308">
        <v>40042</v>
      </c>
      <c r="C835" s="307" t="s">
        <v>3545</v>
      </c>
      <c r="D835" s="308"/>
    </row>
    <row r="836" spans="1:4" x14ac:dyDescent="0.25">
      <c r="A836" s="304">
        <v>590</v>
      </c>
      <c r="B836" s="308">
        <v>40047</v>
      </c>
      <c r="C836" s="307" t="s">
        <v>3544</v>
      </c>
      <c r="D836" s="308"/>
    </row>
    <row r="837" spans="1:4" x14ac:dyDescent="0.25">
      <c r="A837" s="304">
        <v>591</v>
      </c>
      <c r="B837" s="308">
        <v>40051</v>
      </c>
      <c r="C837" s="307" t="s">
        <v>3543</v>
      </c>
      <c r="D837" s="308"/>
    </row>
    <row r="838" spans="1:4" x14ac:dyDescent="0.25">
      <c r="A838" s="304">
        <v>592</v>
      </c>
      <c r="B838" s="308">
        <v>40058</v>
      </c>
      <c r="C838" s="307" t="s">
        <v>3542</v>
      </c>
      <c r="D838" s="308"/>
    </row>
    <row r="839" spans="1:4" x14ac:dyDescent="0.25">
      <c r="A839" s="304">
        <v>593</v>
      </c>
      <c r="B839" s="308">
        <v>40075</v>
      </c>
      <c r="C839" s="307" t="s">
        <v>3541</v>
      </c>
      <c r="D839" s="308"/>
    </row>
    <row r="840" spans="1:4" x14ac:dyDescent="0.25">
      <c r="A840" s="304">
        <v>594</v>
      </c>
      <c r="B840" s="308">
        <v>40104</v>
      </c>
      <c r="C840" s="307" t="s">
        <v>3540</v>
      </c>
      <c r="D840" s="308"/>
    </row>
    <row r="841" spans="1:4" x14ac:dyDescent="0.25">
      <c r="A841" s="304">
        <v>595</v>
      </c>
      <c r="B841" s="308">
        <v>40105</v>
      </c>
      <c r="C841" s="307" t="s">
        <v>3539</v>
      </c>
      <c r="D841" s="308"/>
    </row>
    <row r="842" spans="1:4" x14ac:dyDescent="0.25">
      <c r="A842" s="304">
        <v>596</v>
      </c>
      <c r="B842" s="308">
        <v>40124</v>
      </c>
      <c r="C842" s="307" t="s">
        <v>3538</v>
      </c>
      <c r="D842" s="308"/>
    </row>
    <row r="843" spans="1:4" x14ac:dyDescent="0.25">
      <c r="A843" s="304">
        <v>597</v>
      </c>
      <c r="B843" s="308">
        <v>40125</v>
      </c>
      <c r="C843" s="307" t="s">
        <v>3537</v>
      </c>
      <c r="D843" s="308"/>
    </row>
    <row r="844" spans="1:4" x14ac:dyDescent="0.25">
      <c r="A844" s="304">
        <v>598</v>
      </c>
      <c r="B844" s="308">
        <v>40126</v>
      </c>
      <c r="C844" s="307" t="s">
        <v>3536</v>
      </c>
      <c r="D844" s="308"/>
    </row>
    <row r="845" spans="1:4" x14ac:dyDescent="0.25">
      <c r="A845" s="304">
        <v>599</v>
      </c>
      <c r="B845" s="308">
        <v>40127</v>
      </c>
      <c r="C845" s="307" t="s">
        <v>3535</v>
      </c>
      <c r="D845" s="308"/>
    </row>
    <row r="846" spans="1:4" x14ac:dyDescent="0.25">
      <c r="A846" s="304">
        <v>600</v>
      </c>
      <c r="B846" s="308">
        <v>40128</v>
      </c>
      <c r="C846" s="307" t="s">
        <v>3534</v>
      </c>
      <c r="D846" s="308"/>
    </row>
    <row r="847" spans="1:4" x14ac:dyDescent="0.25">
      <c r="A847" s="304">
        <v>601</v>
      </c>
      <c r="B847" s="308">
        <v>40130</v>
      </c>
      <c r="C847" s="307" t="s">
        <v>3533</v>
      </c>
      <c r="D847" s="308"/>
    </row>
    <row r="848" spans="1:4" x14ac:dyDescent="0.25">
      <c r="A848" s="304">
        <v>602</v>
      </c>
      <c r="B848" s="308">
        <v>40131</v>
      </c>
      <c r="C848" s="307" t="s">
        <v>3532</v>
      </c>
      <c r="D848" s="308"/>
    </row>
    <row r="849" spans="1:4" x14ac:dyDescent="0.25">
      <c r="A849" s="304">
        <v>603</v>
      </c>
      <c r="B849" s="308">
        <v>40132</v>
      </c>
      <c r="C849" s="307" t="s">
        <v>3531</v>
      </c>
      <c r="D849" s="308"/>
    </row>
    <row r="850" spans="1:4" x14ac:dyDescent="0.25">
      <c r="A850" s="304">
        <v>604</v>
      </c>
      <c r="B850" s="308">
        <v>40134</v>
      </c>
      <c r="C850" s="307" t="s">
        <v>3530</v>
      </c>
      <c r="D850" s="308"/>
    </row>
    <row r="851" spans="1:4" x14ac:dyDescent="0.25">
      <c r="A851" s="304">
        <v>605</v>
      </c>
      <c r="B851" s="308">
        <v>40135</v>
      </c>
      <c r="C851" s="307" t="s">
        <v>3529</v>
      </c>
      <c r="D851" s="308"/>
    </row>
    <row r="852" spans="1:4" x14ac:dyDescent="0.25">
      <c r="A852" s="304">
        <v>606</v>
      </c>
      <c r="B852" s="308">
        <v>40140</v>
      </c>
      <c r="C852" s="307" t="s">
        <v>3528</v>
      </c>
      <c r="D852" s="308"/>
    </row>
    <row r="853" spans="1:4" x14ac:dyDescent="0.25">
      <c r="A853" s="304">
        <v>607</v>
      </c>
      <c r="B853" s="308">
        <v>40141</v>
      </c>
      <c r="C853" s="307" t="s">
        <v>3527</v>
      </c>
      <c r="D853" s="308"/>
    </row>
    <row r="854" spans="1:4" x14ac:dyDescent="0.25">
      <c r="A854" s="304">
        <v>608</v>
      </c>
      <c r="B854" s="308">
        <v>40142</v>
      </c>
      <c r="C854" s="307" t="s">
        <v>3526</v>
      </c>
      <c r="D854" s="308"/>
    </row>
    <row r="855" spans="1:4" x14ac:dyDescent="0.25">
      <c r="A855" s="304">
        <v>609</v>
      </c>
      <c r="B855" s="308">
        <v>40143</v>
      </c>
      <c r="C855" s="307" t="s">
        <v>3525</v>
      </c>
      <c r="D855" s="308"/>
    </row>
    <row r="856" spans="1:4" x14ac:dyDescent="0.25">
      <c r="A856" s="304">
        <v>610</v>
      </c>
      <c r="B856" s="308">
        <v>40148</v>
      </c>
      <c r="C856" s="307" t="s">
        <v>3524</v>
      </c>
      <c r="D856" s="308"/>
    </row>
    <row r="857" spans="1:4" x14ac:dyDescent="0.25">
      <c r="A857" s="304">
        <v>611</v>
      </c>
      <c r="B857" s="308">
        <v>40149</v>
      </c>
      <c r="C857" s="307" t="s">
        <v>3523</v>
      </c>
      <c r="D857" s="308"/>
    </row>
    <row r="858" spans="1:4" x14ac:dyDescent="0.25">
      <c r="A858" s="304">
        <v>612</v>
      </c>
      <c r="B858" s="308">
        <v>40151</v>
      </c>
      <c r="C858" s="307" t="s">
        <v>3522</v>
      </c>
      <c r="D858" s="308"/>
    </row>
    <row r="859" spans="1:4" x14ac:dyDescent="0.25">
      <c r="A859" s="304">
        <v>613</v>
      </c>
      <c r="B859" s="308">
        <v>40158</v>
      </c>
      <c r="C859" s="307" t="s">
        <v>3521</v>
      </c>
      <c r="D859" s="308"/>
    </row>
    <row r="860" spans="1:4" x14ac:dyDescent="0.25">
      <c r="A860" s="304">
        <v>614</v>
      </c>
      <c r="B860" s="308">
        <v>40165</v>
      </c>
      <c r="C860" s="307" t="s">
        <v>3520</v>
      </c>
      <c r="D860" s="308"/>
    </row>
    <row r="861" spans="1:4" x14ac:dyDescent="0.25">
      <c r="A861" s="304">
        <v>615</v>
      </c>
      <c r="B861" s="308">
        <v>40175</v>
      </c>
      <c r="C861" s="307" t="s">
        <v>3519</v>
      </c>
      <c r="D861" s="308"/>
    </row>
    <row r="862" spans="1:4" x14ac:dyDescent="0.25">
      <c r="A862" s="304">
        <v>616</v>
      </c>
      <c r="B862" s="308">
        <v>40178</v>
      </c>
      <c r="C862" s="307" t="s">
        <v>3518</v>
      </c>
      <c r="D862" s="308"/>
    </row>
    <row r="863" spans="1:4" x14ac:dyDescent="0.25">
      <c r="A863" s="304">
        <v>617</v>
      </c>
      <c r="B863" s="308">
        <v>40191</v>
      </c>
      <c r="C863" s="307" t="s">
        <v>3517</v>
      </c>
      <c r="D863" s="308"/>
    </row>
    <row r="864" spans="1:4" x14ac:dyDescent="0.25">
      <c r="A864" s="304">
        <v>618</v>
      </c>
      <c r="B864" s="308">
        <v>40199</v>
      </c>
      <c r="C864" s="307" t="s">
        <v>3516</v>
      </c>
      <c r="D864" s="308"/>
    </row>
    <row r="865" spans="1:4" x14ac:dyDescent="0.25">
      <c r="A865" s="304">
        <v>619</v>
      </c>
      <c r="B865" s="308">
        <v>40205</v>
      </c>
      <c r="C865" s="307" t="s">
        <v>3515</v>
      </c>
      <c r="D865" s="308"/>
    </row>
    <row r="866" spans="1:4" x14ac:dyDescent="0.25">
      <c r="A866" s="304">
        <v>620</v>
      </c>
      <c r="B866" s="308">
        <v>40207</v>
      </c>
      <c r="C866" s="307" t="s">
        <v>3514</v>
      </c>
      <c r="D866" s="308"/>
    </row>
    <row r="867" spans="1:4" x14ac:dyDescent="0.25">
      <c r="A867" s="304">
        <v>621</v>
      </c>
      <c r="B867" s="308">
        <v>40208</v>
      </c>
      <c r="C867" s="307" t="s">
        <v>3513</v>
      </c>
      <c r="D867" s="308"/>
    </row>
    <row r="868" spans="1:4" x14ac:dyDescent="0.25">
      <c r="A868" s="304">
        <v>622</v>
      </c>
      <c r="B868" s="308">
        <v>40209</v>
      </c>
      <c r="C868" s="307" t="s">
        <v>3512</v>
      </c>
      <c r="D868" s="308"/>
    </row>
    <row r="869" spans="1:4" x14ac:dyDescent="0.25">
      <c r="A869" s="304">
        <v>623</v>
      </c>
      <c r="B869" s="308">
        <v>40210</v>
      </c>
      <c r="C869" s="307" t="s">
        <v>3511</v>
      </c>
      <c r="D869" s="308"/>
    </row>
    <row r="870" spans="1:4" x14ac:dyDescent="0.25">
      <c r="A870" s="304">
        <v>624</v>
      </c>
      <c r="B870" s="308">
        <v>40231</v>
      </c>
      <c r="C870" s="307" t="s">
        <v>3510</v>
      </c>
      <c r="D870" s="308"/>
    </row>
    <row r="871" spans="1:4" x14ac:dyDescent="0.25">
      <c r="A871" s="304">
        <v>625</v>
      </c>
      <c r="B871" s="308">
        <v>40232</v>
      </c>
      <c r="C871" s="307" t="s">
        <v>3509</v>
      </c>
      <c r="D871" s="308"/>
    </row>
    <row r="872" spans="1:4" x14ac:dyDescent="0.25">
      <c r="A872" s="304">
        <v>626</v>
      </c>
      <c r="B872" s="308">
        <v>40234</v>
      </c>
      <c r="C872" s="307" t="s">
        <v>3508</v>
      </c>
      <c r="D872" s="308"/>
    </row>
    <row r="873" spans="1:4" x14ac:dyDescent="0.25">
      <c r="A873" s="304">
        <v>627</v>
      </c>
      <c r="B873" s="308">
        <v>40501</v>
      </c>
      <c r="C873" s="307" t="s">
        <v>3507</v>
      </c>
      <c r="D873" s="308"/>
    </row>
    <row r="874" spans="1:4" x14ac:dyDescent="0.25">
      <c r="A874" s="304">
        <v>628</v>
      </c>
      <c r="B874" s="308">
        <v>40603</v>
      </c>
      <c r="C874" s="307" t="s">
        <v>3506</v>
      </c>
      <c r="D874" s="308"/>
    </row>
    <row r="875" spans="1:4" x14ac:dyDescent="0.25">
      <c r="A875" s="304">
        <v>629</v>
      </c>
      <c r="B875" s="308">
        <v>40610</v>
      </c>
      <c r="C875" s="307" t="s">
        <v>3505</v>
      </c>
      <c r="D875" s="308"/>
    </row>
    <row r="876" spans="1:4" x14ac:dyDescent="0.25">
      <c r="A876" s="304">
        <v>630</v>
      </c>
      <c r="B876" s="308">
        <v>40701</v>
      </c>
      <c r="C876" s="307" t="s">
        <v>3504</v>
      </c>
      <c r="D876" s="308"/>
    </row>
    <row r="877" spans="1:4" x14ac:dyDescent="0.25">
      <c r="A877" s="304">
        <v>631</v>
      </c>
      <c r="B877" s="308">
        <v>40801</v>
      </c>
      <c r="C877" s="307" t="s">
        <v>3503</v>
      </c>
      <c r="D877" s="308"/>
    </row>
    <row r="878" spans="1:4" x14ac:dyDescent="0.25">
      <c r="A878" s="304">
        <v>633</v>
      </c>
      <c r="B878" s="308">
        <v>40900</v>
      </c>
      <c r="C878" s="307" t="s">
        <v>3502</v>
      </c>
      <c r="D878" s="308"/>
    </row>
    <row r="879" spans="1:4" x14ac:dyDescent="0.25">
      <c r="A879" s="304">
        <v>634</v>
      </c>
      <c r="B879" s="308">
        <v>40901</v>
      </c>
      <c r="C879" s="307" t="s">
        <v>3501</v>
      </c>
      <c r="D879" s="308"/>
    </row>
    <row r="880" spans="1:4" x14ac:dyDescent="0.25">
      <c r="A880" s="304">
        <v>635</v>
      </c>
      <c r="B880" s="308">
        <v>40902</v>
      </c>
      <c r="C880" s="307" t="s">
        <v>3500</v>
      </c>
      <c r="D880" s="308"/>
    </row>
    <row r="881" spans="1:4" x14ac:dyDescent="0.25">
      <c r="A881" s="304">
        <v>636</v>
      </c>
      <c r="B881" s="308">
        <v>40903</v>
      </c>
      <c r="C881" s="307" t="s">
        <v>3499</v>
      </c>
      <c r="D881" s="308"/>
    </row>
    <row r="882" spans="1:4" x14ac:dyDescent="0.25">
      <c r="A882" s="304">
        <v>637</v>
      </c>
      <c r="B882" s="308">
        <v>411</v>
      </c>
      <c r="C882" s="307" t="s">
        <v>3498</v>
      </c>
      <c r="D882" s="308"/>
    </row>
    <row r="883" spans="1:4" x14ac:dyDescent="0.25">
      <c r="A883" s="304">
        <v>638</v>
      </c>
      <c r="B883" s="308">
        <v>414</v>
      </c>
      <c r="C883" s="307" t="s">
        <v>3497</v>
      </c>
      <c r="D883" s="308"/>
    </row>
    <row r="884" spans="1:4" x14ac:dyDescent="0.25">
      <c r="A884" s="304">
        <v>640</v>
      </c>
      <c r="B884" s="308">
        <v>416</v>
      </c>
      <c r="C884" s="307" t="s">
        <v>3496</v>
      </c>
      <c r="D884" s="308"/>
    </row>
    <row r="885" spans="1:4" x14ac:dyDescent="0.25">
      <c r="A885" s="304">
        <v>641</v>
      </c>
      <c r="B885" s="308">
        <v>417</v>
      </c>
      <c r="C885" s="307" t="s">
        <v>3495</v>
      </c>
      <c r="D885" s="308"/>
    </row>
    <row r="886" spans="1:4" x14ac:dyDescent="0.25">
      <c r="A886" s="304">
        <v>642</v>
      </c>
      <c r="B886" s="308">
        <v>419</v>
      </c>
      <c r="C886" s="307" t="s">
        <v>3219</v>
      </c>
      <c r="D886" s="308"/>
    </row>
    <row r="887" spans="1:4" x14ac:dyDescent="0.25">
      <c r="A887" s="304">
        <v>643</v>
      </c>
      <c r="B887" s="308">
        <v>420</v>
      </c>
      <c r="C887" s="307" t="s">
        <v>2865</v>
      </c>
      <c r="D887" s="308"/>
    </row>
    <row r="888" spans="1:4" x14ac:dyDescent="0.25">
      <c r="A888" s="304">
        <v>644</v>
      </c>
      <c r="B888" s="308">
        <v>421</v>
      </c>
      <c r="C888" s="307" t="s">
        <v>3494</v>
      </c>
      <c r="D888" s="308"/>
    </row>
    <row r="889" spans="1:4" x14ac:dyDescent="0.25">
      <c r="A889" s="304">
        <v>645</v>
      </c>
      <c r="B889" s="308">
        <v>422</v>
      </c>
      <c r="C889" s="307" t="s">
        <v>2865</v>
      </c>
      <c r="D889" s="308"/>
    </row>
    <row r="890" spans="1:4" x14ac:dyDescent="0.25">
      <c r="A890" s="304">
        <v>646</v>
      </c>
      <c r="B890" s="308">
        <v>424</v>
      </c>
      <c r="C890" s="307" t="s">
        <v>3493</v>
      </c>
      <c r="D890" s="308"/>
    </row>
    <row r="891" spans="1:4" x14ac:dyDescent="0.25">
      <c r="A891" s="304">
        <v>647</v>
      </c>
      <c r="B891" s="308">
        <v>426</v>
      </c>
      <c r="C891" s="307" t="s">
        <v>3445</v>
      </c>
      <c r="D891" s="308"/>
    </row>
    <row r="892" spans="1:4" x14ac:dyDescent="0.25">
      <c r="A892" s="304">
        <v>648</v>
      </c>
      <c r="B892" s="308">
        <v>427</v>
      </c>
      <c r="C892" s="307" t="s">
        <v>3445</v>
      </c>
      <c r="D892" s="308"/>
    </row>
    <row r="893" spans="1:4" x14ac:dyDescent="0.25">
      <c r="A893" s="304">
        <v>650</v>
      </c>
      <c r="B893" s="308">
        <v>429</v>
      </c>
      <c r="C893" s="307" t="s">
        <v>2824</v>
      </c>
      <c r="D893" s="308"/>
    </row>
    <row r="894" spans="1:4" x14ac:dyDescent="0.25">
      <c r="A894" s="304">
        <v>651</v>
      </c>
      <c r="B894" s="308">
        <v>431</v>
      </c>
      <c r="C894" s="307" t="s">
        <v>2732</v>
      </c>
      <c r="D894" s="308"/>
    </row>
    <row r="895" spans="1:4" x14ac:dyDescent="0.25">
      <c r="A895" s="304">
        <v>652</v>
      </c>
      <c r="B895" s="308">
        <v>433</v>
      </c>
      <c r="C895" s="307" t="s">
        <v>3492</v>
      </c>
      <c r="D895" s="308"/>
    </row>
    <row r="896" spans="1:4" x14ac:dyDescent="0.25">
      <c r="A896" s="304">
        <v>654</v>
      </c>
      <c r="B896" s="308">
        <v>439</v>
      </c>
      <c r="C896" s="307" t="s">
        <v>3491</v>
      </c>
      <c r="D896" s="308"/>
    </row>
    <row r="897" spans="1:4" x14ac:dyDescent="0.25">
      <c r="A897" s="304">
        <v>655</v>
      </c>
      <c r="B897" s="308">
        <v>44</v>
      </c>
      <c r="C897" s="307" t="s">
        <v>3490</v>
      </c>
      <c r="D897" s="308"/>
    </row>
    <row r="898" spans="1:4" x14ac:dyDescent="0.25">
      <c r="A898" s="304">
        <v>656</v>
      </c>
      <c r="B898" s="308">
        <v>440</v>
      </c>
      <c r="C898" s="307" t="s">
        <v>3489</v>
      </c>
      <c r="D898" s="308"/>
    </row>
    <row r="899" spans="1:4" x14ac:dyDescent="0.25">
      <c r="A899" s="304">
        <v>657</v>
      </c>
      <c r="B899" s="308">
        <v>441</v>
      </c>
      <c r="C899" s="307" t="s">
        <v>3489</v>
      </c>
      <c r="D899" s="308"/>
    </row>
    <row r="900" spans="1:4" x14ac:dyDescent="0.25">
      <c r="A900" s="304">
        <v>659</v>
      </c>
      <c r="B900" s="308">
        <v>444</v>
      </c>
      <c r="C900" s="307" t="s">
        <v>3488</v>
      </c>
      <c r="D900" s="308"/>
    </row>
    <row r="901" spans="1:4" x14ac:dyDescent="0.25">
      <c r="A901" s="304">
        <v>660</v>
      </c>
      <c r="B901" s="308">
        <v>445</v>
      </c>
      <c r="C901" s="307" t="s">
        <v>3487</v>
      </c>
      <c r="D901" s="308"/>
    </row>
    <row r="902" spans="1:4" x14ac:dyDescent="0.25">
      <c r="A902" s="304">
        <v>661</v>
      </c>
      <c r="B902" s="308">
        <v>446</v>
      </c>
      <c r="C902" s="307" t="s">
        <v>3486</v>
      </c>
      <c r="D902" s="308"/>
    </row>
    <row r="903" spans="1:4" x14ac:dyDescent="0.25">
      <c r="A903" s="304">
        <v>662</v>
      </c>
      <c r="B903" s="308">
        <v>447</v>
      </c>
      <c r="C903" s="307" t="s">
        <v>3485</v>
      </c>
      <c r="D903" s="308"/>
    </row>
    <row r="904" spans="1:4" x14ac:dyDescent="0.25">
      <c r="A904" s="304">
        <v>663</v>
      </c>
      <c r="B904" s="308">
        <v>448</v>
      </c>
      <c r="C904" s="307" t="s">
        <v>3484</v>
      </c>
      <c r="D904" s="308"/>
    </row>
    <row r="905" spans="1:4" x14ac:dyDescent="0.25">
      <c r="A905" s="304">
        <v>664</v>
      </c>
      <c r="B905" s="308">
        <v>449</v>
      </c>
      <c r="C905" s="307" t="s">
        <v>3483</v>
      </c>
      <c r="D905" s="308"/>
    </row>
    <row r="906" spans="1:4" x14ac:dyDescent="0.25">
      <c r="A906" s="304">
        <v>665</v>
      </c>
      <c r="B906" s="308">
        <v>450</v>
      </c>
      <c r="C906" s="307" t="s">
        <v>3482</v>
      </c>
      <c r="D906" s="308"/>
    </row>
    <row r="907" spans="1:4" x14ac:dyDescent="0.25">
      <c r="A907" s="304">
        <v>666</v>
      </c>
      <c r="B907" s="308">
        <v>451</v>
      </c>
      <c r="C907" s="307" t="s">
        <v>3481</v>
      </c>
      <c r="D907" s="308"/>
    </row>
    <row r="908" spans="1:4" x14ac:dyDescent="0.25">
      <c r="A908" s="304">
        <v>667</v>
      </c>
      <c r="B908" s="308">
        <v>454</v>
      </c>
      <c r="C908" s="307" t="s">
        <v>3480</v>
      </c>
      <c r="D908" s="308"/>
    </row>
    <row r="909" spans="1:4" x14ac:dyDescent="0.25">
      <c r="A909" s="304">
        <v>668</v>
      </c>
      <c r="B909" s="308">
        <v>455</v>
      </c>
      <c r="C909" s="307" t="s">
        <v>3479</v>
      </c>
      <c r="D909" s="308"/>
    </row>
    <row r="910" spans="1:4" x14ac:dyDescent="0.25">
      <c r="A910" s="304">
        <v>669</v>
      </c>
      <c r="B910" s="308">
        <v>456</v>
      </c>
      <c r="C910" s="307" t="s">
        <v>3478</v>
      </c>
      <c r="D910" s="308"/>
    </row>
    <row r="911" spans="1:4" x14ac:dyDescent="0.25">
      <c r="A911" s="304">
        <v>670</v>
      </c>
      <c r="B911" s="308">
        <v>457</v>
      </c>
      <c r="C911" s="307" t="s">
        <v>2615</v>
      </c>
      <c r="D911" s="308"/>
    </row>
    <row r="912" spans="1:4" x14ac:dyDescent="0.25">
      <c r="A912" s="304">
        <v>671</v>
      </c>
      <c r="B912" s="308">
        <v>458</v>
      </c>
      <c r="C912" s="307" t="s">
        <v>2615</v>
      </c>
      <c r="D912" s="308"/>
    </row>
    <row r="913" spans="1:4" x14ac:dyDescent="0.25">
      <c r="A913" s="304">
        <v>672</v>
      </c>
      <c r="B913" s="308">
        <v>459</v>
      </c>
      <c r="C913" s="307" t="s">
        <v>3477</v>
      </c>
      <c r="D913" s="308"/>
    </row>
    <row r="914" spans="1:4" x14ac:dyDescent="0.25">
      <c r="A914" s="304">
        <v>673</v>
      </c>
      <c r="B914" s="308">
        <v>46</v>
      </c>
      <c r="C914" s="307" t="s">
        <v>3476</v>
      </c>
      <c r="D914" s="308"/>
    </row>
    <row r="915" spans="1:4" x14ac:dyDescent="0.25">
      <c r="A915" s="304">
        <v>674</v>
      </c>
      <c r="B915" s="308">
        <v>460</v>
      </c>
      <c r="C915" s="307" t="s">
        <v>3475</v>
      </c>
      <c r="D915" s="308"/>
    </row>
    <row r="916" spans="1:4" x14ac:dyDescent="0.25">
      <c r="A916" s="304">
        <v>675</v>
      </c>
      <c r="B916" s="308">
        <v>461</v>
      </c>
      <c r="C916" s="307" t="s">
        <v>3475</v>
      </c>
      <c r="D916" s="308"/>
    </row>
    <row r="917" spans="1:4" x14ac:dyDescent="0.25">
      <c r="A917" s="304">
        <v>676</v>
      </c>
      <c r="B917" s="308">
        <v>48</v>
      </c>
      <c r="C917" s="307" t="s">
        <v>3474</v>
      </c>
      <c r="D917" s="308"/>
    </row>
    <row r="918" spans="1:4" x14ac:dyDescent="0.25">
      <c r="A918" s="304">
        <v>677</v>
      </c>
      <c r="B918" s="308">
        <v>480</v>
      </c>
      <c r="C918" s="307" t="s">
        <v>3473</v>
      </c>
      <c r="D918" s="308"/>
    </row>
    <row r="919" spans="1:4" x14ac:dyDescent="0.25">
      <c r="A919" s="304">
        <v>678</v>
      </c>
      <c r="B919" s="308">
        <v>484</v>
      </c>
      <c r="C919" s="307" t="s">
        <v>2615</v>
      </c>
      <c r="D919" s="308"/>
    </row>
    <row r="920" spans="1:4" x14ac:dyDescent="0.25">
      <c r="A920" s="304">
        <v>679</v>
      </c>
      <c r="B920" s="308">
        <v>486</v>
      </c>
      <c r="C920" s="307" t="s">
        <v>3469</v>
      </c>
      <c r="D920" s="308"/>
    </row>
    <row r="921" spans="1:4" x14ac:dyDescent="0.25">
      <c r="A921" s="304">
        <v>680</v>
      </c>
      <c r="B921" s="308">
        <v>489</v>
      </c>
      <c r="C921" s="307" t="s">
        <v>3472</v>
      </c>
      <c r="D921" s="308"/>
    </row>
    <row r="922" spans="1:4" x14ac:dyDescent="0.25">
      <c r="A922" s="304">
        <v>681</v>
      </c>
      <c r="B922" s="308">
        <v>49</v>
      </c>
      <c r="C922" s="307" t="s">
        <v>3471</v>
      </c>
      <c r="D922" s="308"/>
    </row>
    <row r="923" spans="1:4" x14ac:dyDescent="0.25">
      <c r="A923" s="304">
        <v>682</v>
      </c>
      <c r="B923" s="308">
        <v>490</v>
      </c>
      <c r="C923" s="307" t="s">
        <v>852</v>
      </c>
      <c r="D923" s="308"/>
    </row>
    <row r="924" spans="1:4" x14ac:dyDescent="0.25">
      <c r="A924" s="304">
        <v>683</v>
      </c>
      <c r="B924" s="308">
        <v>491</v>
      </c>
      <c r="C924" s="307" t="s">
        <v>3470</v>
      </c>
      <c r="D924" s="308"/>
    </row>
    <row r="925" spans="1:4" x14ac:dyDescent="0.25">
      <c r="A925" s="304">
        <v>684</v>
      </c>
      <c r="B925" s="308">
        <v>492</v>
      </c>
      <c r="C925" s="307" t="s">
        <v>3469</v>
      </c>
      <c r="D925" s="308"/>
    </row>
    <row r="926" spans="1:4" x14ac:dyDescent="0.25">
      <c r="A926" s="304">
        <v>685</v>
      </c>
      <c r="B926" s="308">
        <v>493</v>
      </c>
      <c r="C926" s="307" t="s">
        <v>3469</v>
      </c>
      <c r="D926" s="308"/>
    </row>
    <row r="927" spans="1:4" x14ac:dyDescent="0.25">
      <c r="A927" s="304">
        <v>686</v>
      </c>
      <c r="B927" s="308">
        <v>50</v>
      </c>
      <c r="C927" s="307" t="s">
        <v>3468</v>
      </c>
      <c r="D927" s="308"/>
    </row>
    <row r="928" spans="1:4" x14ac:dyDescent="0.25">
      <c r="A928" s="304">
        <v>687</v>
      </c>
      <c r="B928" s="308">
        <v>515</v>
      </c>
      <c r="C928" s="307" t="s">
        <v>3467</v>
      </c>
      <c r="D928" s="308"/>
    </row>
    <row r="929" spans="1:4" x14ac:dyDescent="0.25">
      <c r="A929" s="304">
        <v>688</v>
      </c>
      <c r="B929" s="308">
        <v>52</v>
      </c>
      <c r="C929" s="307" t="s">
        <v>3466</v>
      </c>
      <c r="D929" s="308"/>
    </row>
    <row r="930" spans="1:4" x14ac:dyDescent="0.25">
      <c r="A930" s="304">
        <v>689</v>
      </c>
      <c r="B930" s="308">
        <v>527</v>
      </c>
      <c r="C930" s="307" t="s">
        <v>3465</v>
      </c>
      <c r="D930" s="308"/>
    </row>
    <row r="931" spans="1:4" x14ac:dyDescent="0.25">
      <c r="A931" s="304">
        <v>690</v>
      </c>
      <c r="B931" s="308">
        <v>528</v>
      </c>
      <c r="C931" s="307" t="s">
        <v>3463</v>
      </c>
      <c r="D931" s="308"/>
    </row>
    <row r="932" spans="1:4" x14ac:dyDescent="0.25">
      <c r="A932" s="304">
        <v>691</v>
      </c>
      <c r="B932" s="308" t="s">
        <v>3464</v>
      </c>
      <c r="C932" s="307" t="s">
        <v>3463</v>
      </c>
      <c r="D932" s="308"/>
    </row>
    <row r="933" spans="1:4" x14ac:dyDescent="0.25">
      <c r="A933" s="304">
        <v>692</v>
      </c>
      <c r="B933" s="308">
        <v>529</v>
      </c>
      <c r="C933" s="307" t="s">
        <v>3461</v>
      </c>
      <c r="D933" s="308"/>
    </row>
    <row r="934" spans="1:4" x14ac:dyDescent="0.25">
      <c r="A934" s="304">
        <v>693</v>
      </c>
      <c r="B934" s="308" t="s">
        <v>3462</v>
      </c>
      <c r="C934" s="307" t="s">
        <v>3461</v>
      </c>
      <c r="D934" s="308"/>
    </row>
    <row r="935" spans="1:4" x14ac:dyDescent="0.25">
      <c r="A935" s="304">
        <v>694</v>
      </c>
      <c r="B935" s="308">
        <v>530</v>
      </c>
      <c r="C935" s="307" t="s">
        <v>3460</v>
      </c>
      <c r="D935" s="308"/>
    </row>
    <row r="936" spans="1:4" x14ac:dyDescent="0.25">
      <c r="A936" s="304">
        <v>695</v>
      </c>
      <c r="B936" s="308">
        <v>531</v>
      </c>
      <c r="C936" s="307" t="s">
        <v>3459</v>
      </c>
      <c r="D936" s="308"/>
    </row>
    <row r="937" spans="1:4" x14ac:dyDescent="0.25">
      <c r="A937" s="304">
        <v>696</v>
      </c>
      <c r="B937" s="308">
        <v>535</v>
      </c>
      <c r="C937" s="307" t="s">
        <v>3428</v>
      </c>
      <c r="D937" s="308"/>
    </row>
    <row r="938" spans="1:4" x14ac:dyDescent="0.25">
      <c r="A938" s="304">
        <v>697</v>
      </c>
      <c r="B938" s="308">
        <v>56</v>
      </c>
      <c r="C938" s="307" t="s">
        <v>3180</v>
      </c>
      <c r="D938" s="308"/>
    </row>
    <row r="939" spans="1:4" x14ac:dyDescent="0.25">
      <c r="A939" s="304">
        <v>698</v>
      </c>
      <c r="B939" s="308">
        <v>57</v>
      </c>
      <c r="C939" s="307" t="s">
        <v>3178</v>
      </c>
      <c r="D939" s="308"/>
    </row>
    <row r="940" spans="1:4" x14ac:dyDescent="0.25">
      <c r="A940" s="304">
        <v>699</v>
      </c>
      <c r="B940" s="308">
        <v>58</v>
      </c>
      <c r="C940" s="307" t="s">
        <v>3028</v>
      </c>
      <c r="D940" s="308"/>
    </row>
    <row r="941" spans="1:4" x14ac:dyDescent="0.25">
      <c r="A941" s="304">
        <v>700</v>
      </c>
      <c r="B941" s="308">
        <v>585</v>
      </c>
      <c r="C941" s="307" t="s">
        <v>3458</v>
      </c>
      <c r="D941" s="308"/>
    </row>
    <row r="942" spans="1:4" x14ac:dyDescent="0.25">
      <c r="A942" s="304">
        <v>701</v>
      </c>
      <c r="B942" s="308">
        <v>586</v>
      </c>
      <c r="C942" s="307" t="s">
        <v>3457</v>
      </c>
      <c r="D942" s="308"/>
    </row>
    <row r="943" spans="1:4" x14ac:dyDescent="0.25">
      <c r="A943" s="304">
        <v>702</v>
      </c>
      <c r="B943" s="308">
        <v>587</v>
      </c>
      <c r="C943" s="307" t="s">
        <v>3456</v>
      </c>
      <c r="D943" s="308"/>
    </row>
    <row r="944" spans="1:4" x14ac:dyDescent="0.25">
      <c r="A944" s="304">
        <v>703</v>
      </c>
      <c r="B944" s="308">
        <v>588</v>
      </c>
      <c r="C944" s="307" t="s">
        <v>3455</v>
      </c>
      <c r="D944" s="308"/>
    </row>
    <row r="945" spans="1:4" x14ac:dyDescent="0.25">
      <c r="A945" s="304">
        <v>704</v>
      </c>
      <c r="B945" s="308">
        <v>590</v>
      </c>
      <c r="C945" s="307" t="s">
        <v>3454</v>
      </c>
      <c r="D945" s="308"/>
    </row>
    <row r="946" spans="1:4" x14ac:dyDescent="0.25">
      <c r="A946" s="304">
        <v>705</v>
      </c>
      <c r="B946" s="308">
        <v>593</v>
      </c>
      <c r="C946" s="307" t="s">
        <v>3422</v>
      </c>
      <c r="D946" s="308"/>
    </row>
    <row r="947" spans="1:4" x14ac:dyDescent="0.25">
      <c r="A947" s="304">
        <v>707</v>
      </c>
      <c r="B947" s="308" t="s">
        <v>3453</v>
      </c>
      <c r="C947" s="307" t="s">
        <v>3452</v>
      </c>
      <c r="D947" s="308"/>
    </row>
    <row r="948" spans="1:4" x14ac:dyDescent="0.25">
      <c r="A948" s="304">
        <v>708</v>
      </c>
      <c r="B948" s="308">
        <v>60002</v>
      </c>
      <c r="C948" s="307" t="s">
        <v>3451</v>
      </c>
      <c r="D948" s="308"/>
    </row>
    <row r="949" spans="1:4" x14ac:dyDescent="0.25">
      <c r="A949" s="304">
        <v>709</v>
      </c>
      <c r="B949" s="308">
        <v>6000396</v>
      </c>
      <c r="C949" s="307" t="s">
        <v>3450</v>
      </c>
      <c r="D949" s="308"/>
    </row>
    <row r="950" spans="1:4" x14ac:dyDescent="0.25">
      <c r="A950" s="304">
        <v>710</v>
      </c>
      <c r="B950" s="308">
        <v>6000519</v>
      </c>
      <c r="C950" s="307" t="s">
        <v>3449</v>
      </c>
      <c r="D950" s="308"/>
    </row>
    <row r="951" spans="1:4" x14ac:dyDescent="0.25">
      <c r="A951" s="304">
        <v>711</v>
      </c>
      <c r="B951" s="308">
        <v>6000520</v>
      </c>
      <c r="C951" s="307" t="s">
        <v>3448</v>
      </c>
      <c r="D951" s="308"/>
    </row>
    <row r="952" spans="1:4" x14ac:dyDescent="0.25">
      <c r="A952" s="304">
        <v>712</v>
      </c>
      <c r="B952" s="308">
        <v>6000521</v>
      </c>
      <c r="C952" s="307" t="s">
        <v>3447</v>
      </c>
      <c r="D952" s="308"/>
    </row>
    <row r="953" spans="1:4" x14ac:dyDescent="0.25">
      <c r="A953" s="304">
        <v>713</v>
      </c>
      <c r="B953" s="308">
        <v>6000522</v>
      </c>
      <c r="C953" s="307" t="s">
        <v>3446</v>
      </c>
      <c r="D953" s="308"/>
    </row>
    <row r="954" spans="1:4" x14ac:dyDescent="0.25">
      <c r="A954" s="304">
        <v>714</v>
      </c>
      <c r="B954" s="308">
        <v>604</v>
      </c>
      <c r="C954" s="307" t="s">
        <v>3445</v>
      </c>
      <c r="D954" s="308"/>
    </row>
    <row r="955" spans="1:4" x14ac:dyDescent="0.25">
      <c r="A955" s="304">
        <v>715</v>
      </c>
      <c r="B955" s="308">
        <v>606</v>
      </c>
      <c r="C955" s="307" t="s">
        <v>3444</v>
      </c>
      <c r="D955" s="308"/>
    </row>
    <row r="956" spans="1:4" x14ac:dyDescent="0.25">
      <c r="A956" s="304">
        <v>716</v>
      </c>
      <c r="B956" s="308">
        <v>61</v>
      </c>
      <c r="C956" s="307" t="s">
        <v>3443</v>
      </c>
      <c r="D956" s="308"/>
    </row>
    <row r="957" spans="1:4" x14ac:dyDescent="0.25">
      <c r="A957" s="304">
        <v>717</v>
      </c>
      <c r="B957" s="308" t="s">
        <v>3442</v>
      </c>
      <c r="C957" s="307" t="s">
        <v>3441</v>
      </c>
      <c r="D957" s="308"/>
    </row>
    <row r="958" spans="1:4" x14ac:dyDescent="0.25">
      <c r="A958" s="304">
        <v>718</v>
      </c>
      <c r="B958" s="308">
        <v>610</v>
      </c>
      <c r="C958" s="307" t="s">
        <v>3440</v>
      </c>
      <c r="D958" s="308"/>
    </row>
    <row r="959" spans="1:4" x14ac:dyDescent="0.25">
      <c r="A959" s="304">
        <v>719</v>
      </c>
      <c r="B959" s="308">
        <v>611</v>
      </c>
      <c r="C959" s="307" t="s">
        <v>3440</v>
      </c>
      <c r="D959" s="308"/>
    </row>
    <row r="960" spans="1:4" x14ac:dyDescent="0.25">
      <c r="A960" s="304">
        <v>720</v>
      </c>
      <c r="B960" s="308">
        <v>612</v>
      </c>
      <c r="C960" s="307" t="s">
        <v>3439</v>
      </c>
      <c r="D960" s="308"/>
    </row>
    <row r="961" spans="1:4" x14ac:dyDescent="0.25">
      <c r="A961" s="304">
        <v>721</v>
      </c>
      <c r="B961" s="308">
        <v>613</v>
      </c>
      <c r="C961" s="307" t="s">
        <v>3439</v>
      </c>
      <c r="D961" s="308"/>
    </row>
    <row r="962" spans="1:4" x14ac:dyDescent="0.25">
      <c r="A962" s="304">
        <v>722</v>
      </c>
      <c r="B962" s="308">
        <v>619</v>
      </c>
      <c r="C962" s="307" t="s">
        <v>3438</v>
      </c>
      <c r="D962" s="308"/>
    </row>
    <row r="963" spans="1:4" x14ac:dyDescent="0.25">
      <c r="A963" s="304">
        <v>723</v>
      </c>
      <c r="B963" s="308">
        <v>62</v>
      </c>
      <c r="C963" s="307" t="s">
        <v>3437</v>
      </c>
      <c r="D963" s="308"/>
    </row>
    <row r="964" spans="1:4" x14ac:dyDescent="0.25">
      <c r="A964" s="304">
        <v>724</v>
      </c>
      <c r="B964" s="308">
        <v>620</v>
      </c>
      <c r="C964" s="307" t="s">
        <v>3436</v>
      </c>
      <c r="D964" s="308"/>
    </row>
    <row r="965" spans="1:4" x14ac:dyDescent="0.25">
      <c r="A965" s="304">
        <v>726</v>
      </c>
      <c r="B965" s="308">
        <v>632</v>
      </c>
      <c r="C965" s="307" t="s">
        <v>2638</v>
      </c>
      <c r="D965" s="308"/>
    </row>
    <row r="966" spans="1:4" x14ac:dyDescent="0.25">
      <c r="A966" s="304">
        <v>727</v>
      </c>
      <c r="B966" s="308">
        <v>634</v>
      </c>
      <c r="C966" s="307" t="s">
        <v>3435</v>
      </c>
      <c r="D966" s="308"/>
    </row>
    <row r="967" spans="1:4" x14ac:dyDescent="0.25">
      <c r="A967" s="304">
        <v>728</v>
      </c>
      <c r="B967" s="308">
        <v>639</v>
      </c>
      <c r="C967" s="307" t="s">
        <v>2755</v>
      </c>
      <c r="D967" s="308"/>
    </row>
    <row r="968" spans="1:4" x14ac:dyDescent="0.25">
      <c r="A968" s="304">
        <v>729</v>
      </c>
      <c r="B968" s="308">
        <v>65</v>
      </c>
      <c r="C968" s="307" t="s">
        <v>3434</v>
      </c>
      <c r="D968" s="308"/>
    </row>
    <row r="969" spans="1:4" x14ac:dyDescent="0.25">
      <c r="A969" s="304">
        <v>730</v>
      </c>
      <c r="B969" s="308">
        <v>650</v>
      </c>
      <c r="C969" s="307" t="s">
        <v>3433</v>
      </c>
      <c r="D969" s="308"/>
    </row>
    <row r="970" spans="1:4" x14ac:dyDescent="0.25">
      <c r="A970" s="304">
        <v>731</v>
      </c>
      <c r="B970" s="308">
        <v>653</v>
      </c>
      <c r="C970" s="307" t="s">
        <v>3432</v>
      </c>
      <c r="D970" s="308"/>
    </row>
    <row r="971" spans="1:4" x14ac:dyDescent="0.25">
      <c r="A971" s="304">
        <v>732</v>
      </c>
      <c r="B971" s="308">
        <v>655</v>
      </c>
      <c r="C971" s="307" t="s">
        <v>3431</v>
      </c>
      <c r="D971" s="308"/>
    </row>
    <row r="972" spans="1:4" x14ac:dyDescent="0.25">
      <c r="A972" s="304">
        <v>733</v>
      </c>
      <c r="B972" s="308">
        <v>656</v>
      </c>
      <c r="C972" s="307" t="s">
        <v>2862</v>
      </c>
      <c r="D972" s="308"/>
    </row>
    <row r="973" spans="1:4" x14ac:dyDescent="0.25">
      <c r="A973" s="304">
        <v>734</v>
      </c>
      <c r="B973" s="308">
        <v>6643</v>
      </c>
      <c r="C973" s="307" t="s">
        <v>3430</v>
      </c>
      <c r="D973" s="308"/>
    </row>
    <row r="974" spans="1:4" x14ac:dyDescent="0.25">
      <c r="A974" s="304">
        <v>735</v>
      </c>
      <c r="B974" s="308">
        <v>670</v>
      </c>
      <c r="C974" s="307" t="s">
        <v>3429</v>
      </c>
      <c r="D974" s="308"/>
    </row>
    <row r="975" spans="1:4" x14ac:dyDescent="0.25">
      <c r="A975" s="304">
        <v>736</v>
      </c>
      <c r="B975" s="308">
        <v>673</v>
      </c>
      <c r="C975" s="307" t="s">
        <v>2666</v>
      </c>
      <c r="D975" s="308"/>
    </row>
    <row r="976" spans="1:4" x14ac:dyDescent="0.25">
      <c r="A976" s="304">
        <v>737</v>
      </c>
      <c r="B976" s="308">
        <v>674</v>
      </c>
      <c r="C976" s="307" t="s">
        <v>2635</v>
      </c>
      <c r="D976" s="308"/>
    </row>
    <row r="977" spans="1:4" x14ac:dyDescent="0.25">
      <c r="A977" s="304">
        <v>738</v>
      </c>
      <c r="B977" s="308">
        <v>68</v>
      </c>
      <c r="C977" s="307" t="s">
        <v>3428</v>
      </c>
      <c r="D977" s="308"/>
    </row>
    <row r="978" spans="1:4" x14ac:dyDescent="0.25">
      <c r="A978" s="304">
        <v>739</v>
      </c>
      <c r="B978" s="308">
        <v>688</v>
      </c>
      <c r="C978" s="307" t="s">
        <v>2688</v>
      </c>
      <c r="D978" s="308"/>
    </row>
    <row r="979" spans="1:4" x14ac:dyDescent="0.25">
      <c r="A979" s="304">
        <v>740</v>
      </c>
      <c r="B979" s="308">
        <v>689</v>
      </c>
      <c r="C979" s="307" t="s">
        <v>3427</v>
      </c>
      <c r="D979" s="308"/>
    </row>
    <row r="980" spans="1:4" x14ac:dyDescent="0.25">
      <c r="A980" s="304">
        <v>741</v>
      </c>
      <c r="B980" s="308" t="s">
        <v>3426</v>
      </c>
      <c r="C980" s="307" t="s">
        <v>2560</v>
      </c>
      <c r="D980" s="308"/>
    </row>
    <row r="981" spans="1:4" x14ac:dyDescent="0.25">
      <c r="A981" s="304">
        <v>742</v>
      </c>
      <c r="B981" s="308">
        <v>70</v>
      </c>
      <c r="C981" s="307" t="s">
        <v>3425</v>
      </c>
      <c r="D981" s="308"/>
    </row>
    <row r="982" spans="1:4" x14ac:dyDescent="0.25">
      <c r="A982" s="304">
        <v>743</v>
      </c>
      <c r="B982" s="308">
        <v>71</v>
      </c>
      <c r="C982" s="307" t="s">
        <v>3424</v>
      </c>
      <c r="D982" s="308"/>
    </row>
    <row r="983" spans="1:4" x14ac:dyDescent="0.25">
      <c r="A983" s="304">
        <v>744</v>
      </c>
      <c r="B983" s="308">
        <v>72</v>
      </c>
      <c r="C983" s="307" t="s">
        <v>3423</v>
      </c>
      <c r="D983" s="308"/>
    </row>
    <row r="984" spans="1:4" x14ac:dyDescent="0.25">
      <c r="A984" s="304">
        <v>745</v>
      </c>
      <c r="B984" s="308">
        <v>725</v>
      </c>
      <c r="C984" s="307" t="s">
        <v>2675</v>
      </c>
      <c r="D984" s="308"/>
    </row>
    <row r="985" spans="1:4" x14ac:dyDescent="0.25">
      <c r="A985" s="304">
        <v>746</v>
      </c>
      <c r="B985" s="308">
        <v>726</v>
      </c>
      <c r="C985" s="307" t="s">
        <v>2675</v>
      </c>
      <c r="D985" s="308"/>
    </row>
    <row r="986" spans="1:4" x14ac:dyDescent="0.25">
      <c r="A986" s="304">
        <v>748</v>
      </c>
      <c r="B986" s="308">
        <v>738</v>
      </c>
      <c r="C986" s="307" t="s">
        <v>3422</v>
      </c>
      <c r="D986" s="308"/>
    </row>
    <row r="987" spans="1:4" x14ac:dyDescent="0.25">
      <c r="A987" s="304">
        <v>750</v>
      </c>
      <c r="B987" s="308">
        <v>758</v>
      </c>
      <c r="C987" s="307" t="s">
        <v>3421</v>
      </c>
      <c r="D987" s="308"/>
    </row>
    <row r="988" spans="1:4" x14ac:dyDescent="0.25">
      <c r="A988" s="304">
        <v>751</v>
      </c>
      <c r="B988" s="308">
        <v>765</v>
      </c>
      <c r="C988" s="307" t="s">
        <v>3420</v>
      </c>
      <c r="D988" s="308"/>
    </row>
    <row r="989" spans="1:4" x14ac:dyDescent="0.25">
      <c r="A989" s="304">
        <v>752</v>
      </c>
      <c r="B989" s="308">
        <v>770</v>
      </c>
      <c r="C989" s="307" t="s">
        <v>3419</v>
      </c>
      <c r="D989" s="308"/>
    </row>
    <row r="990" spans="1:4" x14ac:dyDescent="0.25">
      <c r="A990" s="304">
        <v>753</v>
      </c>
      <c r="B990" s="308">
        <v>776</v>
      </c>
      <c r="C990" s="307" t="s">
        <v>3418</v>
      </c>
      <c r="D990" s="308"/>
    </row>
    <row r="991" spans="1:4" x14ac:dyDescent="0.25">
      <c r="A991" s="304">
        <v>755</v>
      </c>
      <c r="B991" s="308">
        <v>8</v>
      </c>
      <c r="C991" s="307" t="s">
        <v>2618</v>
      </c>
      <c r="D991" s="308"/>
    </row>
    <row r="992" spans="1:4" x14ac:dyDescent="0.25">
      <c r="A992" s="304">
        <v>756</v>
      </c>
      <c r="B992" s="308">
        <v>810</v>
      </c>
      <c r="C992" s="307" t="s">
        <v>3417</v>
      </c>
      <c r="D992" s="308"/>
    </row>
    <row r="993" spans="1:4" x14ac:dyDescent="0.25">
      <c r="A993" s="304">
        <v>757</v>
      </c>
      <c r="B993" s="308">
        <v>811</v>
      </c>
      <c r="C993" s="307" t="s">
        <v>3416</v>
      </c>
      <c r="D993" s="308"/>
    </row>
    <row r="994" spans="1:4" x14ac:dyDescent="0.25">
      <c r="A994" s="304">
        <v>759</v>
      </c>
      <c r="B994" s="308">
        <v>813</v>
      </c>
      <c r="C994" s="307" t="s">
        <v>3415</v>
      </c>
      <c r="D994" s="308"/>
    </row>
    <row r="995" spans="1:4" x14ac:dyDescent="0.25">
      <c r="A995" s="304">
        <v>760</v>
      </c>
      <c r="B995" s="308">
        <v>814</v>
      </c>
      <c r="C995" s="307" t="s">
        <v>3414</v>
      </c>
      <c r="D995" s="308"/>
    </row>
    <row r="996" spans="1:4" x14ac:dyDescent="0.25">
      <c r="A996" s="304">
        <v>761</v>
      </c>
      <c r="B996" s="308">
        <v>816</v>
      </c>
      <c r="C996" s="307" t="s">
        <v>3413</v>
      </c>
      <c r="D996" s="308"/>
    </row>
    <row r="997" spans="1:4" x14ac:dyDescent="0.25">
      <c r="A997" s="304">
        <v>762</v>
      </c>
      <c r="B997" s="308">
        <v>817</v>
      </c>
      <c r="C997" s="307" t="s">
        <v>3412</v>
      </c>
      <c r="D997" s="308"/>
    </row>
    <row r="998" spans="1:4" x14ac:dyDescent="0.25">
      <c r="A998" s="304">
        <v>763</v>
      </c>
      <c r="B998" s="308">
        <v>823</v>
      </c>
      <c r="C998" s="307" t="s">
        <v>3411</v>
      </c>
      <c r="D998" s="308"/>
    </row>
    <row r="999" spans="1:4" x14ac:dyDescent="0.25">
      <c r="A999" s="304">
        <v>764</v>
      </c>
      <c r="B999" s="308">
        <v>824</v>
      </c>
      <c r="C999" s="307" t="s">
        <v>3313</v>
      </c>
      <c r="D999" s="308"/>
    </row>
    <row r="1000" spans="1:4" x14ac:dyDescent="0.25">
      <c r="A1000" s="304">
        <v>765</v>
      </c>
      <c r="B1000" s="308">
        <v>83</v>
      </c>
      <c r="C1000" s="307" t="s">
        <v>2834</v>
      </c>
      <c r="D1000" s="308"/>
    </row>
    <row r="1001" spans="1:4" x14ac:dyDescent="0.25">
      <c r="A1001" s="304">
        <v>766</v>
      </c>
      <c r="B1001" s="308">
        <v>831</v>
      </c>
      <c r="C1001" s="307" t="s">
        <v>3410</v>
      </c>
      <c r="D1001" s="308"/>
    </row>
    <row r="1002" spans="1:4" x14ac:dyDescent="0.25">
      <c r="A1002" s="304">
        <v>767</v>
      </c>
      <c r="B1002" s="308">
        <v>833</v>
      </c>
      <c r="C1002" s="307" t="s">
        <v>3409</v>
      </c>
      <c r="D1002" s="308"/>
    </row>
    <row r="1003" spans="1:4" x14ac:dyDescent="0.25">
      <c r="A1003" s="304">
        <v>768</v>
      </c>
      <c r="B1003" s="308">
        <v>834</v>
      </c>
      <c r="C1003" s="307" t="s">
        <v>3408</v>
      </c>
      <c r="D1003" s="308"/>
    </row>
    <row r="1004" spans="1:4" x14ac:dyDescent="0.25">
      <c r="A1004" s="304">
        <v>769</v>
      </c>
      <c r="B1004" s="308">
        <v>837</v>
      </c>
      <c r="C1004" s="307" t="s">
        <v>3407</v>
      </c>
      <c r="D1004" s="308"/>
    </row>
    <row r="1005" spans="1:4" x14ac:dyDescent="0.25">
      <c r="A1005" s="304">
        <v>770</v>
      </c>
      <c r="B1005" s="308">
        <v>838</v>
      </c>
      <c r="C1005" s="307" t="s">
        <v>3406</v>
      </c>
      <c r="D1005" s="308"/>
    </row>
    <row r="1006" spans="1:4" x14ac:dyDescent="0.25">
      <c r="A1006" s="304">
        <v>771</v>
      </c>
      <c r="B1006" s="308">
        <v>84</v>
      </c>
      <c r="C1006" s="307" t="s">
        <v>2834</v>
      </c>
      <c r="D1006" s="308"/>
    </row>
    <row r="1007" spans="1:4" x14ac:dyDescent="0.25">
      <c r="A1007" s="304">
        <v>772</v>
      </c>
      <c r="B1007" s="308">
        <v>85</v>
      </c>
      <c r="C1007" s="307" t="s">
        <v>2834</v>
      </c>
      <c r="D1007" s="308"/>
    </row>
    <row r="1008" spans="1:4" x14ac:dyDescent="0.25">
      <c r="A1008" s="304">
        <v>774</v>
      </c>
      <c r="B1008" s="308">
        <v>89</v>
      </c>
      <c r="C1008" s="307" t="s">
        <v>3405</v>
      </c>
      <c r="D1008" s="308"/>
    </row>
    <row r="1009" spans="1:4" x14ac:dyDescent="0.25">
      <c r="A1009" s="304">
        <v>775</v>
      </c>
      <c r="B1009" s="308">
        <v>897</v>
      </c>
      <c r="C1009" s="307" t="s">
        <v>3404</v>
      </c>
      <c r="D1009" s="308"/>
    </row>
    <row r="1010" spans="1:4" x14ac:dyDescent="0.25">
      <c r="A1010" s="304">
        <v>776</v>
      </c>
      <c r="B1010" s="308">
        <v>898</v>
      </c>
      <c r="C1010" s="307" t="s">
        <v>3404</v>
      </c>
      <c r="D1010" s="308"/>
    </row>
    <row r="1011" spans="1:4" x14ac:dyDescent="0.25">
      <c r="A1011" s="304">
        <v>777</v>
      </c>
      <c r="B1011" s="308">
        <v>899</v>
      </c>
      <c r="C1011" s="307" t="s">
        <v>3404</v>
      </c>
      <c r="D1011" s="308"/>
    </row>
    <row r="1012" spans="1:4" x14ac:dyDescent="0.25">
      <c r="A1012" s="304">
        <v>779</v>
      </c>
      <c r="B1012" s="308">
        <v>902</v>
      </c>
      <c r="C1012" s="307" t="s">
        <v>2767</v>
      </c>
      <c r="D1012" s="308"/>
    </row>
    <row r="1013" spans="1:4" x14ac:dyDescent="0.25">
      <c r="A1013" s="304">
        <v>780</v>
      </c>
      <c r="B1013" s="308">
        <v>903</v>
      </c>
      <c r="C1013" s="307" t="s">
        <v>99</v>
      </c>
      <c r="D1013" s="308"/>
    </row>
    <row r="1014" spans="1:4" x14ac:dyDescent="0.25">
      <c r="A1014" s="304">
        <v>781</v>
      </c>
      <c r="B1014" s="308">
        <v>91</v>
      </c>
      <c r="C1014" s="307" t="s">
        <v>2834</v>
      </c>
      <c r="D1014" s="308"/>
    </row>
    <row r="1015" spans="1:4" x14ac:dyDescent="0.25">
      <c r="A1015" s="304">
        <v>782</v>
      </c>
      <c r="B1015" s="308">
        <v>93</v>
      </c>
      <c r="C1015" s="307" t="s">
        <v>3145</v>
      </c>
      <c r="D1015" s="308"/>
    </row>
    <row r="1016" spans="1:4" x14ac:dyDescent="0.25">
      <c r="A1016" s="304">
        <v>783</v>
      </c>
      <c r="B1016" s="308">
        <v>94</v>
      </c>
      <c r="C1016" s="307" t="s">
        <v>3403</v>
      </c>
      <c r="D1016" s="308"/>
    </row>
    <row r="1017" spans="1:4" x14ac:dyDescent="0.25">
      <c r="A1017" s="304">
        <v>785</v>
      </c>
      <c r="B1017" s="308">
        <v>960</v>
      </c>
      <c r="C1017" s="307" t="s">
        <v>3402</v>
      </c>
      <c r="D1017" s="308"/>
    </row>
    <row r="1018" spans="1:4" x14ac:dyDescent="0.25">
      <c r="A1018" s="304">
        <v>786</v>
      </c>
      <c r="B1018" s="308">
        <v>961</v>
      </c>
      <c r="C1018" s="307" t="s">
        <v>3401</v>
      </c>
      <c r="D1018" s="308"/>
    </row>
    <row r="1019" spans="1:4" x14ac:dyDescent="0.25">
      <c r="A1019" s="304">
        <v>787</v>
      </c>
      <c r="B1019" s="308" t="s">
        <v>3400</v>
      </c>
      <c r="C1019" s="307" t="s">
        <v>3399</v>
      </c>
      <c r="D1019" s="308"/>
    </row>
    <row r="1020" spans="1:4" x14ac:dyDescent="0.25">
      <c r="A1020" s="304">
        <v>788</v>
      </c>
      <c r="B1020" s="308" t="s">
        <v>3398</v>
      </c>
      <c r="C1020" s="307" t="s">
        <v>3397</v>
      </c>
      <c r="D1020" s="308"/>
    </row>
    <row r="1021" spans="1:4" x14ac:dyDescent="0.25">
      <c r="A1021" s="304">
        <v>789</v>
      </c>
      <c r="B1021" s="308" t="s">
        <v>3396</v>
      </c>
      <c r="C1021" s="307" t="s">
        <v>3395</v>
      </c>
      <c r="D1021" s="308"/>
    </row>
    <row r="1022" spans="1:4" x14ac:dyDescent="0.25">
      <c r="A1022" s="304">
        <v>790</v>
      </c>
      <c r="B1022" s="308" t="s">
        <v>3394</v>
      </c>
      <c r="C1022" s="307" t="s">
        <v>3393</v>
      </c>
      <c r="D1022" s="308"/>
    </row>
    <row r="1023" spans="1:4" x14ac:dyDescent="0.25">
      <c r="A1023" s="304">
        <v>791</v>
      </c>
      <c r="B1023" s="308" t="s">
        <v>3392</v>
      </c>
      <c r="C1023" s="307" t="s">
        <v>3391</v>
      </c>
      <c r="D1023" s="308"/>
    </row>
    <row r="1024" spans="1:4" x14ac:dyDescent="0.25">
      <c r="A1024" s="304">
        <v>792</v>
      </c>
      <c r="B1024" s="308" t="s">
        <v>3390</v>
      </c>
      <c r="C1024" s="307" t="s">
        <v>3389</v>
      </c>
      <c r="D1024" s="308"/>
    </row>
    <row r="1025" spans="1:4" x14ac:dyDescent="0.25">
      <c r="A1025" s="304">
        <v>793</v>
      </c>
      <c r="B1025" s="308" t="s">
        <v>3388</v>
      </c>
      <c r="C1025" s="307" t="s">
        <v>3387</v>
      </c>
      <c r="D1025" s="308"/>
    </row>
    <row r="1026" spans="1:4" x14ac:dyDescent="0.25">
      <c r="A1026" s="304">
        <v>796</v>
      </c>
      <c r="B1026" s="308" t="s">
        <v>3386</v>
      </c>
      <c r="C1026" s="307" t="s">
        <v>3385</v>
      </c>
      <c r="D1026" s="308"/>
    </row>
    <row r="1027" spans="1:4" x14ac:dyDescent="0.25">
      <c r="A1027" s="304">
        <v>797</v>
      </c>
      <c r="B1027" s="308" t="s">
        <v>3384</v>
      </c>
      <c r="C1027" s="307" t="s">
        <v>3383</v>
      </c>
      <c r="D1027" s="308"/>
    </row>
    <row r="1028" spans="1:4" x14ac:dyDescent="0.25">
      <c r="A1028" s="304">
        <v>798</v>
      </c>
      <c r="B1028" s="308" t="s">
        <v>3382</v>
      </c>
      <c r="C1028" s="307" t="s">
        <v>3381</v>
      </c>
      <c r="D1028" s="308"/>
    </row>
    <row r="1029" spans="1:4" x14ac:dyDescent="0.25">
      <c r="A1029" s="304">
        <v>799</v>
      </c>
      <c r="B1029" s="308" t="s">
        <v>3380</v>
      </c>
      <c r="C1029" s="307" t="s">
        <v>3379</v>
      </c>
      <c r="D1029" s="308"/>
    </row>
    <row r="1030" spans="1:4" x14ac:dyDescent="0.25">
      <c r="A1030" s="304">
        <v>800</v>
      </c>
      <c r="B1030" s="308" t="s">
        <v>3378</v>
      </c>
      <c r="C1030" s="307" t="s">
        <v>3377</v>
      </c>
      <c r="D1030" s="308"/>
    </row>
    <row r="1031" spans="1:4" x14ac:dyDescent="0.25">
      <c r="A1031" s="304">
        <v>802</v>
      </c>
      <c r="B1031" s="308" t="s">
        <v>3376</v>
      </c>
      <c r="C1031" s="307" t="s">
        <v>3375</v>
      </c>
      <c r="D1031" s="308"/>
    </row>
    <row r="1032" spans="1:4" x14ac:dyDescent="0.25">
      <c r="A1032" s="304">
        <v>804</v>
      </c>
      <c r="B1032" s="308" t="s">
        <v>3374</v>
      </c>
      <c r="C1032" s="307" t="s">
        <v>3373</v>
      </c>
      <c r="D1032" s="308"/>
    </row>
    <row r="1033" spans="1:4" x14ac:dyDescent="0.25">
      <c r="A1033" s="304">
        <v>805</v>
      </c>
      <c r="B1033" s="308" t="s">
        <v>3372</v>
      </c>
      <c r="C1033" s="307" t="s">
        <v>3371</v>
      </c>
      <c r="D1033" s="308"/>
    </row>
    <row r="1034" spans="1:4" x14ac:dyDescent="0.25">
      <c r="A1034" s="304">
        <v>806</v>
      </c>
      <c r="B1034" s="308" t="s">
        <v>3370</v>
      </c>
      <c r="C1034" s="307" t="s">
        <v>3369</v>
      </c>
      <c r="D1034" s="308"/>
    </row>
    <row r="1035" spans="1:4" x14ac:dyDescent="0.25">
      <c r="A1035" s="304">
        <v>807</v>
      </c>
      <c r="B1035" s="308" t="s">
        <v>3368</v>
      </c>
      <c r="C1035" s="307" t="s">
        <v>3367</v>
      </c>
      <c r="D1035" s="308"/>
    </row>
    <row r="1036" spans="1:4" x14ac:dyDescent="0.25">
      <c r="A1036" s="304">
        <v>808</v>
      </c>
      <c r="B1036" s="308" t="s">
        <v>3366</v>
      </c>
      <c r="C1036" s="307" t="s">
        <v>3365</v>
      </c>
      <c r="D1036" s="308"/>
    </row>
    <row r="1037" spans="1:4" x14ac:dyDescent="0.25">
      <c r="A1037" s="304">
        <v>809</v>
      </c>
      <c r="B1037" s="308" t="s">
        <v>3364</v>
      </c>
      <c r="C1037" s="307" t="s">
        <v>3363</v>
      </c>
      <c r="D1037" s="308"/>
    </row>
    <row r="1038" spans="1:4" x14ac:dyDescent="0.25">
      <c r="A1038" s="304">
        <v>810</v>
      </c>
      <c r="B1038" s="308" t="s">
        <v>3362</v>
      </c>
      <c r="C1038" s="307" t="s">
        <v>937</v>
      </c>
      <c r="D1038" s="308"/>
    </row>
    <row r="1039" spans="1:4" x14ac:dyDescent="0.25">
      <c r="A1039" s="304">
        <v>811</v>
      </c>
      <c r="B1039" s="308" t="s">
        <v>3361</v>
      </c>
      <c r="C1039" s="307" t="s">
        <v>3360</v>
      </c>
      <c r="D1039" s="308"/>
    </row>
    <row r="1040" spans="1:4" x14ac:dyDescent="0.25">
      <c r="A1040" s="304">
        <v>812</v>
      </c>
      <c r="B1040" s="308" t="s">
        <v>3359</v>
      </c>
      <c r="C1040" s="307" t="s">
        <v>3358</v>
      </c>
      <c r="D1040" s="308"/>
    </row>
    <row r="1041" spans="1:4" x14ac:dyDescent="0.25">
      <c r="A1041" s="304">
        <v>813</v>
      </c>
      <c r="B1041" s="308" t="s">
        <v>3357</v>
      </c>
      <c r="C1041" s="307" t="s">
        <v>3356</v>
      </c>
      <c r="D1041" s="308"/>
    </row>
    <row r="1042" spans="1:4" x14ac:dyDescent="0.25">
      <c r="A1042" s="304">
        <v>814</v>
      </c>
      <c r="B1042" s="308" t="s">
        <v>3355</v>
      </c>
      <c r="C1042" s="307" t="s">
        <v>3354</v>
      </c>
      <c r="D1042" s="308"/>
    </row>
    <row r="1043" spans="1:4" x14ac:dyDescent="0.25">
      <c r="A1043" s="304">
        <v>815</v>
      </c>
      <c r="B1043" s="308" t="s">
        <v>3353</v>
      </c>
      <c r="C1043" s="307" t="s">
        <v>3352</v>
      </c>
      <c r="D1043" s="308"/>
    </row>
    <row r="1044" spans="1:4" x14ac:dyDescent="0.25">
      <c r="A1044" s="304">
        <v>816</v>
      </c>
      <c r="B1044" s="308" t="s">
        <v>3351</v>
      </c>
      <c r="C1044" s="307" t="s">
        <v>3350</v>
      </c>
      <c r="D1044" s="308"/>
    </row>
    <row r="1045" spans="1:4" x14ac:dyDescent="0.25">
      <c r="A1045" s="304">
        <v>817</v>
      </c>
      <c r="B1045" s="308" t="s">
        <v>3349</v>
      </c>
      <c r="C1045" s="307" t="s">
        <v>3348</v>
      </c>
      <c r="D1045" s="308"/>
    </row>
    <row r="1046" spans="1:4" x14ac:dyDescent="0.25">
      <c r="A1046" s="304">
        <v>818</v>
      </c>
      <c r="B1046" s="308" t="s">
        <v>3347</v>
      </c>
      <c r="C1046" s="307" t="s">
        <v>3346</v>
      </c>
      <c r="D1046" s="308"/>
    </row>
    <row r="1047" spans="1:4" x14ac:dyDescent="0.25">
      <c r="A1047" s="304">
        <v>819</v>
      </c>
      <c r="B1047" s="308" t="s">
        <v>3345</v>
      </c>
      <c r="C1047" s="307" t="s">
        <v>3344</v>
      </c>
      <c r="D1047" s="308"/>
    </row>
    <row r="1048" spans="1:4" x14ac:dyDescent="0.25">
      <c r="A1048" s="304">
        <v>820</v>
      </c>
      <c r="B1048" s="308" t="s">
        <v>3343</v>
      </c>
      <c r="C1048" s="307" t="s">
        <v>3342</v>
      </c>
      <c r="D1048" s="308"/>
    </row>
    <row r="1049" spans="1:4" x14ac:dyDescent="0.25">
      <c r="A1049" s="304">
        <v>821</v>
      </c>
      <c r="B1049" s="308" t="s">
        <v>3341</v>
      </c>
      <c r="C1049" s="307" t="s">
        <v>3340</v>
      </c>
      <c r="D1049" s="308"/>
    </row>
    <row r="1050" spans="1:4" x14ac:dyDescent="0.25">
      <c r="A1050" s="304">
        <v>822</v>
      </c>
      <c r="B1050" s="308" t="s">
        <v>3339</v>
      </c>
      <c r="C1050" s="307" t="s">
        <v>3338</v>
      </c>
      <c r="D1050" s="308"/>
    </row>
    <row r="1051" spans="1:4" x14ac:dyDescent="0.25">
      <c r="A1051" s="304">
        <v>823</v>
      </c>
      <c r="B1051" s="308" t="s">
        <v>3337</v>
      </c>
      <c r="C1051" s="307" t="s">
        <v>3336</v>
      </c>
      <c r="D1051" s="308"/>
    </row>
    <row r="1052" spans="1:4" x14ac:dyDescent="0.25">
      <c r="A1052" s="304">
        <v>824</v>
      </c>
      <c r="B1052" s="308" t="s">
        <v>3335</v>
      </c>
      <c r="C1052" s="307" t="s">
        <v>3334</v>
      </c>
      <c r="D1052" s="308"/>
    </row>
    <row r="1053" spans="1:4" x14ac:dyDescent="0.25">
      <c r="A1053" s="304">
        <v>825</v>
      </c>
      <c r="B1053" s="308" t="s">
        <v>3333</v>
      </c>
      <c r="C1053" s="307" t="s">
        <v>3332</v>
      </c>
      <c r="D1053" s="308"/>
    </row>
    <row r="1054" spans="1:4" x14ac:dyDescent="0.25">
      <c r="A1054" s="304">
        <v>826</v>
      </c>
      <c r="B1054" s="308" t="s">
        <v>3331</v>
      </c>
      <c r="C1054" s="307" t="s">
        <v>3330</v>
      </c>
      <c r="D1054" s="308"/>
    </row>
    <row r="1055" spans="1:4" x14ac:dyDescent="0.25">
      <c r="A1055" s="304">
        <v>827</v>
      </c>
      <c r="B1055" s="308" t="s">
        <v>3329</v>
      </c>
      <c r="C1055" s="307" t="s">
        <v>3328</v>
      </c>
      <c r="D1055" s="308"/>
    </row>
    <row r="1056" spans="1:4" x14ac:dyDescent="0.25">
      <c r="A1056" s="304">
        <v>828</v>
      </c>
      <c r="B1056" s="308" t="s">
        <v>3327</v>
      </c>
      <c r="C1056" s="307" t="s">
        <v>3326</v>
      </c>
      <c r="D1056" s="308"/>
    </row>
    <row r="1057" spans="1:4" x14ac:dyDescent="0.25">
      <c r="A1057" s="304">
        <v>829</v>
      </c>
      <c r="B1057" s="308" t="s">
        <v>3325</v>
      </c>
      <c r="C1057" s="307" t="s">
        <v>3324</v>
      </c>
      <c r="D1057" s="308"/>
    </row>
    <row r="1058" spans="1:4" x14ac:dyDescent="0.25">
      <c r="A1058" s="304">
        <v>830</v>
      </c>
      <c r="B1058" s="308" t="s">
        <v>3323</v>
      </c>
      <c r="C1058" s="307" t="s">
        <v>3322</v>
      </c>
      <c r="D1058" s="308"/>
    </row>
    <row r="1059" spans="1:4" x14ac:dyDescent="0.25">
      <c r="A1059" s="304">
        <v>831</v>
      </c>
      <c r="B1059" s="308" t="s">
        <v>3321</v>
      </c>
      <c r="C1059" s="307" t="s">
        <v>3320</v>
      </c>
      <c r="D1059" s="308"/>
    </row>
    <row r="1060" spans="1:4" x14ac:dyDescent="0.25">
      <c r="A1060" s="304">
        <v>832</v>
      </c>
      <c r="B1060" s="308" t="s">
        <v>3319</v>
      </c>
      <c r="C1060" s="307" t="s">
        <v>3318</v>
      </c>
      <c r="D1060" s="308"/>
    </row>
    <row r="1061" spans="1:4" x14ac:dyDescent="0.25">
      <c r="A1061" s="304">
        <v>833</v>
      </c>
      <c r="B1061" s="308" t="s">
        <v>3317</v>
      </c>
      <c r="C1061" s="307" t="s">
        <v>3316</v>
      </c>
      <c r="D1061" s="308"/>
    </row>
    <row r="1062" spans="1:4" x14ac:dyDescent="0.25">
      <c r="A1062" s="304">
        <v>834</v>
      </c>
      <c r="B1062" s="308" t="s">
        <v>3315</v>
      </c>
      <c r="C1062" s="307" t="s">
        <v>3026</v>
      </c>
      <c r="D1062" s="308"/>
    </row>
    <row r="1063" spans="1:4" x14ac:dyDescent="0.25">
      <c r="A1063" s="304">
        <v>835</v>
      </c>
      <c r="B1063" s="308" t="s">
        <v>3314</v>
      </c>
      <c r="C1063" s="307" t="s">
        <v>3313</v>
      </c>
      <c r="D1063" s="308"/>
    </row>
    <row r="1064" spans="1:4" x14ac:dyDescent="0.25">
      <c r="A1064" s="304">
        <v>836</v>
      </c>
      <c r="B1064" s="308" t="s">
        <v>3312</v>
      </c>
      <c r="C1064" s="307" t="s">
        <v>3311</v>
      </c>
      <c r="D1064" s="308"/>
    </row>
    <row r="1065" spans="1:4" x14ac:dyDescent="0.25">
      <c r="A1065" s="304">
        <v>837</v>
      </c>
      <c r="B1065" s="308" t="s">
        <v>3310</v>
      </c>
      <c r="C1065" s="307" t="s">
        <v>3309</v>
      </c>
      <c r="D1065" s="308"/>
    </row>
    <row r="1066" spans="1:4" x14ac:dyDescent="0.25">
      <c r="A1066" s="304">
        <v>838</v>
      </c>
      <c r="B1066" s="308" t="s">
        <v>3308</v>
      </c>
      <c r="C1066" s="307" t="s">
        <v>3307</v>
      </c>
      <c r="D1066" s="308"/>
    </row>
    <row r="1067" spans="1:4" x14ac:dyDescent="0.25">
      <c r="A1067" s="304">
        <v>839</v>
      </c>
      <c r="B1067" s="308" t="s">
        <v>3306</v>
      </c>
      <c r="C1067" s="307" t="s">
        <v>3305</v>
      </c>
      <c r="D1067" s="308"/>
    </row>
    <row r="1068" spans="1:4" x14ac:dyDescent="0.25">
      <c r="A1068" s="304">
        <v>840</v>
      </c>
      <c r="B1068" s="308" t="s">
        <v>3304</v>
      </c>
      <c r="C1068" s="307" t="s">
        <v>3303</v>
      </c>
      <c r="D1068" s="308"/>
    </row>
    <row r="1069" spans="1:4" x14ac:dyDescent="0.25">
      <c r="A1069" s="304">
        <v>841</v>
      </c>
      <c r="B1069" s="308" t="s">
        <v>3302</v>
      </c>
      <c r="C1069" s="307" t="s">
        <v>3301</v>
      </c>
      <c r="D1069" s="308"/>
    </row>
    <row r="1070" spans="1:4" x14ac:dyDescent="0.25">
      <c r="A1070" s="304">
        <v>842</v>
      </c>
      <c r="B1070" s="308" t="s">
        <v>3300</v>
      </c>
      <c r="C1070" s="307" t="s">
        <v>3299</v>
      </c>
      <c r="D1070" s="308"/>
    </row>
    <row r="1071" spans="1:4" x14ac:dyDescent="0.25">
      <c r="A1071" s="304">
        <v>843</v>
      </c>
      <c r="B1071" s="308" t="s">
        <v>3298</v>
      </c>
      <c r="C1071" s="307" t="s">
        <v>3297</v>
      </c>
      <c r="D1071" s="308"/>
    </row>
    <row r="1072" spans="1:4" x14ac:dyDescent="0.25">
      <c r="A1072" s="304">
        <v>844</v>
      </c>
      <c r="B1072" s="308" t="s">
        <v>3296</v>
      </c>
      <c r="C1072" s="307" t="s">
        <v>3295</v>
      </c>
      <c r="D1072" s="308"/>
    </row>
    <row r="1073" spans="1:4" x14ac:dyDescent="0.25">
      <c r="A1073" s="304">
        <v>845</v>
      </c>
      <c r="B1073" s="308" t="s">
        <v>3294</v>
      </c>
      <c r="C1073" s="307" t="s">
        <v>3293</v>
      </c>
      <c r="D1073" s="308"/>
    </row>
    <row r="1074" spans="1:4" x14ac:dyDescent="0.25">
      <c r="A1074" s="304">
        <v>846</v>
      </c>
      <c r="B1074" s="308" t="s">
        <v>3292</v>
      </c>
      <c r="C1074" s="307" t="s">
        <v>3291</v>
      </c>
      <c r="D1074" s="308"/>
    </row>
    <row r="1075" spans="1:4" x14ac:dyDescent="0.25">
      <c r="A1075" s="304">
        <v>847</v>
      </c>
      <c r="B1075" s="308" t="s">
        <v>3290</v>
      </c>
      <c r="C1075" s="307" t="s">
        <v>3289</v>
      </c>
      <c r="D1075" s="308"/>
    </row>
    <row r="1076" spans="1:4" x14ac:dyDescent="0.25">
      <c r="A1076" s="304">
        <v>848</v>
      </c>
      <c r="B1076" s="308" t="s">
        <v>3288</v>
      </c>
      <c r="C1076" s="307" t="s">
        <v>3287</v>
      </c>
      <c r="D1076" s="308"/>
    </row>
    <row r="1077" spans="1:4" x14ac:dyDescent="0.25">
      <c r="A1077" s="304">
        <v>849</v>
      </c>
      <c r="B1077" s="308" t="s">
        <v>3286</v>
      </c>
      <c r="C1077" s="307" t="s">
        <v>3285</v>
      </c>
      <c r="D1077" s="308"/>
    </row>
    <row r="1078" spans="1:4" x14ac:dyDescent="0.25">
      <c r="A1078" s="304">
        <v>850</v>
      </c>
      <c r="B1078" s="308" t="s">
        <v>3284</v>
      </c>
      <c r="C1078" s="307" t="s">
        <v>3283</v>
      </c>
      <c r="D1078" s="308"/>
    </row>
    <row r="1079" spans="1:4" x14ac:dyDescent="0.25">
      <c r="A1079" s="304">
        <v>851</v>
      </c>
      <c r="B1079" s="308" t="s">
        <v>3282</v>
      </c>
      <c r="C1079" s="307" t="s">
        <v>3281</v>
      </c>
      <c r="D1079" s="308"/>
    </row>
    <row r="1080" spans="1:4" x14ac:dyDescent="0.25">
      <c r="A1080" s="304">
        <v>852</v>
      </c>
      <c r="B1080" s="308" t="s">
        <v>3280</v>
      </c>
      <c r="C1080" s="307" t="s">
        <v>3279</v>
      </c>
      <c r="D1080" s="308"/>
    </row>
    <row r="1081" spans="1:4" x14ac:dyDescent="0.25">
      <c r="A1081" s="304">
        <v>853</v>
      </c>
      <c r="B1081" s="308" t="s">
        <v>3278</v>
      </c>
      <c r="C1081" s="307" t="s">
        <v>3277</v>
      </c>
      <c r="D1081" s="308"/>
    </row>
    <row r="1082" spans="1:4" x14ac:dyDescent="0.25">
      <c r="A1082" s="304">
        <v>854</v>
      </c>
      <c r="B1082" s="308" t="s">
        <v>3276</v>
      </c>
      <c r="C1082" s="307" t="s">
        <v>3275</v>
      </c>
      <c r="D1082" s="308"/>
    </row>
    <row r="1083" spans="1:4" x14ac:dyDescent="0.25">
      <c r="A1083" s="304">
        <v>855</v>
      </c>
      <c r="B1083" s="308" t="s">
        <v>3274</v>
      </c>
      <c r="C1083" s="307" t="s">
        <v>3273</v>
      </c>
      <c r="D1083" s="308"/>
    </row>
    <row r="1084" spans="1:4" x14ac:dyDescent="0.25">
      <c r="A1084" s="304">
        <v>856</v>
      </c>
      <c r="B1084" s="308" t="s">
        <v>3272</v>
      </c>
      <c r="C1084" s="307" t="s">
        <v>3271</v>
      </c>
      <c r="D1084" s="308"/>
    </row>
    <row r="1085" spans="1:4" x14ac:dyDescent="0.25">
      <c r="A1085" s="304">
        <v>857</v>
      </c>
      <c r="B1085" s="308" t="s">
        <v>3270</v>
      </c>
      <c r="C1085" s="307" t="s">
        <v>3269</v>
      </c>
      <c r="D1085" s="308"/>
    </row>
    <row r="1086" spans="1:4" x14ac:dyDescent="0.25">
      <c r="A1086" s="304">
        <v>858</v>
      </c>
      <c r="B1086" s="308" t="s">
        <v>3268</v>
      </c>
      <c r="C1086" s="307" t="s">
        <v>3267</v>
      </c>
      <c r="D1086" s="308"/>
    </row>
    <row r="1087" spans="1:4" x14ac:dyDescent="0.25">
      <c r="A1087" s="304">
        <v>859</v>
      </c>
      <c r="B1087" s="308" t="s">
        <v>3266</v>
      </c>
      <c r="C1087" s="307" t="s">
        <v>3265</v>
      </c>
      <c r="D1087" s="308"/>
    </row>
    <row r="1088" spans="1:4" x14ac:dyDescent="0.25">
      <c r="A1088" s="304">
        <v>860</v>
      </c>
      <c r="B1088" s="308" t="s">
        <v>3264</v>
      </c>
      <c r="C1088" s="307" t="s">
        <v>3263</v>
      </c>
      <c r="D1088" s="308"/>
    </row>
    <row r="1089" spans="1:4" x14ac:dyDescent="0.25">
      <c r="A1089" s="304">
        <v>861</v>
      </c>
      <c r="B1089" s="308" t="s">
        <v>3262</v>
      </c>
      <c r="C1089" s="307" t="s">
        <v>3261</v>
      </c>
      <c r="D1089" s="308"/>
    </row>
    <row r="1090" spans="1:4" x14ac:dyDescent="0.25">
      <c r="A1090" s="304">
        <v>862</v>
      </c>
      <c r="B1090" s="308" t="s">
        <v>3260</v>
      </c>
      <c r="C1090" s="307" t="s">
        <v>3259</v>
      </c>
      <c r="D1090" s="308"/>
    </row>
    <row r="1091" spans="1:4" x14ac:dyDescent="0.25">
      <c r="A1091" s="304">
        <v>863</v>
      </c>
      <c r="B1091" s="308" t="s">
        <v>3258</v>
      </c>
      <c r="C1091" s="307" t="s">
        <v>3257</v>
      </c>
      <c r="D1091" s="308"/>
    </row>
    <row r="1092" spans="1:4" x14ac:dyDescent="0.25">
      <c r="A1092" s="304">
        <v>864</v>
      </c>
      <c r="B1092" s="308" t="s">
        <v>3256</v>
      </c>
      <c r="C1092" s="307" t="s">
        <v>3255</v>
      </c>
      <c r="D1092" s="308"/>
    </row>
    <row r="1093" spans="1:4" x14ac:dyDescent="0.25">
      <c r="A1093" s="304">
        <v>865</v>
      </c>
      <c r="B1093" s="308" t="s">
        <v>3254</v>
      </c>
      <c r="C1093" s="307" t="s">
        <v>3253</v>
      </c>
      <c r="D1093" s="308"/>
    </row>
    <row r="1094" spans="1:4" x14ac:dyDescent="0.25">
      <c r="A1094" s="304">
        <v>866</v>
      </c>
      <c r="B1094" s="308" t="s">
        <v>3252</v>
      </c>
      <c r="C1094" s="307" t="s">
        <v>3251</v>
      </c>
      <c r="D1094" s="308"/>
    </row>
    <row r="1095" spans="1:4" x14ac:dyDescent="0.25">
      <c r="A1095" s="304">
        <v>867</v>
      </c>
      <c r="B1095" s="308" t="s">
        <v>3250</v>
      </c>
      <c r="C1095" s="307" t="s">
        <v>3249</v>
      </c>
      <c r="D1095" s="308"/>
    </row>
    <row r="1096" spans="1:4" x14ac:dyDescent="0.25">
      <c r="A1096" s="304">
        <v>868</v>
      </c>
      <c r="B1096" s="308" t="s">
        <v>3248</v>
      </c>
      <c r="C1096" s="307" t="s">
        <v>3247</v>
      </c>
      <c r="D1096" s="308"/>
    </row>
    <row r="1097" spans="1:4" x14ac:dyDescent="0.25">
      <c r="A1097" s="304">
        <v>869</v>
      </c>
      <c r="B1097" s="308" t="s">
        <v>3246</v>
      </c>
      <c r="C1097" s="307" t="s">
        <v>3245</v>
      </c>
      <c r="D1097" s="308"/>
    </row>
    <row r="1098" spans="1:4" x14ac:dyDescent="0.25">
      <c r="A1098" s="304">
        <v>870</v>
      </c>
      <c r="B1098" s="308" t="s">
        <v>3244</v>
      </c>
      <c r="C1098" s="307" t="s">
        <v>3243</v>
      </c>
      <c r="D1098" s="308"/>
    </row>
    <row r="1099" spans="1:4" x14ac:dyDescent="0.25">
      <c r="A1099" s="304">
        <v>871</v>
      </c>
      <c r="B1099" s="308" t="s">
        <v>3242</v>
      </c>
      <c r="C1099" s="307" t="s">
        <v>3241</v>
      </c>
      <c r="D1099" s="308"/>
    </row>
    <row r="1100" spans="1:4" x14ac:dyDescent="0.25">
      <c r="A1100" s="304">
        <v>872</v>
      </c>
      <c r="B1100" s="308" t="s">
        <v>3240</v>
      </c>
      <c r="C1100" s="307" t="s">
        <v>3239</v>
      </c>
      <c r="D1100" s="308"/>
    </row>
    <row r="1101" spans="1:4" x14ac:dyDescent="0.25">
      <c r="A1101" s="304">
        <v>873</v>
      </c>
      <c r="B1101" s="308" t="s">
        <v>3238</v>
      </c>
      <c r="C1101" s="307" t="s">
        <v>3237</v>
      </c>
      <c r="D1101" s="308"/>
    </row>
    <row r="1102" spans="1:4" x14ac:dyDescent="0.25">
      <c r="A1102" s="304">
        <v>874</v>
      </c>
      <c r="B1102" s="308" t="s">
        <v>3236</v>
      </c>
      <c r="C1102" s="307" t="s">
        <v>3235</v>
      </c>
      <c r="D1102" s="308"/>
    </row>
    <row r="1103" spans="1:4" x14ac:dyDescent="0.25">
      <c r="A1103" s="304">
        <v>875</v>
      </c>
      <c r="B1103" s="308" t="s">
        <v>3234</v>
      </c>
      <c r="C1103" s="307" t="s">
        <v>3233</v>
      </c>
      <c r="D1103" s="308"/>
    </row>
    <row r="1104" spans="1:4" x14ac:dyDescent="0.25">
      <c r="A1104" s="304">
        <v>876</v>
      </c>
      <c r="B1104" s="308" t="s">
        <v>3232</v>
      </c>
      <c r="C1104" s="307" t="s">
        <v>3231</v>
      </c>
      <c r="D1104" s="308"/>
    </row>
    <row r="1105" spans="1:4" x14ac:dyDescent="0.25">
      <c r="A1105" s="304">
        <v>877</v>
      </c>
      <c r="B1105" s="308" t="s">
        <v>3230</v>
      </c>
      <c r="C1105" s="307" t="s">
        <v>3229</v>
      </c>
      <c r="D1105" s="308"/>
    </row>
    <row r="1106" spans="1:4" x14ac:dyDescent="0.25">
      <c r="A1106" s="304">
        <v>878</v>
      </c>
      <c r="B1106" s="308" t="s">
        <v>3228</v>
      </c>
      <c r="C1106" s="307" t="s">
        <v>3227</v>
      </c>
      <c r="D1106" s="308"/>
    </row>
    <row r="1107" spans="1:4" x14ac:dyDescent="0.25">
      <c r="A1107" s="304">
        <v>879</v>
      </c>
      <c r="B1107" s="308" t="s">
        <v>3226</v>
      </c>
      <c r="C1107" s="307" t="s">
        <v>3225</v>
      </c>
      <c r="D1107" s="308"/>
    </row>
    <row r="1108" spans="1:4" x14ac:dyDescent="0.25">
      <c r="A1108" s="304">
        <v>880</v>
      </c>
      <c r="B1108" s="308" t="s">
        <v>3224</v>
      </c>
      <c r="C1108" s="307" t="s">
        <v>3223</v>
      </c>
      <c r="D1108" s="308"/>
    </row>
    <row r="1109" spans="1:4" x14ac:dyDescent="0.25">
      <c r="A1109" s="304">
        <v>881</v>
      </c>
      <c r="B1109" s="308" t="s">
        <v>3222</v>
      </c>
      <c r="C1109" s="307" t="s">
        <v>3221</v>
      </c>
      <c r="D1109" s="308"/>
    </row>
    <row r="1110" spans="1:4" x14ac:dyDescent="0.25">
      <c r="A1110" s="304">
        <v>882</v>
      </c>
      <c r="B1110" s="308" t="s">
        <v>3220</v>
      </c>
      <c r="C1110" s="307" t="s">
        <v>3219</v>
      </c>
      <c r="D1110" s="308"/>
    </row>
    <row r="1111" spans="1:4" x14ac:dyDescent="0.25">
      <c r="A1111" s="304">
        <v>883</v>
      </c>
      <c r="B1111" s="308" t="s">
        <v>3218</v>
      </c>
      <c r="C1111" s="307" t="s">
        <v>2701</v>
      </c>
      <c r="D1111" s="308"/>
    </row>
    <row r="1112" spans="1:4" x14ac:dyDescent="0.25">
      <c r="A1112" s="304">
        <v>884</v>
      </c>
      <c r="B1112" s="308" t="s">
        <v>3217</v>
      </c>
      <c r="C1112" s="307" t="s">
        <v>3216</v>
      </c>
      <c r="D1112" s="308"/>
    </row>
    <row r="1113" spans="1:4" x14ac:dyDescent="0.25">
      <c r="A1113" s="304">
        <v>885</v>
      </c>
      <c r="B1113" s="308" t="s">
        <v>3215</v>
      </c>
      <c r="C1113" s="307" t="s">
        <v>3214</v>
      </c>
      <c r="D1113" s="308"/>
    </row>
    <row r="1114" spans="1:4" x14ac:dyDescent="0.25">
      <c r="A1114" s="304">
        <v>886</v>
      </c>
      <c r="B1114" s="308" t="s">
        <v>3213</v>
      </c>
      <c r="C1114" s="307" t="s">
        <v>3212</v>
      </c>
      <c r="D1114" s="308"/>
    </row>
    <row r="1115" spans="1:4" x14ac:dyDescent="0.25">
      <c r="A1115" s="304">
        <v>887</v>
      </c>
      <c r="B1115" s="308" t="s">
        <v>3211</v>
      </c>
      <c r="C1115" s="307" t="s">
        <v>3210</v>
      </c>
      <c r="D1115" s="308"/>
    </row>
    <row r="1116" spans="1:4" x14ac:dyDescent="0.25">
      <c r="A1116" s="304">
        <v>888</v>
      </c>
      <c r="B1116" s="308" t="s">
        <v>3209</v>
      </c>
      <c r="C1116" s="307" t="s">
        <v>3208</v>
      </c>
      <c r="D1116" s="308"/>
    </row>
    <row r="1117" spans="1:4" x14ac:dyDescent="0.25">
      <c r="A1117" s="304">
        <v>889</v>
      </c>
      <c r="B1117" s="308" t="s">
        <v>3207</v>
      </c>
      <c r="C1117" s="307" t="s">
        <v>3206</v>
      </c>
      <c r="D1117" s="308"/>
    </row>
    <row r="1118" spans="1:4" x14ac:dyDescent="0.25">
      <c r="A1118" s="304">
        <v>890</v>
      </c>
      <c r="B1118" s="308" t="s">
        <v>3205</v>
      </c>
      <c r="C1118" s="307" t="s">
        <v>618</v>
      </c>
      <c r="D1118" s="308"/>
    </row>
    <row r="1119" spans="1:4" x14ac:dyDescent="0.25">
      <c r="A1119" s="304">
        <v>891</v>
      </c>
      <c r="B1119" s="308" t="s">
        <v>3204</v>
      </c>
      <c r="C1119" s="307" t="s">
        <v>2650</v>
      </c>
      <c r="D1119" s="308"/>
    </row>
    <row r="1120" spans="1:4" x14ac:dyDescent="0.25">
      <c r="A1120" s="304">
        <v>892</v>
      </c>
      <c r="B1120" s="308" t="s">
        <v>3203</v>
      </c>
      <c r="C1120" s="307" t="s">
        <v>3202</v>
      </c>
      <c r="D1120" s="308"/>
    </row>
    <row r="1121" spans="1:4" x14ac:dyDescent="0.25">
      <c r="A1121" s="304">
        <v>893</v>
      </c>
      <c r="B1121" s="308" t="s">
        <v>3201</v>
      </c>
      <c r="C1121" s="307" t="s">
        <v>3200</v>
      </c>
      <c r="D1121" s="308"/>
    </row>
    <row r="1122" spans="1:4" x14ac:dyDescent="0.25">
      <c r="A1122" s="304">
        <v>894</v>
      </c>
      <c r="B1122" s="308" t="s">
        <v>3199</v>
      </c>
      <c r="C1122" s="307" t="s">
        <v>3198</v>
      </c>
      <c r="D1122" s="308"/>
    </row>
    <row r="1123" spans="1:4" x14ac:dyDescent="0.25">
      <c r="A1123" s="304">
        <v>895</v>
      </c>
      <c r="B1123" s="308" t="s">
        <v>3197</v>
      </c>
      <c r="C1123" s="307" t="s">
        <v>3196</v>
      </c>
      <c r="D1123" s="308"/>
    </row>
    <row r="1124" spans="1:4" x14ac:dyDescent="0.25">
      <c r="A1124" s="304">
        <v>896</v>
      </c>
      <c r="B1124" s="308" t="s">
        <v>3195</v>
      </c>
      <c r="C1124" s="307" t="s">
        <v>3194</v>
      </c>
      <c r="D1124" s="308"/>
    </row>
    <row r="1125" spans="1:4" x14ac:dyDescent="0.25">
      <c r="A1125" s="304">
        <v>897</v>
      </c>
      <c r="B1125" s="308" t="s">
        <v>3193</v>
      </c>
      <c r="C1125" s="307" t="s">
        <v>3192</v>
      </c>
      <c r="D1125" s="308"/>
    </row>
    <row r="1126" spans="1:4" x14ac:dyDescent="0.25">
      <c r="A1126" s="304">
        <v>898</v>
      </c>
      <c r="B1126" s="308" t="s">
        <v>3191</v>
      </c>
      <c r="C1126" s="307" t="s">
        <v>3190</v>
      </c>
      <c r="D1126" s="308"/>
    </row>
    <row r="1127" spans="1:4" x14ac:dyDescent="0.25">
      <c r="A1127" s="304">
        <v>899</v>
      </c>
      <c r="B1127" s="308" t="s">
        <v>3189</v>
      </c>
      <c r="C1127" s="307" t="s">
        <v>3188</v>
      </c>
      <c r="D1127" s="308"/>
    </row>
    <row r="1128" spans="1:4" x14ac:dyDescent="0.25">
      <c r="A1128" s="304">
        <v>900</v>
      </c>
      <c r="B1128" s="308" t="s">
        <v>3187</v>
      </c>
      <c r="C1128" s="307" t="s">
        <v>3186</v>
      </c>
      <c r="D1128" s="308"/>
    </row>
    <row r="1129" spans="1:4" x14ac:dyDescent="0.25">
      <c r="A1129" s="304">
        <v>901</v>
      </c>
      <c r="B1129" s="308" t="s">
        <v>3185</v>
      </c>
      <c r="C1129" s="307" t="s">
        <v>3184</v>
      </c>
      <c r="D1129" s="308"/>
    </row>
    <row r="1130" spans="1:4" x14ac:dyDescent="0.25">
      <c r="A1130" s="304">
        <v>902</v>
      </c>
      <c r="B1130" s="308" t="s">
        <v>3183</v>
      </c>
      <c r="C1130" s="307" t="s">
        <v>3182</v>
      </c>
      <c r="D1130" s="308"/>
    </row>
    <row r="1131" spans="1:4" x14ac:dyDescent="0.25">
      <c r="A1131" s="304">
        <v>903</v>
      </c>
      <c r="B1131" s="308" t="s">
        <v>3181</v>
      </c>
      <c r="C1131" s="307" t="s">
        <v>3180</v>
      </c>
      <c r="D1131" s="308"/>
    </row>
    <row r="1132" spans="1:4" x14ac:dyDescent="0.25">
      <c r="A1132" s="304">
        <v>904</v>
      </c>
      <c r="B1132" s="308" t="s">
        <v>3179</v>
      </c>
      <c r="C1132" s="307" t="s">
        <v>3178</v>
      </c>
      <c r="D1132" s="308"/>
    </row>
    <row r="1133" spans="1:4" x14ac:dyDescent="0.25">
      <c r="A1133" s="304">
        <v>905</v>
      </c>
      <c r="B1133" s="308" t="s">
        <v>3177</v>
      </c>
      <c r="C1133" s="307" t="s">
        <v>3176</v>
      </c>
      <c r="D1133" s="308"/>
    </row>
    <row r="1134" spans="1:4" x14ac:dyDescent="0.25">
      <c r="A1134" s="304">
        <v>906</v>
      </c>
      <c r="B1134" s="308" t="s">
        <v>3175</v>
      </c>
      <c r="C1134" s="307" t="s">
        <v>3174</v>
      </c>
      <c r="D1134" s="308"/>
    </row>
    <row r="1135" spans="1:4" x14ac:dyDescent="0.25">
      <c r="A1135" s="304">
        <v>907</v>
      </c>
      <c r="B1135" s="308" t="s">
        <v>3173</v>
      </c>
      <c r="C1135" s="307" t="s">
        <v>3172</v>
      </c>
      <c r="D1135" s="308"/>
    </row>
    <row r="1136" spans="1:4" x14ac:dyDescent="0.25">
      <c r="A1136" s="304">
        <v>908</v>
      </c>
      <c r="B1136" s="308" t="s">
        <v>3171</v>
      </c>
      <c r="C1136" s="307" t="s">
        <v>3170</v>
      </c>
      <c r="D1136" s="308"/>
    </row>
    <row r="1137" spans="1:4" x14ac:dyDescent="0.25">
      <c r="A1137" s="304">
        <v>909</v>
      </c>
      <c r="B1137" s="308" t="s">
        <v>3169</v>
      </c>
      <c r="C1137" s="307" t="s">
        <v>3168</v>
      </c>
      <c r="D1137" s="308"/>
    </row>
    <row r="1138" spans="1:4" x14ac:dyDescent="0.25">
      <c r="A1138" s="304">
        <v>910</v>
      </c>
      <c r="B1138" s="308" t="s">
        <v>3167</v>
      </c>
      <c r="C1138" s="307" t="s">
        <v>3018</v>
      </c>
      <c r="D1138" s="308"/>
    </row>
    <row r="1139" spans="1:4" x14ac:dyDescent="0.25">
      <c r="A1139" s="304">
        <v>911</v>
      </c>
      <c r="B1139" s="308" t="s">
        <v>3166</v>
      </c>
      <c r="C1139" s="307" t="s">
        <v>3165</v>
      </c>
      <c r="D1139" s="308"/>
    </row>
    <row r="1140" spans="1:4" x14ac:dyDescent="0.25">
      <c r="A1140" s="304">
        <v>912</v>
      </c>
      <c r="B1140" s="308" t="s">
        <v>3164</v>
      </c>
      <c r="C1140" s="307" t="s">
        <v>3016</v>
      </c>
      <c r="D1140" s="308"/>
    </row>
    <row r="1141" spans="1:4" x14ac:dyDescent="0.25">
      <c r="A1141" s="304">
        <v>913</v>
      </c>
      <c r="B1141" s="308" t="s">
        <v>3163</v>
      </c>
      <c r="C1141" s="307" t="s">
        <v>3162</v>
      </c>
      <c r="D1141" s="308"/>
    </row>
    <row r="1142" spans="1:4" x14ac:dyDescent="0.25">
      <c r="A1142" s="304">
        <v>914</v>
      </c>
      <c r="B1142" s="308" t="s">
        <v>3161</v>
      </c>
      <c r="C1142" s="307" t="s">
        <v>3160</v>
      </c>
      <c r="D1142" s="308"/>
    </row>
    <row r="1143" spans="1:4" x14ac:dyDescent="0.25">
      <c r="A1143" s="304">
        <v>915</v>
      </c>
      <c r="B1143" s="308" t="s">
        <v>3159</v>
      </c>
      <c r="C1143" s="307" t="s">
        <v>3158</v>
      </c>
      <c r="D1143" s="308"/>
    </row>
    <row r="1144" spans="1:4" x14ac:dyDescent="0.25">
      <c r="A1144" s="304">
        <v>916</v>
      </c>
      <c r="B1144" s="308" t="s">
        <v>3157</v>
      </c>
      <c r="C1144" s="307" t="s">
        <v>3156</v>
      </c>
      <c r="D1144" s="308"/>
    </row>
    <row r="1145" spans="1:4" x14ac:dyDescent="0.25">
      <c r="A1145" s="304">
        <v>917</v>
      </c>
      <c r="B1145" s="308" t="s">
        <v>3155</v>
      </c>
      <c r="C1145" s="307" t="s">
        <v>3154</v>
      </c>
      <c r="D1145" s="308"/>
    </row>
    <row r="1146" spans="1:4" x14ac:dyDescent="0.25">
      <c r="A1146" s="304">
        <v>918</v>
      </c>
      <c r="B1146" s="308" t="s">
        <v>3153</v>
      </c>
      <c r="C1146" s="307" t="s">
        <v>2618</v>
      </c>
      <c r="D1146" s="308"/>
    </row>
    <row r="1147" spans="1:4" x14ac:dyDescent="0.25">
      <c r="A1147" s="304">
        <v>919</v>
      </c>
      <c r="B1147" s="308" t="s">
        <v>3152</v>
      </c>
      <c r="C1147" s="307" t="s">
        <v>3151</v>
      </c>
      <c r="D1147" s="308"/>
    </row>
    <row r="1148" spans="1:4" x14ac:dyDescent="0.25">
      <c r="A1148" s="304">
        <v>920</v>
      </c>
      <c r="B1148" s="308" t="s">
        <v>3150</v>
      </c>
      <c r="C1148" s="307" t="s">
        <v>3149</v>
      </c>
      <c r="D1148" s="308"/>
    </row>
    <row r="1149" spans="1:4" x14ac:dyDescent="0.25">
      <c r="A1149" s="304">
        <v>921</v>
      </c>
      <c r="B1149" s="308" t="s">
        <v>3148</v>
      </c>
      <c r="C1149" s="307" t="s">
        <v>3147</v>
      </c>
      <c r="D1149" s="308"/>
    </row>
    <row r="1150" spans="1:4" x14ac:dyDescent="0.25">
      <c r="A1150" s="304">
        <v>922</v>
      </c>
      <c r="B1150" s="308" t="s">
        <v>3146</v>
      </c>
      <c r="C1150" s="307" t="s">
        <v>3145</v>
      </c>
      <c r="D1150" s="308"/>
    </row>
    <row r="1151" spans="1:4" x14ac:dyDescent="0.25">
      <c r="A1151" s="304">
        <v>923</v>
      </c>
      <c r="B1151" s="308" t="s">
        <v>3144</v>
      </c>
      <c r="C1151" s="307" t="s">
        <v>2640</v>
      </c>
      <c r="D1151" s="308"/>
    </row>
    <row r="1152" spans="1:4" x14ac:dyDescent="0.25">
      <c r="A1152" s="304">
        <v>924</v>
      </c>
      <c r="B1152" s="308" t="s">
        <v>3143</v>
      </c>
      <c r="C1152" s="307" t="s">
        <v>3142</v>
      </c>
      <c r="D1152" s="308"/>
    </row>
    <row r="1153" spans="1:4" x14ac:dyDescent="0.25">
      <c r="A1153" s="304">
        <v>925</v>
      </c>
      <c r="B1153" s="308" t="s">
        <v>3141</v>
      </c>
      <c r="C1153" s="307" t="s">
        <v>3140</v>
      </c>
      <c r="D1153" s="308"/>
    </row>
    <row r="1154" spans="1:4" x14ac:dyDescent="0.25">
      <c r="A1154" s="304">
        <v>926</v>
      </c>
      <c r="B1154" s="308" t="s">
        <v>3139</v>
      </c>
      <c r="C1154" s="307" t="s">
        <v>3138</v>
      </c>
      <c r="D1154" s="308"/>
    </row>
    <row r="1155" spans="1:4" x14ac:dyDescent="0.25">
      <c r="A1155" s="304">
        <v>927</v>
      </c>
      <c r="B1155" s="308" t="s">
        <v>3137</v>
      </c>
      <c r="C1155" s="307" t="s">
        <v>3136</v>
      </c>
      <c r="D1155" s="308"/>
    </row>
    <row r="1156" spans="1:4" x14ac:dyDescent="0.25">
      <c r="A1156" s="304">
        <v>930</v>
      </c>
      <c r="B1156" s="308" t="s">
        <v>3135</v>
      </c>
      <c r="C1156" s="307" t="s">
        <v>3134</v>
      </c>
      <c r="D1156" s="308"/>
    </row>
    <row r="1157" spans="1:4" x14ac:dyDescent="0.25">
      <c r="A1157" s="304">
        <v>934</v>
      </c>
      <c r="B1157" s="308" t="s">
        <v>3133</v>
      </c>
      <c r="C1157" s="307" t="s">
        <v>3132</v>
      </c>
      <c r="D1157" s="308"/>
    </row>
    <row r="1158" spans="1:4" x14ac:dyDescent="0.25">
      <c r="A1158" s="304">
        <v>935</v>
      </c>
      <c r="B1158" s="308" t="s">
        <v>3131</v>
      </c>
      <c r="C1158" s="307" t="s">
        <v>3130</v>
      </c>
      <c r="D1158" s="308"/>
    </row>
    <row r="1159" spans="1:4" x14ac:dyDescent="0.25">
      <c r="A1159" s="304">
        <v>936</v>
      </c>
      <c r="B1159" s="308" t="s">
        <v>3129</v>
      </c>
      <c r="C1159" s="307" t="s">
        <v>3128</v>
      </c>
      <c r="D1159" s="308"/>
    </row>
    <row r="1160" spans="1:4" x14ac:dyDescent="0.25">
      <c r="A1160" s="304">
        <v>937</v>
      </c>
      <c r="B1160" s="308" t="s">
        <v>3127</v>
      </c>
      <c r="C1160" s="307" t="s">
        <v>3126</v>
      </c>
      <c r="D1160" s="308"/>
    </row>
    <row r="1161" spans="1:4" x14ac:dyDescent="0.25">
      <c r="A1161" s="304">
        <v>938</v>
      </c>
      <c r="B1161" s="308" t="s">
        <v>3125</v>
      </c>
      <c r="C1161" s="307" t="s">
        <v>3124</v>
      </c>
      <c r="D1161" s="308"/>
    </row>
    <row r="1162" spans="1:4" x14ac:dyDescent="0.25">
      <c r="A1162" s="304">
        <v>939</v>
      </c>
      <c r="B1162" s="308" t="s">
        <v>3123</v>
      </c>
      <c r="C1162" s="307" t="s">
        <v>3122</v>
      </c>
      <c r="D1162" s="308"/>
    </row>
    <row r="1163" spans="1:4" x14ac:dyDescent="0.25">
      <c r="A1163" s="304">
        <v>940</v>
      </c>
      <c r="B1163" s="308" t="s">
        <v>3121</v>
      </c>
      <c r="C1163" s="307" t="s">
        <v>3120</v>
      </c>
      <c r="D1163" s="308"/>
    </row>
    <row r="1164" spans="1:4" x14ac:dyDescent="0.25">
      <c r="A1164" s="304">
        <v>941</v>
      </c>
      <c r="B1164" s="308" t="s">
        <v>3119</v>
      </c>
      <c r="C1164" s="307" t="s">
        <v>3118</v>
      </c>
      <c r="D1164" s="308"/>
    </row>
    <row r="1165" spans="1:4" x14ac:dyDescent="0.25">
      <c r="A1165" s="304">
        <v>942</v>
      </c>
      <c r="B1165" s="308" t="s">
        <v>3117</v>
      </c>
      <c r="C1165" s="307" t="s">
        <v>3116</v>
      </c>
      <c r="D1165" s="308"/>
    </row>
    <row r="1166" spans="1:4" x14ac:dyDescent="0.25">
      <c r="A1166" s="304">
        <v>943</v>
      </c>
      <c r="B1166" s="308" t="s">
        <v>3115</v>
      </c>
      <c r="C1166" s="307" t="s">
        <v>3114</v>
      </c>
      <c r="D1166" s="308"/>
    </row>
    <row r="1167" spans="1:4" x14ac:dyDescent="0.25">
      <c r="A1167" s="304">
        <v>944</v>
      </c>
      <c r="B1167" s="308" t="s">
        <v>3113</v>
      </c>
      <c r="C1167" s="307" t="s">
        <v>3112</v>
      </c>
      <c r="D1167" s="308"/>
    </row>
    <row r="1168" spans="1:4" x14ac:dyDescent="0.25">
      <c r="A1168" s="304">
        <v>945</v>
      </c>
      <c r="B1168" s="308" t="s">
        <v>3111</v>
      </c>
      <c r="C1168" s="307" t="s">
        <v>3110</v>
      </c>
      <c r="D1168" s="308"/>
    </row>
    <row r="1169" spans="1:4" x14ac:dyDescent="0.25">
      <c r="A1169" s="304">
        <v>946</v>
      </c>
      <c r="B1169" s="308" t="s">
        <v>3109</v>
      </c>
      <c r="C1169" s="307" t="s">
        <v>3108</v>
      </c>
      <c r="D1169" s="308"/>
    </row>
    <row r="1170" spans="1:4" x14ac:dyDescent="0.25">
      <c r="A1170" s="304">
        <v>947</v>
      </c>
      <c r="B1170" s="308" t="s">
        <v>3107</v>
      </c>
      <c r="C1170" s="307" t="s">
        <v>3106</v>
      </c>
      <c r="D1170" s="308"/>
    </row>
    <row r="1171" spans="1:4" x14ac:dyDescent="0.25">
      <c r="A1171" s="304">
        <v>948</v>
      </c>
      <c r="B1171" s="308" t="s">
        <v>3105</v>
      </c>
      <c r="C1171" s="307" t="s">
        <v>3104</v>
      </c>
      <c r="D1171" s="308"/>
    </row>
    <row r="1172" spans="1:4" x14ac:dyDescent="0.25">
      <c r="A1172" s="304">
        <v>949</v>
      </c>
      <c r="B1172" s="308" t="s">
        <v>3103</v>
      </c>
      <c r="C1172" s="307" t="s">
        <v>3102</v>
      </c>
      <c r="D1172" s="308"/>
    </row>
    <row r="1173" spans="1:4" x14ac:dyDescent="0.25">
      <c r="A1173" s="304">
        <v>950</v>
      </c>
      <c r="B1173" s="308" t="s">
        <v>3101</v>
      </c>
      <c r="C1173" s="307" t="s">
        <v>3100</v>
      </c>
      <c r="D1173" s="308"/>
    </row>
    <row r="1174" spans="1:4" x14ac:dyDescent="0.25">
      <c r="A1174" s="304">
        <v>951</v>
      </c>
      <c r="B1174" s="308" t="s">
        <v>3099</v>
      </c>
      <c r="C1174" s="307" t="s">
        <v>3098</v>
      </c>
      <c r="D1174" s="308"/>
    </row>
    <row r="1175" spans="1:4" x14ac:dyDescent="0.25">
      <c r="A1175" s="304">
        <v>952</v>
      </c>
      <c r="B1175" s="308" t="s">
        <v>3097</v>
      </c>
      <c r="C1175" s="307" t="s">
        <v>3096</v>
      </c>
      <c r="D1175" s="308"/>
    </row>
    <row r="1176" spans="1:4" x14ac:dyDescent="0.25">
      <c r="A1176" s="304">
        <v>953</v>
      </c>
      <c r="B1176" s="308" t="s">
        <v>3095</v>
      </c>
      <c r="C1176" s="307" t="s">
        <v>3094</v>
      </c>
      <c r="D1176" s="308"/>
    </row>
    <row r="1177" spans="1:4" x14ac:dyDescent="0.25">
      <c r="A1177" s="304">
        <v>954</v>
      </c>
      <c r="B1177" s="308" t="s">
        <v>3093</v>
      </c>
      <c r="C1177" s="307" t="s">
        <v>3092</v>
      </c>
      <c r="D1177" s="308"/>
    </row>
    <row r="1178" spans="1:4" x14ac:dyDescent="0.25">
      <c r="A1178" s="304">
        <v>955</v>
      </c>
      <c r="B1178" s="308" t="s">
        <v>3091</v>
      </c>
      <c r="C1178" s="307" t="s">
        <v>3090</v>
      </c>
      <c r="D1178" s="308"/>
    </row>
    <row r="1179" spans="1:4" x14ac:dyDescent="0.25">
      <c r="A1179" s="304">
        <v>956</v>
      </c>
      <c r="B1179" s="308" t="s">
        <v>3089</v>
      </c>
      <c r="C1179" s="307" t="s">
        <v>3004</v>
      </c>
      <c r="D1179" s="308"/>
    </row>
    <row r="1180" spans="1:4" x14ac:dyDescent="0.25">
      <c r="A1180" s="304">
        <v>957</v>
      </c>
      <c r="B1180" s="308" t="s">
        <v>3088</v>
      </c>
      <c r="C1180" s="307" t="s">
        <v>3087</v>
      </c>
      <c r="D1180" s="308"/>
    </row>
    <row r="1181" spans="1:4" x14ac:dyDescent="0.25">
      <c r="A1181" s="304">
        <v>958</v>
      </c>
      <c r="B1181" s="308" t="s">
        <v>3086</v>
      </c>
      <c r="C1181" s="307" t="s">
        <v>3085</v>
      </c>
      <c r="D1181" s="308"/>
    </row>
    <row r="1182" spans="1:4" x14ac:dyDescent="0.25">
      <c r="A1182" s="304">
        <v>959</v>
      </c>
      <c r="B1182" s="308" t="s">
        <v>3084</v>
      </c>
      <c r="C1182" s="307" t="s">
        <v>3083</v>
      </c>
      <c r="D1182" s="308"/>
    </row>
    <row r="1183" spans="1:4" x14ac:dyDescent="0.25">
      <c r="A1183" s="304">
        <v>960</v>
      </c>
      <c r="B1183" s="308" t="s">
        <v>3082</v>
      </c>
      <c r="C1183" s="307" t="s">
        <v>3081</v>
      </c>
      <c r="D1183" s="308"/>
    </row>
    <row r="1184" spans="1:4" x14ac:dyDescent="0.25">
      <c r="A1184" s="304">
        <v>961</v>
      </c>
      <c r="B1184" s="308" t="s">
        <v>3080</v>
      </c>
      <c r="C1184" s="307" t="s">
        <v>3079</v>
      </c>
      <c r="D1184" s="308"/>
    </row>
    <row r="1185" spans="1:4" x14ac:dyDescent="0.25">
      <c r="A1185" s="304">
        <v>962</v>
      </c>
      <c r="B1185" s="308" t="s">
        <v>3078</v>
      </c>
      <c r="C1185" s="307" t="s">
        <v>3077</v>
      </c>
      <c r="D1185" s="308"/>
    </row>
    <row r="1186" spans="1:4" x14ac:dyDescent="0.25">
      <c r="A1186" s="304">
        <v>963</v>
      </c>
      <c r="B1186" s="308" t="s">
        <v>3076</v>
      </c>
      <c r="C1186" s="307" t="s">
        <v>3075</v>
      </c>
      <c r="D1186" s="308"/>
    </row>
    <row r="1187" spans="1:4" x14ac:dyDescent="0.25">
      <c r="A1187" s="304">
        <v>964</v>
      </c>
      <c r="B1187" s="308" t="s">
        <v>3074</v>
      </c>
      <c r="C1187" s="307" t="s">
        <v>3073</v>
      </c>
      <c r="D1187" s="308"/>
    </row>
    <row r="1188" spans="1:4" x14ac:dyDescent="0.25">
      <c r="A1188" s="304">
        <v>965</v>
      </c>
      <c r="B1188" s="308" t="s">
        <v>3072</v>
      </c>
      <c r="C1188" s="307" t="s">
        <v>3071</v>
      </c>
      <c r="D1188" s="308"/>
    </row>
    <row r="1189" spans="1:4" x14ac:dyDescent="0.25">
      <c r="A1189" s="304">
        <v>966</v>
      </c>
      <c r="B1189" s="308" t="s">
        <v>3070</v>
      </c>
      <c r="C1189" s="307" t="s">
        <v>3069</v>
      </c>
      <c r="D1189" s="308"/>
    </row>
    <row r="1190" spans="1:4" x14ac:dyDescent="0.25">
      <c r="A1190" s="304">
        <v>967</v>
      </c>
      <c r="B1190" s="308" t="s">
        <v>3068</v>
      </c>
      <c r="C1190" s="307" t="s">
        <v>3067</v>
      </c>
      <c r="D1190" s="308"/>
    </row>
    <row r="1191" spans="1:4" x14ac:dyDescent="0.25">
      <c r="A1191" s="304">
        <v>968</v>
      </c>
      <c r="B1191" s="308" t="s">
        <v>3066</v>
      </c>
      <c r="C1191" s="307" t="s">
        <v>3065</v>
      </c>
      <c r="D1191" s="308"/>
    </row>
    <row r="1192" spans="1:4" x14ac:dyDescent="0.25">
      <c r="A1192" s="304">
        <v>969</v>
      </c>
      <c r="B1192" s="308" t="s">
        <v>3064</v>
      </c>
      <c r="C1192" s="307" t="s">
        <v>3063</v>
      </c>
      <c r="D1192" s="308"/>
    </row>
    <row r="1193" spans="1:4" x14ac:dyDescent="0.25">
      <c r="A1193" s="304">
        <v>970</v>
      </c>
      <c r="B1193" s="308" t="s">
        <v>3062</v>
      </c>
      <c r="C1193" s="307" t="s">
        <v>2701</v>
      </c>
      <c r="D1193" s="308"/>
    </row>
    <row r="1194" spans="1:4" x14ac:dyDescent="0.25">
      <c r="A1194" s="304">
        <v>971</v>
      </c>
      <c r="B1194" s="308" t="s">
        <v>3061</v>
      </c>
      <c r="C1194" s="307" t="s">
        <v>3060</v>
      </c>
      <c r="D1194" s="308"/>
    </row>
    <row r="1195" spans="1:4" x14ac:dyDescent="0.25">
      <c r="A1195" s="304">
        <v>972</v>
      </c>
      <c r="B1195" s="308" t="s">
        <v>3059</v>
      </c>
      <c r="C1195" s="307" t="s">
        <v>3058</v>
      </c>
      <c r="D1195" s="308"/>
    </row>
    <row r="1196" spans="1:4" x14ac:dyDescent="0.25">
      <c r="A1196" s="304">
        <v>973</v>
      </c>
      <c r="B1196" s="308" t="s">
        <v>3057</v>
      </c>
      <c r="C1196" s="307" t="s">
        <v>3056</v>
      </c>
      <c r="D1196" s="308"/>
    </row>
    <row r="1197" spans="1:4" x14ac:dyDescent="0.25">
      <c r="A1197" s="304">
        <v>974</v>
      </c>
      <c r="B1197" s="308" t="s">
        <v>3055</v>
      </c>
      <c r="C1197" s="307" t="s">
        <v>3054</v>
      </c>
      <c r="D1197" s="308"/>
    </row>
    <row r="1198" spans="1:4" x14ac:dyDescent="0.25">
      <c r="A1198" s="304">
        <v>975</v>
      </c>
      <c r="B1198" s="308" t="s">
        <v>3053</v>
      </c>
      <c r="C1198" s="307" t="s">
        <v>3052</v>
      </c>
      <c r="D1198" s="308"/>
    </row>
    <row r="1199" spans="1:4" x14ac:dyDescent="0.25">
      <c r="A1199" s="304">
        <v>976</v>
      </c>
      <c r="B1199" s="308" t="s">
        <v>3051</v>
      </c>
      <c r="C1199" s="307" t="s">
        <v>3050</v>
      </c>
      <c r="D1199" s="308"/>
    </row>
    <row r="1200" spans="1:4" x14ac:dyDescent="0.25">
      <c r="A1200" s="304">
        <v>977</v>
      </c>
      <c r="B1200" s="308" t="s">
        <v>3049</v>
      </c>
      <c r="C1200" s="307" t="s">
        <v>3048</v>
      </c>
      <c r="D1200" s="308"/>
    </row>
    <row r="1201" spans="1:4" x14ac:dyDescent="0.25">
      <c r="A1201" s="304">
        <v>978</v>
      </c>
      <c r="B1201" s="308" t="s">
        <v>3047</v>
      </c>
      <c r="C1201" s="307" t="s">
        <v>3046</v>
      </c>
      <c r="D1201" s="308"/>
    </row>
    <row r="1202" spans="1:4" x14ac:dyDescent="0.25">
      <c r="A1202" s="304">
        <v>979</v>
      </c>
      <c r="B1202" s="308" t="s">
        <v>3045</v>
      </c>
      <c r="C1202" s="307" t="s">
        <v>3044</v>
      </c>
      <c r="D1202" s="308"/>
    </row>
    <row r="1203" spans="1:4" x14ac:dyDescent="0.25">
      <c r="A1203" s="304">
        <v>980</v>
      </c>
      <c r="B1203" s="308" t="s">
        <v>3043</v>
      </c>
      <c r="C1203" s="307" t="s">
        <v>3042</v>
      </c>
      <c r="D1203" s="308"/>
    </row>
    <row r="1204" spans="1:4" x14ac:dyDescent="0.25">
      <c r="A1204" s="304">
        <v>981</v>
      </c>
      <c r="B1204" s="308" t="s">
        <v>3041</v>
      </c>
      <c r="C1204" s="307" t="s">
        <v>3040</v>
      </c>
      <c r="D1204" s="308"/>
    </row>
    <row r="1205" spans="1:4" x14ac:dyDescent="0.25">
      <c r="A1205" s="304">
        <v>982</v>
      </c>
      <c r="B1205" s="308" t="s">
        <v>3039</v>
      </c>
      <c r="C1205" s="307" t="s">
        <v>3038</v>
      </c>
      <c r="D1205" s="308"/>
    </row>
    <row r="1206" spans="1:4" x14ac:dyDescent="0.25">
      <c r="A1206" s="304">
        <v>983</v>
      </c>
      <c r="B1206" s="308" t="s">
        <v>3037</v>
      </c>
      <c r="C1206" s="307" t="s">
        <v>3036</v>
      </c>
      <c r="D1206" s="308"/>
    </row>
    <row r="1207" spans="1:4" x14ac:dyDescent="0.25">
      <c r="A1207" s="304">
        <v>984</v>
      </c>
      <c r="B1207" s="308" t="s">
        <v>3035</v>
      </c>
      <c r="C1207" s="307" t="s">
        <v>3034</v>
      </c>
      <c r="D1207" s="308"/>
    </row>
    <row r="1208" spans="1:4" x14ac:dyDescent="0.25">
      <c r="A1208" s="304">
        <v>985</v>
      </c>
      <c r="B1208" s="308" t="s">
        <v>3033</v>
      </c>
      <c r="C1208" s="307" t="s">
        <v>3032</v>
      </c>
      <c r="D1208" s="308"/>
    </row>
    <row r="1209" spans="1:4" x14ac:dyDescent="0.25">
      <c r="A1209" s="304">
        <v>986</v>
      </c>
      <c r="B1209" s="308" t="s">
        <v>3031</v>
      </c>
      <c r="C1209" s="307" t="s">
        <v>3030</v>
      </c>
      <c r="D1209" s="308"/>
    </row>
    <row r="1210" spans="1:4" x14ac:dyDescent="0.25">
      <c r="A1210" s="304">
        <v>987</v>
      </c>
      <c r="B1210" s="308" t="s">
        <v>3029</v>
      </c>
      <c r="C1210" s="307" t="s">
        <v>3028</v>
      </c>
      <c r="D1210" s="308"/>
    </row>
    <row r="1211" spans="1:4" x14ac:dyDescent="0.25">
      <c r="A1211" s="304">
        <v>988</v>
      </c>
      <c r="B1211" s="308" t="s">
        <v>3027</v>
      </c>
      <c r="C1211" s="307" t="s">
        <v>3026</v>
      </c>
      <c r="D1211" s="308"/>
    </row>
    <row r="1212" spans="1:4" x14ac:dyDescent="0.25">
      <c r="A1212" s="304">
        <v>989</v>
      </c>
      <c r="B1212" s="308" t="s">
        <v>3025</v>
      </c>
      <c r="C1212" s="307" t="s">
        <v>3024</v>
      </c>
      <c r="D1212" s="308"/>
    </row>
    <row r="1213" spans="1:4" x14ac:dyDescent="0.25">
      <c r="A1213" s="304">
        <v>990</v>
      </c>
      <c r="B1213" s="308" t="s">
        <v>3023</v>
      </c>
      <c r="C1213" s="307" t="s">
        <v>3022</v>
      </c>
      <c r="D1213" s="308"/>
    </row>
    <row r="1214" spans="1:4" x14ac:dyDescent="0.25">
      <c r="A1214" s="304">
        <v>991</v>
      </c>
      <c r="B1214" s="308" t="s">
        <v>3021</v>
      </c>
      <c r="C1214" s="307" t="s">
        <v>3020</v>
      </c>
      <c r="D1214" s="308"/>
    </row>
    <row r="1215" spans="1:4" x14ac:dyDescent="0.25">
      <c r="A1215" s="304">
        <v>992</v>
      </c>
      <c r="B1215" s="308" t="s">
        <v>3019</v>
      </c>
      <c r="C1215" s="307" t="s">
        <v>3018</v>
      </c>
      <c r="D1215" s="308"/>
    </row>
    <row r="1216" spans="1:4" x14ac:dyDescent="0.25">
      <c r="A1216" s="304">
        <v>993</v>
      </c>
      <c r="B1216" s="308" t="s">
        <v>3017</v>
      </c>
      <c r="C1216" s="307" t="s">
        <v>3016</v>
      </c>
      <c r="D1216" s="308"/>
    </row>
    <row r="1217" spans="1:4" x14ac:dyDescent="0.25">
      <c r="A1217" s="304">
        <v>994</v>
      </c>
      <c r="B1217" s="308" t="s">
        <v>3015</v>
      </c>
      <c r="C1217" s="307" t="s">
        <v>3014</v>
      </c>
      <c r="D1217" s="308"/>
    </row>
    <row r="1218" spans="1:4" x14ac:dyDescent="0.25">
      <c r="A1218" s="304">
        <v>995</v>
      </c>
      <c r="B1218" s="308" t="s">
        <v>3013</v>
      </c>
      <c r="C1218" s="307" t="s">
        <v>3012</v>
      </c>
      <c r="D1218" s="308"/>
    </row>
    <row r="1219" spans="1:4" x14ac:dyDescent="0.25">
      <c r="A1219" s="304">
        <v>996</v>
      </c>
      <c r="B1219" s="308" t="s">
        <v>3011</v>
      </c>
      <c r="C1219" s="307" t="s">
        <v>3010</v>
      </c>
      <c r="D1219" s="308"/>
    </row>
    <row r="1220" spans="1:4" x14ac:dyDescent="0.25">
      <c r="A1220" s="304">
        <v>997</v>
      </c>
      <c r="B1220" s="308" t="s">
        <v>3009</v>
      </c>
      <c r="C1220" s="307" t="s">
        <v>3008</v>
      </c>
      <c r="D1220" s="308"/>
    </row>
    <row r="1221" spans="1:4" x14ac:dyDescent="0.25">
      <c r="A1221" s="304">
        <v>998</v>
      </c>
      <c r="B1221" s="308" t="s">
        <v>3007</v>
      </c>
      <c r="C1221" s="307" t="s">
        <v>3006</v>
      </c>
      <c r="D1221" s="308"/>
    </row>
    <row r="1222" spans="1:4" x14ac:dyDescent="0.25">
      <c r="A1222" s="304">
        <v>999</v>
      </c>
      <c r="B1222" s="308" t="s">
        <v>3005</v>
      </c>
      <c r="C1222" s="307" t="s">
        <v>3004</v>
      </c>
      <c r="D1222" s="308"/>
    </row>
    <row r="1223" spans="1:4" x14ac:dyDescent="0.25">
      <c r="A1223" s="304">
        <v>1000</v>
      </c>
      <c r="B1223" s="308" t="s">
        <v>3003</v>
      </c>
      <c r="C1223" s="307" t="s">
        <v>3002</v>
      </c>
      <c r="D1223" s="308"/>
    </row>
    <row r="1224" spans="1:4" x14ac:dyDescent="0.25">
      <c r="A1224" s="304">
        <v>1001</v>
      </c>
      <c r="B1224" s="308" t="s">
        <v>3001</v>
      </c>
      <c r="C1224" s="307" t="s">
        <v>3000</v>
      </c>
      <c r="D1224" s="308"/>
    </row>
    <row r="1225" spans="1:4" x14ac:dyDescent="0.25">
      <c r="A1225" s="304">
        <v>1014</v>
      </c>
      <c r="B1225" s="308" t="s">
        <v>1247</v>
      </c>
      <c r="C1225" s="307" t="s">
        <v>2999</v>
      </c>
      <c r="D1225" s="308"/>
    </row>
    <row r="1226" spans="1:4" x14ac:dyDescent="0.25">
      <c r="A1226" s="304">
        <v>1015</v>
      </c>
      <c r="B1226" s="308" t="s">
        <v>1249</v>
      </c>
      <c r="C1226" s="307" t="s">
        <v>2998</v>
      </c>
      <c r="D1226" s="308"/>
    </row>
    <row r="1227" spans="1:4" x14ac:dyDescent="0.25">
      <c r="A1227" s="304">
        <v>1020</v>
      </c>
      <c r="B1227" s="308" t="s">
        <v>1432</v>
      </c>
      <c r="C1227" s="307" t="s">
        <v>2997</v>
      </c>
      <c r="D1227" s="308"/>
    </row>
    <row r="1228" spans="1:4" x14ac:dyDescent="0.25">
      <c r="A1228" s="304">
        <v>1033</v>
      </c>
      <c r="B1228" s="308" t="s">
        <v>242</v>
      </c>
      <c r="C1228" s="307" t="s">
        <v>2996</v>
      </c>
      <c r="D1228" s="308"/>
    </row>
    <row r="1229" spans="1:4" x14ac:dyDescent="0.25">
      <c r="A1229" s="304">
        <v>1044</v>
      </c>
      <c r="B1229" s="308" t="s">
        <v>262</v>
      </c>
      <c r="C1229" s="307" t="s">
        <v>2995</v>
      </c>
      <c r="D1229" s="308"/>
    </row>
    <row r="1230" spans="1:4" x14ac:dyDescent="0.25">
      <c r="A1230" s="304">
        <v>1045</v>
      </c>
      <c r="B1230" s="308" t="s">
        <v>263</v>
      </c>
      <c r="C1230" s="307" t="s">
        <v>2994</v>
      </c>
      <c r="D1230" s="308"/>
    </row>
    <row r="1231" spans="1:4" x14ac:dyDescent="0.25">
      <c r="A1231" s="304">
        <v>1053</v>
      </c>
      <c r="B1231" s="308" t="s">
        <v>258</v>
      </c>
      <c r="C1231" s="307" t="s">
        <v>2993</v>
      </c>
      <c r="D1231" s="308"/>
    </row>
    <row r="1232" spans="1:4" x14ac:dyDescent="0.25">
      <c r="A1232" s="304">
        <v>1054</v>
      </c>
      <c r="B1232" s="308" t="s">
        <v>264</v>
      </c>
      <c r="C1232" s="307" t="s">
        <v>2992</v>
      </c>
      <c r="D1232" s="308"/>
    </row>
    <row r="1233" spans="1:4" x14ac:dyDescent="0.25">
      <c r="A1233" s="304">
        <v>1073</v>
      </c>
      <c r="B1233" s="308" t="s">
        <v>271</v>
      </c>
      <c r="C1233" s="307" t="s">
        <v>2991</v>
      </c>
      <c r="D1233" s="308"/>
    </row>
    <row r="1234" spans="1:4" x14ac:dyDescent="0.25">
      <c r="A1234" s="304">
        <v>1088</v>
      </c>
      <c r="B1234" s="308" t="s">
        <v>2990</v>
      </c>
      <c r="C1234" s="307" t="s">
        <v>2989</v>
      </c>
      <c r="D1234" s="308"/>
    </row>
    <row r="1235" spans="1:4" x14ac:dyDescent="0.25">
      <c r="A1235" s="304">
        <v>1099</v>
      </c>
      <c r="B1235" s="308" t="s">
        <v>454</v>
      </c>
      <c r="C1235" s="307" t="s">
        <v>2988</v>
      </c>
      <c r="D1235" s="308"/>
    </row>
    <row r="1236" spans="1:4" x14ac:dyDescent="0.25">
      <c r="A1236" s="304">
        <v>1181</v>
      </c>
      <c r="B1236" s="308" t="s">
        <v>1946</v>
      </c>
      <c r="C1236" s="307" t="s">
        <v>2987</v>
      </c>
      <c r="D1236" s="308"/>
    </row>
    <row r="1237" spans="1:4" x14ac:dyDescent="0.25">
      <c r="A1237" s="304">
        <v>1182</v>
      </c>
      <c r="B1237" s="308" t="s">
        <v>2002</v>
      </c>
      <c r="C1237" s="307" t="s">
        <v>2986</v>
      </c>
      <c r="D1237" s="308"/>
    </row>
    <row r="1238" spans="1:4" x14ac:dyDescent="0.25">
      <c r="A1238" s="304">
        <v>1212</v>
      </c>
      <c r="B1238" s="308" t="s">
        <v>569</v>
      </c>
      <c r="C1238" s="307" t="s">
        <v>2985</v>
      </c>
      <c r="D1238" s="308"/>
    </row>
    <row r="1239" spans="1:4" x14ac:dyDescent="0.25">
      <c r="A1239" s="304">
        <v>1238</v>
      </c>
      <c r="B1239" s="308" t="s">
        <v>415</v>
      </c>
      <c r="C1239" s="307" t="s">
        <v>2984</v>
      </c>
      <c r="D1239" s="308"/>
    </row>
    <row r="1240" spans="1:4" x14ac:dyDescent="0.25">
      <c r="A1240" s="304">
        <v>1239</v>
      </c>
      <c r="B1240" s="308" t="s">
        <v>773</v>
      </c>
      <c r="C1240" s="307" t="s">
        <v>2984</v>
      </c>
      <c r="D1240" s="308"/>
    </row>
    <row r="1241" spans="1:4" x14ac:dyDescent="0.25">
      <c r="A1241" s="304">
        <v>1240</v>
      </c>
      <c r="B1241" s="308" t="s">
        <v>2983</v>
      </c>
      <c r="C1241" s="307" t="s">
        <v>2982</v>
      </c>
      <c r="D1241" s="308"/>
    </row>
    <row r="1242" spans="1:4" x14ac:dyDescent="0.25">
      <c r="A1242" s="304">
        <v>1241</v>
      </c>
      <c r="B1242" s="308" t="s">
        <v>2981</v>
      </c>
      <c r="C1242" s="307" t="s">
        <v>2980</v>
      </c>
      <c r="D1242" s="308"/>
    </row>
    <row r="1243" spans="1:4" x14ac:dyDescent="0.25">
      <c r="A1243" s="304">
        <v>1242</v>
      </c>
      <c r="B1243" s="308" t="s">
        <v>2979</v>
      </c>
      <c r="C1243" s="307" t="s">
        <v>2978</v>
      </c>
      <c r="D1243" s="308"/>
    </row>
    <row r="1244" spans="1:4" x14ac:dyDescent="0.25">
      <c r="A1244" s="304">
        <v>1243</v>
      </c>
      <c r="B1244" s="308" t="s">
        <v>2977</v>
      </c>
      <c r="C1244" s="307" t="s">
        <v>2976</v>
      </c>
      <c r="D1244" s="308"/>
    </row>
    <row r="1245" spans="1:4" x14ac:dyDescent="0.25">
      <c r="A1245" s="304">
        <v>1244</v>
      </c>
      <c r="B1245" s="308" t="s">
        <v>2975</v>
      </c>
      <c r="C1245" s="307" t="s">
        <v>2974</v>
      </c>
      <c r="D1245" s="308"/>
    </row>
    <row r="1246" spans="1:4" x14ac:dyDescent="0.25">
      <c r="A1246" s="304">
        <v>1245</v>
      </c>
      <c r="B1246" s="308" t="s">
        <v>2973</v>
      </c>
      <c r="C1246" s="307" t="s">
        <v>2972</v>
      </c>
      <c r="D1246" s="308"/>
    </row>
    <row r="1247" spans="1:4" x14ac:dyDescent="0.25">
      <c r="A1247" s="304">
        <v>1246</v>
      </c>
      <c r="B1247" s="308" t="s">
        <v>2971</v>
      </c>
      <c r="C1247" s="307" t="s">
        <v>2970</v>
      </c>
      <c r="D1247" s="308"/>
    </row>
    <row r="1248" spans="1:4" x14ac:dyDescent="0.25">
      <c r="A1248" s="304">
        <v>1247</v>
      </c>
      <c r="B1248" s="308" t="s">
        <v>2969</v>
      </c>
      <c r="C1248" s="307" t="s">
        <v>2968</v>
      </c>
      <c r="D1248" s="308"/>
    </row>
    <row r="1249" spans="1:4" x14ac:dyDescent="0.25">
      <c r="A1249" s="304">
        <v>1248</v>
      </c>
      <c r="B1249" s="308" t="s">
        <v>2967</v>
      </c>
      <c r="C1249" s="307" t="s">
        <v>2966</v>
      </c>
      <c r="D1249" s="308"/>
    </row>
    <row r="1250" spans="1:4" x14ac:dyDescent="0.25">
      <c r="A1250" s="304">
        <v>1249</v>
      </c>
      <c r="B1250" s="308" t="s">
        <v>2965</v>
      </c>
      <c r="C1250" s="307" t="s">
        <v>2961</v>
      </c>
      <c r="D1250" s="308"/>
    </row>
    <row r="1251" spans="1:4" x14ac:dyDescent="0.25">
      <c r="A1251" s="304">
        <v>1250</v>
      </c>
      <c r="B1251" s="308" t="s">
        <v>2964</v>
      </c>
      <c r="C1251" s="307" t="s">
        <v>2963</v>
      </c>
      <c r="D1251" s="308"/>
    </row>
    <row r="1252" spans="1:4" x14ac:dyDescent="0.25">
      <c r="A1252" s="304">
        <v>1251</v>
      </c>
      <c r="B1252" s="308" t="s">
        <v>2962</v>
      </c>
      <c r="C1252" s="307" t="s">
        <v>2961</v>
      </c>
      <c r="D1252" s="308"/>
    </row>
    <row r="1253" spans="1:4" x14ac:dyDescent="0.25">
      <c r="A1253" s="304">
        <v>1252</v>
      </c>
      <c r="B1253" s="308" t="s">
        <v>2960</v>
      </c>
      <c r="C1253" s="307" t="s">
        <v>2959</v>
      </c>
      <c r="D1253" s="308"/>
    </row>
    <row r="1254" spans="1:4" x14ac:dyDescent="0.25">
      <c r="A1254" s="304">
        <v>1253</v>
      </c>
      <c r="B1254" s="308" t="s">
        <v>2958</v>
      </c>
      <c r="C1254" s="307" t="s">
        <v>2957</v>
      </c>
      <c r="D1254" s="308"/>
    </row>
    <row r="1255" spans="1:4" x14ac:dyDescent="0.25">
      <c r="A1255" s="304">
        <v>1254</v>
      </c>
      <c r="B1255" s="308" t="s">
        <v>2956</v>
      </c>
      <c r="C1255" s="307" t="s">
        <v>2955</v>
      </c>
      <c r="D1255" s="308"/>
    </row>
    <row r="1256" spans="1:4" x14ac:dyDescent="0.25">
      <c r="A1256" s="304">
        <v>1255</v>
      </c>
      <c r="B1256" s="308" t="s">
        <v>2954</v>
      </c>
      <c r="C1256" s="307" t="s">
        <v>2953</v>
      </c>
      <c r="D1256" s="308"/>
    </row>
    <row r="1257" spans="1:4" x14ac:dyDescent="0.25">
      <c r="A1257" s="304">
        <v>1256</v>
      </c>
      <c r="B1257" s="308" t="s">
        <v>2952</v>
      </c>
      <c r="C1257" s="307" t="s">
        <v>2951</v>
      </c>
      <c r="D1257" s="308"/>
    </row>
    <row r="1258" spans="1:4" x14ac:dyDescent="0.25">
      <c r="A1258" s="304">
        <v>1257</v>
      </c>
      <c r="B1258" s="308" t="s">
        <v>2950</v>
      </c>
      <c r="C1258" s="307" t="s">
        <v>2949</v>
      </c>
      <c r="D1258" s="308"/>
    </row>
    <row r="1259" spans="1:4" x14ac:dyDescent="0.25">
      <c r="A1259" s="304">
        <v>1258</v>
      </c>
      <c r="B1259" s="308" t="s">
        <v>2948</v>
      </c>
      <c r="C1259" s="307" t="s">
        <v>2947</v>
      </c>
      <c r="D1259" s="308"/>
    </row>
    <row r="1260" spans="1:4" x14ac:dyDescent="0.25">
      <c r="A1260" s="304">
        <v>1259</v>
      </c>
      <c r="B1260" s="308" t="s">
        <v>2946</v>
      </c>
      <c r="C1260" s="307" t="s">
        <v>2945</v>
      </c>
      <c r="D1260" s="308"/>
    </row>
    <row r="1261" spans="1:4" x14ac:dyDescent="0.25">
      <c r="A1261" s="304">
        <v>1260</v>
      </c>
      <c r="B1261" s="308" t="s">
        <v>2944</v>
      </c>
      <c r="C1261" s="307" t="s">
        <v>2943</v>
      </c>
      <c r="D1261" s="308"/>
    </row>
    <row r="1262" spans="1:4" x14ac:dyDescent="0.25">
      <c r="A1262" s="304">
        <v>1261</v>
      </c>
      <c r="B1262" s="308" t="s">
        <v>2942</v>
      </c>
      <c r="C1262" s="307" t="s">
        <v>2941</v>
      </c>
      <c r="D1262" s="308"/>
    </row>
    <row r="1263" spans="1:4" x14ac:dyDescent="0.25">
      <c r="A1263" s="304">
        <v>1262</v>
      </c>
      <c r="B1263" s="308" t="s">
        <v>2940</v>
      </c>
      <c r="C1263" s="307" t="s">
        <v>2939</v>
      </c>
      <c r="D1263" s="308"/>
    </row>
    <row r="1264" spans="1:4" x14ac:dyDescent="0.25">
      <c r="A1264" s="304">
        <v>1263</v>
      </c>
      <c r="B1264" s="308" t="s">
        <v>2938</v>
      </c>
      <c r="C1264" s="307" t="s">
        <v>2937</v>
      </c>
      <c r="D1264" s="308"/>
    </row>
    <row r="1265" spans="1:4" x14ac:dyDescent="0.25">
      <c r="A1265" s="304">
        <v>1264</v>
      </c>
      <c r="B1265" s="308" t="s">
        <v>2936</v>
      </c>
      <c r="C1265" s="307" t="s">
        <v>2935</v>
      </c>
      <c r="D1265" s="308"/>
    </row>
    <row r="1266" spans="1:4" x14ac:dyDescent="0.25">
      <c r="A1266" s="304">
        <v>1265</v>
      </c>
      <c r="B1266" s="308" t="s">
        <v>2934</v>
      </c>
      <c r="C1266" s="307" t="s">
        <v>2933</v>
      </c>
      <c r="D1266" s="308"/>
    </row>
    <row r="1267" spans="1:4" x14ac:dyDescent="0.25">
      <c r="A1267" s="304">
        <v>1266</v>
      </c>
      <c r="B1267" s="308" t="s">
        <v>2932</v>
      </c>
      <c r="C1267" s="307" t="s">
        <v>2931</v>
      </c>
      <c r="D1267" s="308"/>
    </row>
    <row r="1268" spans="1:4" x14ac:dyDescent="0.25">
      <c r="A1268" s="304">
        <v>1267</v>
      </c>
      <c r="B1268" s="308" t="s">
        <v>2930</v>
      </c>
      <c r="C1268" s="307" t="s">
        <v>2929</v>
      </c>
      <c r="D1268" s="308"/>
    </row>
    <row r="1269" spans="1:4" x14ac:dyDescent="0.25">
      <c r="A1269" s="304">
        <v>1268</v>
      </c>
      <c r="B1269" s="308" t="s">
        <v>2928</v>
      </c>
      <c r="C1269" s="307" t="s">
        <v>2902</v>
      </c>
      <c r="D1269" s="308"/>
    </row>
    <row r="1270" spans="1:4" x14ac:dyDescent="0.25">
      <c r="A1270" s="304">
        <v>1269</v>
      </c>
      <c r="B1270" s="308" t="s">
        <v>2927</v>
      </c>
      <c r="C1270" s="307" t="s">
        <v>2926</v>
      </c>
      <c r="D1270" s="308"/>
    </row>
    <row r="1271" spans="1:4" x14ac:dyDescent="0.25">
      <c r="A1271" s="304">
        <v>1270</v>
      </c>
      <c r="B1271" s="308" t="s">
        <v>2925</v>
      </c>
      <c r="C1271" s="307" t="s">
        <v>2913</v>
      </c>
      <c r="D1271" s="308"/>
    </row>
    <row r="1272" spans="1:4" x14ac:dyDescent="0.25">
      <c r="A1272" s="304">
        <v>1271</v>
      </c>
      <c r="B1272" s="308" t="s">
        <v>2924</v>
      </c>
      <c r="C1272" s="307" t="s">
        <v>2911</v>
      </c>
      <c r="D1272" s="308"/>
    </row>
    <row r="1273" spans="1:4" x14ac:dyDescent="0.25">
      <c r="A1273" s="304">
        <v>1272</v>
      </c>
      <c r="B1273" s="308" t="s">
        <v>2923</v>
      </c>
      <c r="C1273" s="307" t="s">
        <v>2919</v>
      </c>
      <c r="D1273" s="308"/>
    </row>
    <row r="1274" spans="1:4" x14ac:dyDescent="0.25">
      <c r="A1274" s="304">
        <v>1273</v>
      </c>
      <c r="B1274" s="308" t="s">
        <v>2922</v>
      </c>
      <c r="C1274" s="307" t="s">
        <v>2911</v>
      </c>
      <c r="D1274" s="308"/>
    </row>
    <row r="1275" spans="1:4" x14ac:dyDescent="0.25">
      <c r="A1275" s="304">
        <v>1274</v>
      </c>
      <c r="B1275" s="308" t="s">
        <v>2921</v>
      </c>
      <c r="C1275" s="307" t="s">
        <v>2902</v>
      </c>
      <c r="D1275" s="308"/>
    </row>
    <row r="1276" spans="1:4" x14ac:dyDescent="0.25">
      <c r="A1276" s="304">
        <v>1275</v>
      </c>
      <c r="B1276" s="308" t="s">
        <v>2920</v>
      </c>
      <c r="C1276" s="307" t="s">
        <v>2919</v>
      </c>
      <c r="D1276" s="308"/>
    </row>
    <row r="1277" spans="1:4" x14ac:dyDescent="0.25">
      <c r="A1277" s="304">
        <v>1276</v>
      </c>
      <c r="B1277" s="308" t="s">
        <v>2918</v>
      </c>
      <c r="C1277" s="307" t="s">
        <v>2911</v>
      </c>
      <c r="D1277" s="308"/>
    </row>
    <row r="1278" spans="1:4" x14ac:dyDescent="0.25">
      <c r="A1278" s="304">
        <v>1277</v>
      </c>
      <c r="B1278" s="308" t="s">
        <v>2917</v>
      </c>
      <c r="C1278" s="307" t="s">
        <v>2902</v>
      </c>
      <c r="D1278" s="308"/>
    </row>
    <row r="1279" spans="1:4" x14ac:dyDescent="0.25">
      <c r="A1279" s="304">
        <v>1278</v>
      </c>
      <c r="B1279" s="308" t="s">
        <v>2916</v>
      </c>
      <c r="C1279" s="307" t="s">
        <v>2915</v>
      </c>
      <c r="D1279" s="308"/>
    </row>
    <row r="1280" spans="1:4" x14ac:dyDescent="0.25">
      <c r="A1280" s="304">
        <v>1279</v>
      </c>
      <c r="B1280" s="308" t="s">
        <v>2914</v>
      </c>
      <c r="C1280" s="307" t="s">
        <v>2913</v>
      </c>
      <c r="D1280" s="308"/>
    </row>
    <row r="1281" spans="1:4" x14ac:dyDescent="0.25">
      <c r="A1281" s="304">
        <v>1280</v>
      </c>
      <c r="B1281" s="308" t="s">
        <v>2912</v>
      </c>
      <c r="C1281" s="307" t="s">
        <v>2911</v>
      </c>
      <c r="D1281" s="308"/>
    </row>
    <row r="1282" spans="1:4" x14ac:dyDescent="0.25">
      <c r="A1282" s="304">
        <v>1281</v>
      </c>
      <c r="B1282" s="308" t="s">
        <v>2910</v>
      </c>
      <c r="C1282" s="307" t="s">
        <v>2909</v>
      </c>
      <c r="D1282" s="308"/>
    </row>
    <row r="1283" spans="1:4" x14ac:dyDescent="0.25">
      <c r="A1283" s="304">
        <v>1282</v>
      </c>
      <c r="B1283" s="308" t="s">
        <v>2908</v>
      </c>
      <c r="C1283" s="307" t="s">
        <v>2907</v>
      </c>
      <c r="D1283" s="308"/>
    </row>
    <row r="1284" spans="1:4" x14ac:dyDescent="0.25">
      <c r="A1284" s="304">
        <v>1283</v>
      </c>
      <c r="B1284" s="308" t="s">
        <v>2906</v>
      </c>
      <c r="C1284" s="307" t="s">
        <v>2894</v>
      </c>
      <c r="D1284" s="308"/>
    </row>
    <row r="1285" spans="1:4" x14ac:dyDescent="0.25">
      <c r="A1285" s="304">
        <v>1284</v>
      </c>
      <c r="B1285" s="308" t="s">
        <v>2905</v>
      </c>
      <c r="C1285" s="307" t="s">
        <v>2904</v>
      </c>
      <c r="D1285" s="308"/>
    </row>
    <row r="1286" spans="1:4" x14ac:dyDescent="0.25">
      <c r="A1286" s="304">
        <v>1285</v>
      </c>
      <c r="B1286" s="308" t="s">
        <v>2903</v>
      </c>
      <c r="C1286" s="307" t="s">
        <v>2902</v>
      </c>
      <c r="D1286" s="308"/>
    </row>
    <row r="1287" spans="1:4" x14ac:dyDescent="0.25">
      <c r="A1287" s="304">
        <v>1286</v>
      </c>
      <c r="B1287" s="308" t="s">
        <v>2901</v>
      </c>
      <c r="C1287" s="307" t="s">
        <v>2900</v>
      </c>
      <c r="D1287" s="308"/>
    </row>
    <row r="1288" spans="1:4" x14ac:dyDescent="0.25">
      <c r="A1288" s="304">
        <v>1287</v>
      </c>
      <c r="B1288" s="308" t="s">
        <v>2899</v>
      </c>
      <c r="C1288" s="307" t="s">
        <v>2898</v>
      </c>
      <c r="D1288" s="308"/>
    </row>
    <row r="1289" spans="1:4" x14ac:dyDescent="0.25">
      <c r="A1289" s="304">
        <v>1288</v>
      </c>
      <c r="B1289" s="308" t="s">
        <v>2897</v>
      </c>
      <c r="C1289" s="307" t="s">
        <v>2896</v>
      </c>
      <c r="D1289" s="308"/>
    </row>
    <row r="1290" spans="1:4" x14ac:dyDescent="0.25">
      <c r="A1290" s="304">
        <v>1289</v>
      </c>
      <c r="B1290" s="308" t="s">
        <v>2895</v>
      </c>
      <c r="C1290" s="307" t="s">
        <v>2894</v>
      </c>
      <c r="D1290" s="308"/>
    </row>
    <row r="1291" spans="1:4" x14ac:dyDescent="0.25">
      <c r="A1291" s="304">
        <v>1290</v>
      </c>
      <c r="B1291" s="308" t="s">
        <v>2893</v>
      </c>
      <c r="C1291" s="307" t="s">
        <v>2892</v>
      </c>
      <c r="D1291" s="308"/>
    </row>
    <row r="1292" spans="1:4" x14ac:dyDescent="0.25">
      <c r="A1292" s="304">
        <v>1291</v>
      </c>
      <c r="B1292" s="308" t="s">
        <v>2891</v>
      </c>
      <c r="C1292" s="307" t="s">
        <v>2890</v>
      </c>
      <c r="D1292" s="308"/>
    </row>
  </sheetData>
  <autoFilter ref="A1:D1292" xr:uid="{00000000-0009-0000-0000-00000E000000}">
    <sortState xmlns:xlrd2="http://schemas.microsoft.com/office/spreadsheetml/2017/richdata2" ref="A2:D1292">
      <sortCondition ref="D1:D1292"/>
    </sortState>
  </autoFilter>
  <pageMargins left="0.39369999999999999" right="0.39369999999999999" top="0.19685" bottom="0.19685" header="0" footer="0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15</vt:i4>
      </vt:variant>
    </vt:vector>
  </HeadingPairs>
  <TitlesOfParts>
    <vt:vector size="24" baseType="lpstr">
      <vt:lpstr>NUEVA LISTA ROSH</vt:lpstr>
      <vt:lpstr>NUEVA LISTA ROSH COPIA</vt:lpstr>
      <vt:lpstr>NUEVA LISTA ROSH COPIA (2)</vt:lpstr>
      <vt:lpstr>NUEVA LISTA ROSH COPIA (3)</vt:lpstr>
      <vt:lpstr>Aceites (2)</vt:lpstr>
      <vt:lpstr>Grasas (2)</vt:lpstr>
      <vt:lpstr>Aditivos (2)</vt:lpstr>
      <vt:lpstr>Lista general JUNIO26 COMPARTIR</vt:lpstr>
      <vt:lpstr>Inventario</vt:lpstr>
      <vt:lpstr>'Lista general JUNIO26 COMPARTIR'!Área_de_impresión</vt:lpstr>
      <vt:lpstr>'NUEVA LISTA ROSH COPIA'!Base01</vt:lpstr>
      <vt:lpstr>'NUEVA LISTA ROSH COPIA (2)'!Base01</vt:lpstr>
      <vt:lpstr>'NUEVA LISTA ROSH COPIA (3)'!Base01</vt:lpstr>
      <vt:lpstr>Base01</vt:lpstr>
      <vt:lpstr>'Aceites (2)'!BASE02</vt:lpstr>
      <vt:lpstr>'Aceites (2)'!BASE03</vt:lpstr>
      <vt:lpstr>'Grasas (2)'!BASE04</vt:lpstr>
      <vt:lpstr>'Grasas (2)'!BASE05</vt:lpstr>
      <vt:lpstr>'Aditivos (2)'!BASE06</vt:lpstr>
      <vt:lpstr>'Aditivos (2)'!Base07</vt:lpstr>
      <vt:lpstr>Base08</vt:lpstr>
      <vt:lpstr>Base09</vt:lpstr>
      <vt:lpstr>'NUEVA LISTA ROSH COPIA (3)'!BaseInv01</vt:lpstr>
      <vt:lpstr>BaseInv01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IVAN HERNANDEZ ARELLANO</cp:lastModifiedBy>
  <cp:lastPrinted>2026-04-13T19:40:14Z</cp:lastPrinted>
  <dcterms:created xsi:type="dcterms:W3CDTF">2019-09-30T17:26:36Z</dcterms:created>
  <dcterms:modified xsi:type="dcterms:W3CDTF">2026-06-28T06:57:47Z</dcterms:modified>
</cp:coreProperties>
</file>